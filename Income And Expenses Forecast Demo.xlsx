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160"/>
  </bookViews>
  <sheets>
    <sheet name="Cover Page" sheetId="18" r:id="rId1"/>
    <sheet name="Main" sheetId="3" r:id="rId2"/>
    <sheet name="January 2025 - March 2025" sheetId="1" r:id="rId3"/>
    <sheet name="April 2025 - June 2025" sheetId="2" r:id="rId4"/>
    <sheet name="July 2025 - September 2025" sheetId="4" r:id="rId5"/>
    <sheet name="October 2025 - December 2025" sheetId="5" r:id="rId6"/>
    <sheet name="January 2026 - March 2026" sheetId="6" r:id="rId7"/>
    <sheet name="April 2026 - June 2026" sheetId="7" r:id="rId8"/>
    <sheet name="July 2026 - September 2026" sheetId="8" r:id="rId9"/>
    <sheet name="October 2026 - December 2026" sheetId="9" r:id="rId10"/>
    <sheet name="January 2027 - March 2027" sheetId="10" r:id="rId11"/>
    <sheet name="April 2027 - June 2027" sheetId="11" r:id="rId12"/>
    <sheet name="July 2027 - September 2027" sheetId="12" r:id="rId13"/>
    <sheet name="October 2027 - December 2027" sheetId="13" r:id="rId14"/>
    <sheet name="January 2028 - March 2028" sheetId="14" r:id="rId15"/>
    <sheet name="April 2028 - June 2028" sheetId="15" r:id="rId16"/>
    <sheet name="July 2028 - September 2028" sheetId="16" r:id="rId17"/>
    <sheet name="October 2028 - December 2028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<sst xmlns="http://schemas.openxmlformats.org/spreadsheetml/2006/main" count="1269" uniqueCount="126">
  <si>
    <t>Income Forecast</t>
  </si>
  <si>
    <t>Your Personal Finance Organizer</t>
  </si>
  <si>
    <t>Money In Terms Of
(tens, hundred, thousands, millions)</t>
  </si>
  <si>
    <t>tens</t>
  </si>
  <si>
    <t>A Month
(TRUE or FALSE)</t>
  </si>
  <si>
    <t>Date Range Start From
(dd/mm/yyyy)</t>
  </si>
  <si>
    <t>Date Range End To
(A month dd/mm/yyyy)</t>
  </si>
  <si>
    <t>Specify Date Range End To
(dd/mm/yyyy)
(If a month is not checked)</t>
  </si>
  <si>
    <t>Work Sheet Name</t>
  </si>
  <si>
    <t>January 2025 - March 2025</t>
  </si>
  <si>
    <t>April 2025 - June 2025</t>
  </si>
  <si>
    <t>July 2025 - September 2025</t>
  </si>
  <si>
    <t>October 2025 - December 2025</t>
  </si>
  <si>
    <t>January 2026 - March 2026</t>
  </si>
  <si>
    <t>April 2026 - June 2026</t>
  </si>
  <si>
    <t>July 2026 - September 2026</t>
  </si>
  <si>
    <t>October 2026 - December 2026</t>
  </si>
  <si>
    <t>January 2027 - March 2027</t>
  </si>
  <si>
    <t>April 2027 - June 2027</t>
  </si>
  <si>
    <t>July 2027 - September 2027</t>
  </si>
  <si>
    <t>October 2027 - December 2027</t>
  </si>
  <si>
    <t>January 2028 - March 2028</t>
  </si>
  <si>
    <t>April 2028 - June 2028</t>
  </si>
  <si>
    <t>July 2028 - September 2028</t>
  </si>
  <si>
    <t>October 2028 - December 2028</t>
  </si>
  <si>
    <t>\</t>
  </si>
  <si>
    <t>Monthly Balance</t>
  </si>
  <si>
    <t>Quarterly Debts</t>
  </si>
  <si>
    <t xml:space="preserve">Current </t>
  </si>
  <si>
    <t>Previous</t>
  </si>
  <si>
    <t>Date</t>
  </si>
  <si>
    <t>Last Balance</t>
  </si>
  <si>
    <t>Quarter</t>
  </si>
  <si>
    <t>Debts Amount</t>
  </si>
  <si>
    <t>Assets</t>
  </si>
  <si>
    <t>HSBC Bank Account</t>
  </si>
  <si>
    <t>cash</t>
  </si>
  <si>
    <t>Unit Trusts / Charity Trusts</t>
  </si>
  <si>
    <t>Bank Cheque From Tax</t>
  </si>
  <si>
    <t>Payment System (Alipay)</t>
  </si>
  <si>
    <t>Payment System (internet)</t>
  </si>
  <si>
    <t>Fixed Assest 
Properties / Data Centers</t>
  </si>
  <si>
    <t>Removable Assets</t>
  </si>
  <si>
    <t>Coins</t>
  </si>
  <si>
    <t>Google Play 
(play.google.com/redeem)</t>
  </si>
  <si>
    <t>yuu / MoneyBack / Bestmart 360</t>
  </si>
  <si>
    <t>Octopus Remain Value</t>
  </si>
  <si>
    <t>Other 5</t>
  </si>
  <si>
    <t>Total</t>
  </si>
  <si>
    <t>Name</t>
  </si>
  <si>
    <t>Description</t>
  </si>
  <si>
    <t>Amount</t>
  </si>
  <si>
    <t>Total Revenue</t>
  </si>
  <si>
    <t>Fix Expenses</t>
  </si>
  <si>
    <t>Fix Expenses Already Paid</t>
  </si>
  <si>
    <t>Mobile And Communications/ Housing Expenses</t>
  </si>
  <si>
    <t>Broadband</t>
  </si>
  <si>
    <t>China Mobile</t>
  </si>
  <si>
    <t>Telephone (Fixed Line)</t>
  </si>
  <si>
    <t>Sosim</t>
  </si>
  <si>
    <t>Birdie Sim Card</t>
  </si>
  <si>
    <t>Total Expenses</t>
  </si>
  <si>
    <t>Credit Card Installments/Government Installments</t>
  </si>
  <si>
    <t>Donation</t>
  </si>
  <si>
    <t>Traversy</t>
  </si>
  <si>
    <t>Traversy Media</t>
  </si>
  <si>
    <t>Orbis</t>
  </si>
  <si>
    <t>Orbis Eye Flight</t>
  </si>
  <si>
    <t>Insurance (Personal / Properties / Medical)</t>
  </si>
  <si>
    <t>AIA</t>
  </si>
  <si>
    <t>Other Expenses</t>
  </si>
  <si>
    <t>Other Stuff</t>
  </si>
  <si>
    <t>Food, Transport….</t>
  </si>
  <si>
    <t>Entertainment</t>
  </si>
  <si>
    <t>Sportify Music Paid For 7th of Each Month</t>
  </si>
  <si>
    <t>Hair Cutting</t>
  </si>
  <si>
    <t>Cigarettes</t>
  </si>
  <si>
    <t>Oxford Dictionary</t>
  </si>
  <si>
    <t>Paid For 19th of Each Month</t>
  </si>
  <si>
    <t>Grand Expenses Total</t>
  </si>
  <si>
    <t>Debts</t>
  </si>
  <si>
    <t>Mother</t>
  </si>
  <si>
    <t>Ng Wing Lam</t>
  </si>
  <si>
    <t>Lawrence</t>
  </si>
  <si>
    <t>Hong Kong Government Hospital Authority</t>
  </si>
  <si>
    <t>Bankruptcy Department / Bank</t>
  </si>
  <si>
    <t>Mother Air Ticket</t>
  </si>
  <si>
    <t>Mother Amazon Books</t>
  </si>
  <si>
    <t>Total Debts</t>
  </si>
  <si>
    <t>Grand Total</t>
  </si>
  <si>
    <t>Principal</t>
  </si>
  <si>
    <t>1. Direct Payback</t>
  </si>
  <si>
    <t>2. Additional Expenses</t>
  </si>
  <si>
    <t>Fixed Expense</t>
  </si>
  <si>
    <r>
      <rPr>
        <b/>
        <sz val="11"/>
        <color rgb="FFFF0000"/>
        <rFont val="Arial"/>
        <charset val="134"/>
      </rPr>
      <t>Total Debts / </t>
    </r>
    <r>
      <rPr>
        <b/>
        <sz val="11"/>
        <color rgb="FF4A86E8"/>
        <rFont val="Arial"/>
        <charset val="134"/>
      </rPr>
      <t>Credits</t>
    </r>
  </si>
  <si>
    <t>Overall</t>
  </si>
  <si>
    <t>Forecasts</t>
  </si>
  <si>
    <t>Net Debts:</t>
  </si>
  <si>
    <t>Social Welfare</t>
  </si>
  <si>
    <t>N/A</t>
  </si>
  <si>
    <t>1. Mother borrowed $570 For Buying Cigarette Buds.
2. Mother give $100 For Lunch (Without Paying Back).</t>
  </si>
  <si>
    <t>Additional Half Month Allowance</t>
  </si>
  <si>
    <t>Sportify</t>
  </si>
  <si>
    <t>Sportify $68 for 2 months</t>
  </si>
  <si>
    <t>Shit Birdie Mobile</t>
  </si>
  <si>
    <t>Stop Services</t>
  </si>
  <si>
    <t>- See the Doctor ~ $110
- Buy Cigarette Buds ~ $800</t>
  </si>
  <si>
    <t>-Visit prostitute $390
-Return Trip To Mong Kok ~ $6
~Brought a coke from a Machine ~ $6.5
~Sportify Subscription For 2 months (till 7th July)~ $68
~Oxford Dictionary $19.99 (Don't Need To Include)
~Round Trip to the East Kowloon hospital ~ $4
~KFC ~ $31
~Shu Shi (Chuk Yuen Plaza) ~ $98</t>
  </si>
  <si>
    <t>~ Payback $570 to Mom Plus Additional $300</t>
  </si>
  <si>
    <t>~ Payback $676.03 to Mom (Amazon Books) Hold Till Receive Half Month Allowances</t>
  </si>
  <si>
    <t>~ Food And Transport ~ $400
~ See the Doctor (Injection) ~ $19
~ See the Doctor For Blood Pressure ~ $50</t>
  </si>
  <si>
    <t>~ Buy Cigarette Buds ~ $800</t>
  </si>
  <si>
    <t>Balance Brought Forward From July 2024</t>
  </si>
  <si>
    <t>~ Payback $800 to Mom</t>
  </si>
  <si>
    <t>~ Food And Transport ~ $400</t>
  </si>
  <si>
    <t>~ Food And Transport ~ $400
~ See the Doctor (Injection) ~ $19</t>
  </si>
  <si>
    <t>- See the Doctor ~ $110
- Buy Cigarette Buds ~ $800
~ See the Doctor For Blood Pressure ~ $50</t>
  </si>
  <si>
    <t>~ Payback $300 to Mom</t>
  </si>
  <si>
    <t>~ Payback $400 to Mom For Air Ticket.</t>
  </si>
  <si>
    <t>- See the Doctor ~ $240
- Buy Cigarette Buds ~ $800</t>
  </si>
  <si>
    <t>~ Payback $683 to Mom For Air Ticket.</t>
  </si>
  <si>
    <t>- See the Doctor ~ $290
- Buy Cigarette Buds ~ $800
~ See the Doctor For Blood Pressure ~ $160</t>
  </si>
  <si>
    <t>- See the Doctor ~ $290
- Buy Cigarette Buds ~ $800</t>
  </si>
  <si>
    <t>~ Food And Transport ~ $400
~ See the Doctor (Injection) ~ $19
~ See the Doctor For Blood Pressure ~ $160</t>
  </si>
  <si>
    <t>31st October 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</si>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</sst>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409]#,##0.00;[Red]\-[$$-409]#,##0.00"/>
    <numFmt numFmtId="177" formatCode="&quot;$&quot;#,##0.00_);[Red]\(&quot;$&quot;#,##0.00\)"/>
    <numFmt numFmtId="178" formatCode="&quot;$&quot;#,##0.00"/>
    <numFmt numFmtId="179" formatCode="mmm\-yy"/>
    <numFmt numFmtId="180" formatCode="[$-409]d\-mmm\-yyyy;@"/>
  </numFmts>
  <fonts count="47">
    <font>
      <sz val="12"/>
      <color theme="1"/>
      <name val="Aptos Narrow"/>
      <charset val="134"/>
      <scheme val="minor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4A86E8"/>
      <name val="Arial"/>
      <charset val="134"/>
    </font>
    <font>
      <b/>
      <sz val="11"/>
      <color rgb="FFFF0000"/>
      <name val="Calibri"/>
      <charset val="1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b/>
      <sz val="11"/>
      <color theme="0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b/>
      <sz val="12"/>
      <color rgb="FF000000"/>
      <name val="Arial"/>
      <charset val="134"/>
    </font>
    <font>
      <b/>
      <sz val="12"/>
      <color rgb="FFFFFFFF"/>
      <name val="Arial"/>
      <charset val="134"/>
    </font>
    <font>
      <sz val="11"/>
      <color rgb="FF000000"/>
      <name val="Calibri"/>
      <charset val="1"/>
    </font>
    <font>
      <sz val="11"/>
      <name val="Arial"/>
      <charset val="134"/>
    </font>
    <font>
      <sz val="11"/>
      <color rgb="FF242424"/>
      <name val="Aptos Narrow"/>
      <charset val="1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sz val="11"/>
      <color rgb="FF000000"/>
      <name val="Arial"/>
      <charset val="1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72"/>
      <color theme="0"/>
      <name val="Arial Black"/>
      <charset val="134"/>
    </font>
    <font>
      <i/>
      <sz val="26"/>
      <color theme="0"/>
      <name val="Arial Black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4A86E8"/>
      <name val="Calibri"/>
      <charset val="1"/>
    </font>
    <font>
      <b/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2"/>
      <color rgb="FFFFFFFF"/>
      <name val="Calibri"/>
      <charset val="1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4A86E8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6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1" borderId="3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42" applyNumberFormat="0" applyAlignment="0" applyProtection="0">
      <alignment vertical="center"/>
    </xf>
    <xf numFmtId="0" fontId="33" fillId="13" borderId="43" applyNumberFormat="0" applyAlignment="0" applyProtection="0">
      <alignment vertical="center"/>
    </xf>
    <xf numFmtId="0" fontId="34" fillId="13" borderId="42" applyNumberFormat="0" applyAlignment="0" applyProtection="0">
      <alignment vertical="center"/>
    </xf>
    <xf numFmtId="0" fontId="35" fillId="14" borderId="44" applyNumberFormat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176" fontId="43" fillId="3" borderId="47">
      <alignment horizontal="center" vertical="center"/>
    </xf>
    <xf numFmtId="176" fontId="4" fillId="0" borderId="0" applyBorder="0" applyProtection="0">
      <alignment horizontal="center" vertical="center"/>
    </xf>
    <xf numFmtId="49" fontId="44" fillId="0" borderId="0" applyProtection="0">
      <alignment horizontal="center" vertical="center"/>
    </xf>
    <xf numFmtId="49" fontId="13" fillId="0" borderId="0" applyProtection="0">
      <alignment horizontal="left" vertical="center"/>
    </xf>
    <xf numFmtId="49" fontId="45" fillId="9" borderId="0" applyProtection="0">
      <alignment horizontal="center" vertical="center"/>
    </xf>
    <xf numFmtId="49" fontId="46" fillId="5" borderId="0" applyBorder="0" applyProtection="0">
      <alignment horizontal="center" vertical="center"/>
    </xf>
    <xf numFmtId="49" fontId="4" fillId="0" borderId="0" applyProtection="0">
      <alignment horizontal="right" vertical="center"/>
    </xf>
  </cellStyleXfs>
  <cellXfs count="2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51" applyFont="1" applyFill="1" applyBorder="1" applyAlignment="1" applyProtection="1">
      <alignment horizontal="center" vertical="center" wrapText="1"/>
    </xf>
    <xf numFmtId="49" fontId="2" fillId="3" borderId="3" xfId="51" applyFont="1" applyFill="1" applyBorder="1" applyAlignment="1" applyProtection="1">
      <alignment horizontal="center" vertical="center" wrapText="1"/>
    </xf>
    <xf numFmtId="176" fontId="3" fillId="3" borderId="2" xfId="49" applyNumberFormat="1" applyFont="1" applyBorder="1" applyAlignment="1">
      <alignment horizontal="center" vertical="center"/>
    </xf>
    <xf numFmtId="49" fontId="2" fillId="3" borderId="1" xfId="51" applyFont="1" applyFill="1" applyBorder="1" applyAlignment="1" applyProtection="1">
      <alignment horizontal="center" vertical="center" wrapText="1"/>
    </xf>
    <xf numFmtId="49" fontId="2" fillId="3" borderId="4" xfId="51" applyFont="1" applyFill="1" applyBorder="1" applyAlignment="1" applyProtection="1">
      <alignment horizontal="center" vertical="center" wrapText="1"/>
    </xf>
    <xf numFmtId="176" fontId="3" fillId="3" borderId="1" xfId="49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176" fontId="3" fillId="3" borderId="7" xfId="49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7" fillId="4" borderId="9" xfId="49" applyFont="1" applyFill="1" applyBorder="1" applyAlignment="1">
      <alignment horizontal="center" vertical="center"/>
    </xf>
    <xf numFmtId="176" fontId="7" fillId="4" borderId="10" xfId="49" applyFont="1" applyFill="1" applyBorder="1" applyAlignment="1">
      <alignment horizontal="center" vertical="center"/>
    </xf>
    <xf numFmtId="49" fontId="8" fillId="5" borderId="1" xfId="54" applyFont="1" applyBorder="1" applyAlignment="1" applyProtection="1">
      <alignment horizontal="center" vertical="center" wrapText="1"/>
    </xf>
    <xf numFmtId="49" fontId="8" fillId="5" borderId="1" xfId="54" applyFont="1" applyBorder="1" applyAlignment="1" applyProtection="1">
      <alignment horizontal="center" vertical="center"/>
    </xf>
    <xf numFmtId="49" fontId="2" fillId="0" borderId="1" xfId="51" applyFont="1" applyBorder="1" applyAlignment="1" applyProtection="1">
      <alignment horizontal="center" vertical="center" wrapText="1"/>
    </xf>
    <xf numFmtId="49" fontId="9" fillId="0" borderId="1" xfId="52" applyFont="1" applyBorder="1" applyAlignment="1" applyProtection="1">
      <alignment horizontal="left" vertical="center" wrapText="1"/>
    </xf>
    <xf numFmtId="49" fontId="9" fillId="0" borderId="1" xfId="52" applyFont="1" applyBorder="1" applyAlignment="1" applyProtection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5" fillId="0" borderId="11" xfId="55" applyFont="1" applyBorder="1" applyAlignment="1" applyProtection="1">
      <alignment horizontal="righ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2" fillId="0" borderId="1" xfId="0" applyFont="1" applyBorder="1" applyAlignment="1" applyProtection="1">
      <alignment vertical="center"/>
    </xf>
    <xf numFmtId="177" fontId="5" fillId="0" borderId="1" xfId="0" applyNumberFormat="1" applyFont="1" applyBorder="1" applyAlignment="1">
      <alignment vertical="center"/>
    </xf>
    <xf numFmtId="0" fontId="2" fillId="0" borderId="1" xfId="0" applyFont="1" applyBorder="1" applyAlignment="1" applyProtection="1">
      <alignment vertical="center" wrapText="1"/>
    </xf>
    <xf numFmtId="0" fontId="9" fillId="0" borderId="2" xfId="0" applyFont="1" applyBorder="1" applyAlignment="1">
      <alignment vertical="center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176" fontId="3" fillId="3" borderId="11" xfId="49" applyFont="1" applyBorder="1" applyAlignment="1">
      <alignment horizontal="center" vertical="center"/>
    </xf>
    <xf numFmtId="176" fontId="3" fillId="3" borderId="13" xfId="49" applyFont="1" applyBorder="1" applyAlignment="1">
      <alignment horizontal="center" vertical="center"/>
    </xf>
    <xf numFmtId="49" fontId="5" fillId="0" borderId="8" xfId="55" applyFont="1" applyBorder="1" applyAlignment="1" applyProtection="1">
      <alignment horizontal="right" vertical="center" wrapText="1"/>
    </xf>
    <xf numFmtId="176" fontId="3" fillId="3" borderId="14" xfId="49" applyFont="1" applyBorder="1" applyAlignment="1">
      <alignment horizontal="center" vertical="center"/>
    </xf>
    <xf numFmtId="176" fontId="3" fillId="3" borderId="15" xfId="49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left" vertical="center"/>
    </xf>
    <xf numFmtId="49" fontId="9" fillId="0" borderId="8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 wrapText="1"/>
    </xf>
    <xf numFmtId="4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178" fontId="10" fillId="0" borderId="8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vertical="center"/>
    </xf>
    <xf numFmtId="49" fontId="9" fillId="0" borderId="19" xfId="52" applyFont="1" applyBorder="1" applyAlignment="1" applyProtection="1">
      <alignment horizontal="left" vertical="center" wrapText="1"/>
    </xf>
    <xf numFmtId="49" fontId="9" fillId="0" borderId="19" xfId="52" applyFont="1" applyBorder="1" applyAlignment="1" applyProtection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176" fontId="5" fillId="0" borderId="19" xfId="50" applyFont="1" applyBorder="1" applyAlignment="1" applyProtection="1">
      <alignment horizontal="right" vertical="center"/>
    </xf>
    <xf numFmtId="177" fontId="5" fillId="0" borderId="7" xfId="0" applyNumberFormat="1" applyFont="1" applyBorder="1" applyAlignment="1">
      <alignment vertical="center"/>
    </xf>
    <xf numFmtId="178" fontId="6" fillId="0" borderId="8" xfId="0" applyNumberFormat="1" applyFont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178" fontId="10" fillId="0" borderId="8" xfId="0" applyNumberFormat="1" applyFont="1" applyBorder="1" applyAlignment="1">
      <alignment vertical="center"/>
    </xf>
    <xf numFmtId="0" fontId="11" fillId="6" borderId="11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11" fillId="6" borderId="8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9" fontId="9" fillId="0" borderId="22" xfId="52" applyFont="1" applyBorder="1" applyAlignment="1" applyProtection="1">
      <alignment horizontal="left" vertical="center" wrapText="1"/>
    </xf>
    <xf numFmtId="49" fontId="9" fillId="0" borderId="23" xfId="52" applyFont="1" applyBorder="1" applyAlignment="1" applyProtection="1">
      <alignment horizontal="left" vertical="center" wrapText="1"/>
    </xf>
    <xf numFmtId="49" fontId="14" fillId="0" borderId="22" xfId="52" applyFont="1" applyBorder="1" applyAlignment="1" applyProtection="1">
      <alignment horizontal="left" vertical="center"/>
    </xf>
    <xf numFmtId="49" fontId="14" fillId="0" borderId="4" xfId="52" applyFont="1" applyBorder="1" applyAlignment="1" applyProtection="1">
      <alignment horizontal="left" vertical="center"/>
    </xf>
    <xf numFmtId="49" fontId="2" fillId="0" borderId="22" xfId="51" applyFont="1" applyBorder="1" applyAlignment="1" applyProtection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176" fontId="3" fillId="3" borderId="20" xfId="49" applyFont="1" applyBorder="1" applyAlignment="1">
      <alignment horizontal="center" vertical="center"/>
    </xf>
    <xf numFmtId="176" fontId="3" fillId="3" borderId="24" xfId="49" applyFont="1" applyBorder="1" applyAlignment="1">
      <alignment horizontal="center" vertical="center"/>
    </xf>
    <xf numFmtId="177" fontId="5" fillId="0" borderId="1" xfId="0" applyNumberFormat="1" applyFont="1" applyBorder="1" applyAlignment="1" applyProtection="1">
      <alignment vertical="center"/>
    </xf>
    <xf numFmtId="49" fontId="9" fillId="0" borderId="2" xfId="52" applyFont="1" applyBorder="1" applyAlignment="1" applyProtection="1">
      <alignment horizontal="left" vertical="center" wrapText="1"/>
    </xf>
    <xf numFmtId="49" fontId="9" fillId="0" borderId="2" xfId="52" applyFont="1" applyBorder="1" applyAlignment="1" applyProtection="1">
      <alignment horizontal="left" vertical="center"/>
    </xf>
    <xf numFmtId="176" fontId="3" fillId="3" borderId="2" xfId="49" applyFont="1" applyBorder="1" applyAlignment="1">
      <alignment horizontal="center" vertical="center"/>
    </xf>
    <xf numFmtId="49" fontId="9" fillId="0" borderId="11" xfId="52" applyFont="1" applyBorder="1" applyAlignment="1" applyProtection="1">
      <alignment horizontal="left" vertical="center" wrapText="1"/>
    </xf>
    <xf numFmtId="49" fontId="9" fillId="0" borderId="11" xfId="52" applyFont="1" applyBorder="1" applyAlignment="1" applyProtection="1">
      <alignment horizontal="left" vertical="center"/>
    </xf>
    <xf numFmtId="49" fontId="9" fillId="0" borderId="8" xfId="52" applyFont="1" applyBorder="1" applyAlignment="1" applyProtection="1">
      <alignment horizontal="left" vertical="center"/>
    </xf>
    <xf numFmtId="176" fontId="5" fillId="0" borderId="19" xfId="50" applyFont="1" applyBorder="1" applyAlignment="1" applyProtection="1">
      <alignment vertical="center"/>
    </xf>
    <xf numFmtId="49" fontId="9" fillId="0" borderId="11" xfId="0" applyNumberFormat="1" applyFont="1" applyBorder="1" applyAlignment="1">
      <alignment horizontal="left" vertical="center" wrapText="1"/>
    </xf>
    <xf numFmtId="49" fontId="9" fillId="0" borderId="23" xfId="52" applyFont="1" applyBorder="1" applyAlignment="1" applyProtection="1">
      <alignment horizontal="left" vertical="center"/>
    </xf>
    <xf numFmtId="49" fontId="9" fillId="0" borderId="1" xfId="52" applyFont="1" applyBorder="1" applyAlignment="1" applyProtection="1">
      <alignment horizontal="center" vertical="center" wrapText="1"/>
    </xf>
    <xf numFmtId="49" fontId="9" fillId="0" borderId="11" xfId="52" applyFont="1" applyBorder="1" applyAlignment="1" applyProtection="1">
      <alignment horizontal="center" vertical="center" wrapText="1"/>
    </xf>
    <xf numFmtId="49" fontId="2" fillId="0" borderId="1" xfId="51" applyFont="1" applyBorder="1" applyAlignment="1" applyProtection="1">
      <alignment horizontal="center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49" fontId="2" fillId="0" borderId="1" xfId="52" applyFont="1" applyBorder="1" applyAlignment="1" applyProtection="1">
      <alignment horizontal="center" vertical="center" wrapText="1"/>
    </xf>
    <xf numFmtId="49" fontId="2" fillId="0" borderId="11" xfId="52" applyFont="1" applyBorder="1" applyAlignment="1" applyProtection="1">
      <alignment horizontal="center" vertical="center" wrapText="1"/>
    </xf>
    <xf numFmtId="49" fontId="9" fillId="0" borderId="22" xfId="52" applyFont="1" applyBorder="1" applyAlignment="1" applyProtection="1">
      <alignment horizontal="left" vertical="center"/>
    </xf>
    <xf numFmtId="177" fontId="5" fillId="0" borderId="1" xfId="0" applyNumberFormat="1" applyFont="1" applyBorder="1" applyAlignment="1">
      <alignment vertical="center" wrapText="1"/>
    </xf>
    <xf numFmtId="49" fontId="2" fillId="0" borderId="19" xfId="52" applyFont="1" applyBorder="1" applyAlignment="1" applyProtection="1">
      <alignment horizontal="left" vertical="center"/>
    </xf>
    <xf numFmtId="49" fontId="2" fillId="0" borderId="19" xfId="52" applyFont="1" applyBorder="1" applyAlignment="1" applyProtection="1">
      <alignment horizontal="left" vertical="center" wrapText="1"/>
    </xf>
    <xf numFmtId="49" fontId="9" fillId="0" borderId="11" xfId="0" applyNumberFormat="1" applyFont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49" fontId="9" fillId="0" borderId="19" xfId="52" applyFont="1" applyBorder="1" applyAlignment="1" applyProtection="1">
      <alignment vertical="center" wrapText="1"/>
    </xf>
    <xf numFmtId="49" fontId="2" fillId="0" borderId="19" xfId="52" applyFont="1" applyBorder="1" applyAlignment="1" applyProtection="1">
      <alignment vertical="center" wrapText="1"/>
    </xf>
    <xf numFmtId="177" fontId="5" fillId="0" borderId="1" xfId="0" applyNumberFormat="1" applyFont="1" applyBorder="1" applyAlignment="1">
      <alignment horizontal="right" vertical="center"/>
    </xf>
    <xf numFmtId="49" fontId="2" fillId="0" borderId="19" xfId="51" applyFont="1" applyBorder="1" applyAlignment="1" applyProtection="1">
      <alignment horizontal="center" vertical="center" wrapText="1"/>
    </xf>
    <xf numFmtId="49" fontId="9" fillId="0" borderId="25" xfId="52" applyFont="1" applyBorder="1" applyAlignment="1" applyProtection="1">
      <alignment horizontal="left" vertical="center" wrapText="1"/>
    </xf>
    <xf numFmtId="49" fontId="9" fillId="0" borderId="15" xfId="52" applyFont="1" applyBorder="1" applyAlignment="1" applyProtection="1">
      <alignment horizontal="left" vertical="center" wrapText="1"/>
    </xf>
    <xf numFmtId="49" fontId="9" fillId="0" borderId="25" xfId="52" applyFont="1" applyBorder="1" applyAlignment="1" applyProtection="1">
      <alignment horizontal="left" vertical="center"/>
    </xf>
    <xf numFmtId="49" fontId="9" fillId="0" borderId="26" xfId="52" applyFont="1" applyBorder="1" applyAlignment="1" applyProtection="1">
      <alignment horizontal="left" vertical="center" wrapText="1"/>
    </xf>
    <xf numFmtId="49" fontId="9" fillId="0" borderId="27" xfId="52" applyFont="1" applyBorder="1" applyAlignment="1" applyProtection="1">
      <alignment horizontal="left" vertical="center" wrapText="1"/>
    </xf>
    <xf numFmtId="49" fontId="15" fillId="0" borderId="25" xfId="52" applyFont="1" applyBorder="1" applyAlignment="1" applyProtection="1">
      <alignment horizontal="left" vertical="center" wrapText="1"/>
    </xf>
    <xf numFmtId="49" fontId="9" fillId="0" borderId="26" xfId="52" applyFont="1" applyBorder="1" applyAlignment="1" applyProtection="1">
      <alignment horizontal="left" vertical="center"/>
    </xf>
    <xf numFmtId="177" fontId="5" fillId="0" borderId="1" xfId="0" applyNumberFormat="1" applyFont="1" applyBorder="1"/>
    <xf numFmtId="49" fontId="9" fillId="0" borderId="28" xfId="52" applyFont="1" applyBorder="1" applyAlignment="1" applyProtection="1">
      <alignment horizontal="left" vertical="center"/>
    </xf>
    <xf numFmtId="49" fontId="9" fillId="0" borderId="29" xfId="52" applyFont="1" applyBorder="1" applyAlignment="1" applyProtection="1">
      <alignment horizontal="left" vertical="center"/>
    </xf>
    <xf numFmtId="176" fontId="3" fillId="3" borderId="5" xfId="49" applyFont="1" applyBorder="1" applyAlignment="1">
      <alignment horizontal="center" vertical="center"/>
    </xf>
    <xf numFmtId="176" fontId="3" fillId="3" borderId="30" xfId="49" applyFont="1" applyBorder="1" applyAlignment="1">
      <alignment horizontal="center" vertical="center"/>
    </xf>
    <xf numFmtId="176" fontId="3" fillId="3" borderId="31" xfId="49" applyFont="1" applyBorder="1" applyAlignment="1">
      <alignment horizontal="center" vertical="center"/>
    </xf>
    <xf numFmtId="49" fontId="9" fillId="0" borderId="32" xfId="52" applyFont="1" applyBorder="1" applyAlignment="1" applyProtection="1">
      <alignment horizontal="left" vertical="center"/>
    </xf>
    <xf numFmtId="49" fontId="9" fillId="0" borderId="4" xfId="52" applyFont="1" applyBorder="1" applyAlignment="1" applyProtection="1">
      <alignment horizontal="left" vertical="center"/>
    </xf>
    <xf numFmtId="40" fontId="6" fillId="0" borderId="0" xfId="0" applyNumberFormat="1" applyFont="1" applyAlignment="1">
      <alignment vertical="center" wrapText="1"/>
    </xf>
    <xf numFmtId="49" fontId="9" fillId="0" borderId="8" xfId="0" applyNumberFormat="1" applyFont="1" applyBorder="1" applyAlignment="1">
      <alignment horizontal="left" vertical="center" wrapText="1"/>
    </xf>
    <xf numFmtId="49" fontId="2" fillId="0" borderId="33" xfId="52" applyFont="1" applyBorder="1" applyAlignment="1" applyProtection="1">
      <alignment horizontal="left" vertical="center" wrapText="1"/>
    </xf>
    <xf numFmtId="49" fontId="2" fillId="0" borderId="32" xfId="52" applyFont="1" applyBorder="1" applyAlignment="1" applyProtection="1">
      <alignment horizontal="left" vertical="center" wrapText="1"/>
    </xf>
    <xf numFmtId="0" fontId="6" fillId="0" borderId="0" xfId="0" applyFont="1"/>
    <xf numFmtId="0" fontId="16" fillId="8" borderId="1" xfId="0" applyFont="1" applyFill="1" applyBorder="1" applyAlignment="1">
      <alignment horizontal="center" vertical="center"/>
    </xf>
    <xf numFmtId="49" fontId="1" fillId="9" borderId="34" xfId="53" applyFont="1" applyBorder="1" applyAlignment="1" applyProtection="1">
      <alignment horizontal="center" vertical="center" wrapText="1"/>
    </xf>
    <xf numFmtId="49" fontId="1" fillId="9" borderId="3" xfId="53" applyFont="1" applyBorder="1" applyAlignment="1" applyProtection="1">
      <alignment horizontal="center" vertical="center" wrapText="1"/>
    </xf>
    <xf numFmtId="49" fontId="1" fillId="9" borderId="2" xfId="53" applyFont="1" applyBorder="1" applyAlignment="1" applyProtection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2" fillId="3" borderId="23" xfId="51" applyFont="1" applyFill="1" applyBorder="1" applyAlignment="1" applyProtection="1">
      <alignment horizontal="center" vertical="center" wrapText="1"/>
    </xf>
    <xf numFmtId="176" fontId="3" fillId="3" borderId="22" xfId="49" applyFont="1" applyBorder="1">
      <alignment horizontal="center" vertical="center"/>
    </xf>
    <xf numFmtId="49" fontId="2" fillId="3" borderId="5" xfId="51" applyFont="1" applyFill="1" applyBorder="1" applyAlignment="1" applyProtection="1">
      <alignment horizontal="center" vertical="center" wrapText="1"/>
    </xf>
    <xf numFmtId="49" fontId="2" fillId="3" borderId="17" xfId="51" applyFont="1" applyFill="1" applyBorder="1" applyAlignment="1" applyProtection="1">
      <alignment horizontal="center" vertical="center" wrapText="1"/>
    </xf>
    <xf numFmtId="49" fontId="2" fillId="3" borderId="35" xfId="51" applyFont="1" applyFill="1" applyBorder="1" applyAlignment="1" applyProtection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49" fontId="5" fillId="0" borderId="1" xfId="55" applyFont="1" applyBorder="1" applyAlignment="1" applyProtection="1">
      <alignment horizontal="right" vertical="center" wrapText="1"/>
    </xf>
    <xf numFmtId="176" fontId="3" fillId="3" borderId="4" xfId="49" applyNumberFormat="1" applyFont="1" applyBorder="1">
      <alignment horizontal="center" vertical="center"/>
    </xf>
    <xf numFmtId="49" fontId="2" fillId="3" borderId="20" xfId="5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8" fillId="0" borderId="11" xfId="0" applyFont="1" applyBorder="1" applyAlignment="1">
      <alignment horizontal="left" vertical="center" wrapText="1"/>
    </xf>
    <xf numFmtId="49" fontId="2" fillId="0" borderId="22" xfId="51" applyFont="1" applyBorder="1" applyAlignment="1" applyProtection="1">
      <alignment horizontal="center" vertical="top" wrapText="1"/>
    </xf>
    <xf numFmtId="49" fontId="9" fillId="0" borderId="1" xfId="52" applyFont="1" applyBorder="1" applyAlignment="1" applyProtection="1">
      <alignment horizontal="left" vertical="top" wrapText="1"/>
    </xf>
    <xf numFmtId="49" fontId="2" fillId="0" borderId="36" xfId="51" applyFont="1" applyBorder="1" applyAlignment="1" applyProtection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1" fillId="6" borderId="11" xfId="0" applyFont="1" applyFill="1" applyBorder="1" applyAlignment="1">
      <alignment wrapText="1"/>
    </xf>
    <xf numFmtId="0" fontId="11" fillId="6" borderId="12" xfId="0" applyFont="1" applyFill="1" applyBorder="1" applyAlignment="1">
      <alignment wrapText="1"/>
    </xf>
    <xf numFmtId="0" fontId="11" fillId="6" borderId="8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176" fontId="3" fillId="3" borderId="1" xfId="49" applyFont="1" applyBorder="1">
      <alignment horizontal="center" vertical="center"/>
    </xf>
    <xf numFmtId="0" fontId="6" fillId="0" borderId="0" xfId="0" applyFont="1" applyAlignment="1">
      <alignment wrapText="1"/>
    </xf>
    <xf numFmtId="49" fontId="2" fillId="3" borderId="19" xfId="51" applyFont="1" applyFill="1" applyBorder="1" applyAlignment="1" applyProtection="1">
      <alignment horizontal="center" vertical="center" wrapText="1"/>
    </xf>
    <xf numFmtId="176" fontId="3" fillId="3" borderId="1" xfId="49" applyNumberFormat="1" applyFont="1" applyBorder="1">
      <alignment horizontal="center" vertical="center"/>
    </xf>
    <xf numFmtId="176" fontId="3" fillId="3" borderId="12" xfId="49" applyFont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49" fontId="1" fillId="9" borderId="11" xfId="53" applyFont="1" applyBorder="1" applyAlignment="1" applyProtection="1">
      <alignment horizontal="center" vertical="center" wrapText="1"/>
    </xf>
    <xf numFmtId="49" fontId="1" fillId="9" borderId="7" xfId="53" applyFont="1" applyBorder="1" applyAlignment="1" applyProtection="1">
      <alignment horizontal="center" vertical="center" wrapText="1"/>
    </xf>
    <xf numFmtId="179" fontId="19" fillId="0" borderId="20" xfId="0" applyNumberFormat="1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19" fillId="0" borderId="37" xfId="0" applyNumberFormat="1" applyFont="1" applyBorder="1" applyAlignment="1">
      <alignment horizontal="center" vertical="center"/>
    </xf>
    <xf numFmtId="49" fontId="1" fillId="9" borderId="5" xfId="53" applyFont="1" applyBorder="1" applyAlignment="1" applyProtection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7" fontId="5" fillId="0" borderId="1" xfId="0" applyNumberFormat="1" applyFont="1" applyBorder="1" applyAlignment="1"/>
    <xf numFmtId="0" fontId="9" fillId="0" borderId="1" xfId="0" applyFont="1" applyBorder="1" applyAlignment="1"/>
    <xf numFmtId="0" fontId="5" fillId="0" borderId="1" xfId="0" applyFont="1" applyBorder="1" applyAlignment="1">
      <alignment horizontal="right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49" fontId="9" fillId="0" borderId="19" xfId="52" applyFont="1" applyBorder="1" applyProtection="1">
      <alignment horizontal="left" vertical="center"/>
    </xf>
    <xf numFmtId="49" fontId="2" fillId="0" borderId="19" xfId="51" applyFont="1" applyBorder="1" applyAlignment="1" applyProtection="1">
      <alignment horizontal="left" vertical="center"/>
    </xf>
    <xf numFmtId="0" fontId="9" fillId="0" borderId="11" xfId="0" applyFont="1" applyBorder="1" applyAlignment="1">
      <alignment vertical="center" wrapText="1"/>
    </xf>
    <xf numFmtId="176" fontId="3" fillId="3" borderId="1" xfId="49" applyFont="1" applyBorder="1" applyAlignment="1">
      <alignment horizontal="right" vertical="center"/>
    </xf>
    <xf numFmtId="176" fontId="3" fillId="3" borderId="38" xfId="49" applyFont="1" applyBorder="1" applyAlignment="1">
      <alignment horizontal="right" vertical="center"/>
    </xf>
    <xf numFmtId="176" fontId="3" fillId="3" borderId="19" xfId="49" applyFont="1" applyBorder="1" applyAlignment="1">
      <alignment horizontal="right" vertical="center"/>
    </xf>
    <xf numFmtId="49" fontId="2" fillId="0" borderId="19" xfId="51" applyFont="1" applyBorder="1" applyAlignment="1" applyProtection="1">
      <alignment horizontal="left" vertical="center" wrapText="1"/>
    </xf>
    <xf numFmtId="0" fontId="6" fillId="0" borderId="0" xfId="0" applyFont="1" applyAlignment="1"/>
    <xf numFmtId="0" fontId="13" fillId="0" borderId="1" xfId="0" applyFont="1" applyBorder="1" applyAlignment="1"/>
    <xf numFmtId="0" fontId="10" fillId="0" borderId="0" xfId="0" applyFont="1"/>
    <xf numFmtId="0" fontId="20" fillId="10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0" fillId="10" borderId="37" xfId="0" applyFont="1" applyFill="1" applyBorder="1" applyAlignment="1">
      <alignment horizontal="center" vertical="center" wrapText="1"/>
    </xf>
    <xf numFmtId="180" fontId="10" fillId="0" borderId="37" xfId="0" applyNumberFormat="1" applyFont="1" applyBorder="1" applyAlignment="1">
      <alignment horizontal="center" vertical="center" wrapText="1"/>
    </xf>
    <xf numFmtId="180" fontId="10" fillId="0" borderId="7" xfId="0" applyNumberFormat="1" applyFont="1" applyBorder="1" applyAlignment="1">
      <alignment horizontal="center" vertical="center" wrapText="1"/>
    </xf>
    <xf numFmtId="180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/>
    </xf>
    <xf numFmtId="0" fontId="22" fillId="10" borderId="0" xfId="0" applyFont="1" applyFill="1" applyBorder="1" applyAlignment="1">
      <alignment horizontal="center" vertical="top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Value" xfId="49"/>
    <cellStyle name="Expense Value" xfId="50"/>
    <cellStyle name="Item Label" xfId="51"/>
    <cellStyle name="Item Text" xfId="52"/>
    <cellStyle name="Legend Sub Header" xfId="53"/>
    <cellStyle name="Revenue Header Font" xfId="54"/>
    <cellStyle name="Total Label" xfId="55"/>
  </cellStyles>
  <dxfs count="7">
    <dxf>
      <font>
        <color theme="3" tint="0.499984740745262"/>
      </font>
      <fill>
        <patternFill patternType="solid">
          <bgColor theme="0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5B9BD5"/>
      </font>
      <fill>
        <patternFill patternType="solid">
          <bgColor theme="0"/>
        </patternFill>
      </fill>
    </dxf>
    <dxf>
      <font>
        <b val="1"/>
        <i val="0"/>
        <color rgb="FF5B9BD5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  <dxf>
      <font>
        <name val="Calibri"/>
        <scheme val="none"/>
        <charset val="1"/>
        <b val="1"/>
        <sz val="11"/>
        <color rgb="FF2A6099"/>
      </font>
      <numFmt numFmtId="176" formatCode="[$$-409]#,##0.00;[Red]\-[$$-409]#,##0.00"/>
    </dxf>
    <dxf>
      <font>
        <name val="Calibri"/>
        <scheme val="none"/>
        <charset val="1"/>
        <b val="1"/>
        <i val="0"/>
        <strike val="0"/>
        <u val="none"/>
        <sz val="11"/>
        <color rgb="FF2A6099"/>
      </font>
      <numFmt numFmtId="176" formatCode="[$$-409]#,##0.00;[Red]\-[$$-409]#,##0.00"/>
    </dxf>
  </dxfs>
  <tableStyles count="0" defaultTableStyle="TableStyleMedium2" defaultPivotStyle="PivotStyleMedium9"/>
  <colors>
    <mruColors>
      <color rgb="005B9B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eetMetadata" Target="metadata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2"/>
  <sheetViews>
    <sheetView tabSelected="1" workbookViewId="0">
      <selection activeCell="AA2" sqref="AA2"/>
    </sheetView>
  </sheetViews>
  <sheetFormatPr defaultColWidth="8.875" defaultRowHeight="17.6"/>
  <sheetData>
    <row r="1" spans="1:26">
      <c r="A1" s="242" t="s">
        <v>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 spans="1:26">
      <c r="A2" s="2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 spans="1:26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</row>
    <row r="4" spans="1:26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 spans="1:26">
      <c r="A5" s="242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</row>
    <row r="6" spans="1:26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spans="1:26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spans="1:26">
      <c r="A8" s="242"/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 spans="1:26">
      <c r="A9" s="242"/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</row>
    <row r="10" spans="1:26">
      <c r="A10" s="242"/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</row>
    <row r="11" spans="1:26">
      <c r="A11" s="242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 spans="1:26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 spans="1:26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</row>
    <row r="14" spans="1:26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</row>
    <row r="15" spans="1:26">
      <c r="A15" s="242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</row>
    <row r="16" spans="1:26">
      <c r="A16" s="242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 spans="1:26">
      <c r="A17" s="242"/>
      <c r="B17" s="242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 spans="1:26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</row>
    <row r="19" spans="1:26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</row>
    <row r="20" spans="1:26">
      <c r="A20" s="242"/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</row>
    <row r="21" spans="1:26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 spans="1:26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</row>
    <row r="23" spans="1:26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</row>
    <row r="24" spans="1:26">
      <c r="A24" s="242"/>
      <c r="B24" s="242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</row>
    <row r="25" spans="1:26">
      <c r="A25" s="242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</row>
    <row r="26" spans="1:26">
      <c r="A26" s="242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</row>
    <row r="27" spans="1:26">
      <c r="A27" s="242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</row>
    <row r="28" spans="1:26">
      <c r="A28" s="242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</row>
    <row r="29" spans="1:26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</row>
    <row r="30" spans="1:26">
      <c r="A30" s="2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</row>
    <row r="31" spans="1:26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</row>
    <row r="32" spans="1:26">
      <c r="A32" s="243" t="s">
        <v>1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</row>
    <row r="33" spans="1:26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</row>
    <row r="34" spans="1:26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</row>
    <row r="35" spans="1:26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</row>
    <row r="36" spans="1:26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</row>
    <row r="37" spans="1:26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</row>
    <row r="38" spans="1:26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</row>
    <row r="39" spans="1:26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</row>
    <row r="40" spans="1:26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</row>
    <row r="41" spans="1:26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</row>
    <row r="42" spans="1:26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</row>
    <row r="43" spans="1:26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</row>
    <row r="44" spans="1:26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</row>
    <row r="45" spans="1:26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</row>
    <row r="46" spans="1:26">
      <c r="A46" s="243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</row>
    <row r="47" spans="1:26">
      <c r="A47" s="243"/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</row>
    <row r="48" spans="1:26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</row>
    <row r="49" spans="1:26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</row>
    <row r="50" spans="1:26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</row>
    <row r="51" spans="1:26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</row>
    <row r="52" spans="1:26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</row>
    <row r="53" spans="1:26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</row>
    <row r="54" spans="1:26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</row>
    <row r="55" spans="1:26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</row>
    <row r="56" spans="1:26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</row>
    <row r="57" spans="1:26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</row>
    <row r="58" spans="1:26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</row>
    <row r="59" spans="1:26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</row>
    <row r="60" spans="1:26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</row>
    <row r="61" spans="1:26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</row>
    <row r="62" spans="1:26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</row>
  </sheetData>
  <sheetProtection sheet="1" objects="1"/>
  <mergeCells count="2">
    <mergeCell ref="A1:Z31"/>
    <mergeCell ref="A32:Z6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topLeftCell="A2" workbookViewId="0">
      <selection activeCell="B51" sqref="B51:B53"/>
    </sheetView>
  </sheetViews>
  <sheetFormatPr defaultColWidth="9" defaultRowHeight="16.8" outlineLevelCol="1"/>
  <cols>
    <col min="1" max="1" width="43.25" style="222" customWidth="1"/>
    <col min="2" max="2" width="34.125" style="222" customWidth="1"/>
    <col min="3" max="16384" width="9" style="222"/>
  </cols>
  <sheetData>
    <row r="1" ht="45" customHeight="1" spans="1:2">
      <c r="A1" s="223" t="s">
        <v>2</v>
      </c>
      <c r="B1" s="224" t="s">
        <v>3</v>
      </c>
    </row>
    <row r="2" ht="45" customHeight="1" spans="1:2">
      <c r="A2" s="225" t="s">
        <v>4</v>
      </c>
      <c r="B2" s="226" t="b">
        <v>1</v>
      </c>
    </row>
    <row r="3" ht="36" customHeight="1" spans="1:2">
      <c r="A3" s="227" t="s">
        <v>5</v>
      </c>
      <c r="B3" s="228">
        <v>45677</v>
      </c>
    </row>
    <row r="4" ht="45" customHeight="1" spans="1:2">
      <c r="A4" s="223" t="s">
        <v>6</v>
      </c>
      <c r="B4" s="229" t="str">
        <f>IF(B2,TEXT(EDATE(B3,1)-1,"dd-mmm-yyyy"),TEXT(EDATE(B3,1)-1,"dd-mmm-yyyy"))</f>
        <v>19-Feb-2025</v>
      </c>
    </row>
    <row r="5" ht="45" customHeight="1" spans="1:2">
      <c r="A5" s="225" t="s">
        <v>7</v>
      </c>
      <c r="B5" s="230">
        <v>45777</v>
      </c>
    </row>
    <row r="6" ht="45" customHeight="1" spans="1:2">
      <c r="A6" s="225"/>
      <c r="B6" s="230"/>
    </row>
    <row r="7" ht="24.75" customHeight="1" spans="1:2">
      <c r="A7" s="231"/>
      <c r="B7" s="232"/>
    </row>
    <row r="8" ht="39.95" customHeight="1" spans="1:2">
      <c r="A8" s="233" t="s">
        <v>8</v>
      </c>
      <c r="B8" s="233"/>
    </row>
    <row r="9" ht="20.25" customHeight="1" spans="1:2">
      <c r="A9" s="234" t="str">
        <f>TEXT(B3,"dd mmmm yyyy")&amp;" - "&amp;IF(B2,TEXT(EDATE(B3,1)-1,"dd mmmm yyyy"),TEXT(B3+B5-B3,"dd mmmm yyyy"))</f>
        <v>20 January 2025 - 19 February 2025</v>
      </c>
      <c r="B9" s="235" t="s">
        <v>9</v>
      </c>
    </row>
    <row r="10" ht="20.25" customHeight="1" spans="1:2">
      <c r="A10" s="226" t="str">
        <f>IF(B2,TEXT(EDATE(B3,1),"dd mmmm yyyy"),TEXT(B3+(B5-B3)+1,"dd mmmm yyyy"))&amp;" - "&amp;IF(B2,TEXT(EDATE(B3,2)-1,"dd mmmm yyyy"),TEXT(B3+(B5-B3)*2+1,"dd mmmm yyyy"))</f>
        <v>20 February 2025 - 19 March 2025</v>
      </c>
      <c r="B10" s="235"/>
    </row>
    <row r="11" ht="20.25" customHeight="1" spans="1:2">
      <c r="A11" s="226" t="str">
        <f>IF(B2,TEXT(EDATE(B3,2),"dd mmmm yyyy"),TEXT(B3+((B5-B3)*2)+2,"dd mmmm yyyy"))&amp;" - "&amp;IF(B2,TEXT(EDATE(B3,3)-1,"dd mmmm yyyy"),TEXT(B3+((B5-B3)*3+2),"dd mmmm yyyy"))</f>
        <v>20 March 2025 - 19 April 2025</v>
      </c>
      <c r="B11" s="236"/>
    </row>
    <row r="12" ht="20.25" customHeight="1" spans="1:2">
      <c r="A12" s="237" t="str">
        <f>IF(B2,TEXT(EDATE(B3,3),"dd mmmm yyyy"),TEXT(B3+((B5-B3)*3)+3,"dd mmmm yyyy"))&amp;" - "&amp;IF(B2,TEXT(EDATE(B3,4)-1,"dd mmmm yyyy"),TEXT(B3+(((B5-B3)*4)+3),"dd mmmm yyyy"))</f>
        <v>20 April 2025 - 19 May 2025</v>
      </c>
      <c r="B12" s="224" t="s">
        <v>10</v>
      </c>
    </row>
    <row r="13" ht="20.25" customHeight="1" spans="1:2">
      <c r="A13" s="237" t="str">
        <f>IF(B2,TEXT(EDATE(B3,4),"dd mmmm yyyy"),TEXT(B3+((B5-B3)*4)+4,"dd mmmm yyyy"))&amp;" - "&amp;IF(B2,TEXT(EDATE(B3,5)-1,"dd mmmm yyyy"),TEXT(B3+(((B5-B3)*5)+4),"dd mmmm yyyy"))</f>
        <v>20 May 2025 - 19 June 2025</v>
      </c>
      <c r="B13" s="238"/>
    </row>
    <row r="14" ht="20.25" customHeight="1" spans="1:2">
      <c r="A14" s="226" t="str">
        <f>IF(B2,TEXT(EDATE(B3,5),"dd mmmm yyyy"),TEXT(B3+((B5-B3)*5)+5,"dd mmmm yyyy"))&amp;" - "&amp;IF(B2,TEXT(EDATE(B3,6)-1,"dd mmmm yyyy"),TEXT(B3+(((B5-B3)*6)+5),"dd mmmm yyyy"))</f>
        <v>20 June 2025 - 19 July 2025</v>
      </c>
      <c r="B14" s="239"/>
    </row>
    <row r="15" ht="20.25" customHeight="1" spans="1:2">
      <c r="A15" s="226" t="str">
        <f>IF(B2,TEXT(EDATE(B3,6),"dd mmmm yyyy"),TEXT(B3+((B5-B3)*6)+6,"dd mmmm yyyy"))&amp;" - "&amp;IF(B2,TEXT(EDATE(B3,7)-1,"dd mmmm yyyy"),TEXT(B3+(((B5-B3)*7)+6),"dd mmmm yyyy"))</f>
        <v>20 July 2025 - 19 August 2025</v>
      </c>
      <c r="B15" s="224" t="s">
        <v>11</v>
      </c>
    </row>
    <row r="16" ht="20.25" customHeight="1" spans="1:2">
      <c r="A16" s="226" t="str">
        <f>IF(B2,TEXT(EDATE(B3,7),"dd mmmm yyyy"),TEXT(B3+((B5-B3)*7)+7,"dd mmmm yyyy"))&amp;" - "&amp;IF(B2,TEXT(EDATE(B3,8)-1,"dd mmmm yyyy"),TEXT(B3+(((B5-B3)*8)+7),"dd mmmm yyyy"))</f>
        <v>20 August 2025 - 19 September 2025</v>
      </c>
      <c r="B16" s="238"/>
    </row>
    <row r="17" ht="20.25" customHeight="1" spans="1:2">
      <c r="A17" s="226" t="str">
        <f>IF(B2,TEXT(EDATE(B3,8),"dd mmmm yyyy"),TEXT(B3+((B5-B3)*8)+8,"dd mmmm yyyy"))&amp;" - "&amp;IF(B2,TEXT(EDATE(B3,9)-1,"dd mmmm yyyy"),TEXT(B3+(((B5-B3)*9)+8),"dd mmmm yyyy"))</f>
        <v>20 September 2025 - 19 October 2025</v>
      </c>
      <c r="B17" s="239"/>
    </row>
    <row r="18" ht="20.25" customHeight="1" spans="1:2">
      <c r="A18" s="226" t="str">
        <f>IF(B2,TEXT(EDATE(B3,9),"dd mmmm yyyy"),TEXT(B3+((B5-B3)*9)+9,"dd mmmm yyyy"))&amp;" - "&amp;IF(B2,TEXT(EDATE(B3,10)-1,"dd mmmm yyyy"),TEXT(B3+(((B5-B3)*10)+9),"dd mmmm yyyy"))</f>
        <v>20 October 2025 - 19 November 2025</v>
      </c>
      <c r="B18" s="224" t="s">
        <v>12</v>
      </c>
    </row>
    <row r="19" ht="20.25" customHeight="1" spans="1:2">
      <c r="A19" s="226" t="str">
        <f>IF(B2,TEXT(EDATE(B3,10),"dd mmmm yyyy"),TEXT(B3+((B5-B3)*10)+10,"dd mmmm yyyy"))&amp;" - "&amp;IF(B2,TEXT(EDATE(B3,11)-1,"dd mmmm yyyy"),TEXT(B3+(((B5-B3)*11)+10),"dd mmmm yyyy"))</f>
        <v>20 November 2025 - 19 December 2025</v>
      </c>
      <c r="B19" s="238"/>
    </row>
    <row r="20" ht="20.25" customHeight="1" spans="1:2">
      <c r="A20" s="240" t="str">
        <f>IF(B2,TEXT(EDATE(B3,11),"dd mmmm yyyy"),TEXT(B3+((B5-B3)*11)+11,"dd mmmm yyyy"))&amp;" - "&amp;IF(B2,TEXT(EDATE(B3,12)-1,"dd mmmm yyyy"),TEXT(B3+(((B5-B3)*12)+11),"dd mmmm yyyy"))</f>
        <v>20 December 2025 - 19 January 2026</v>
      </c>
      <c r="B20" s="239"/>
    </row>
    <row r="21" ht="20.25" customHeight="1" spans="1:2">
      <c r="A21" s="241" t="str">
        <f>IF(B2,TEXT(EDATE(B3,12),"dd mmmm yyyy"),TEXT(B3+((B5-B3)*12)+12,"dd mmmm yyyy"))&amp;" - "&amp;IF(B2,TEXT(EDATE(B3,13)-1,"dd mmmm yyyy"),TEXT(B3+(((B5-B3)*13)+12),"dd mmmm yyyy"))</f>
        <v>20 January 2026 - 19 February 2026</v>
      </c>
      <c r="B21" s="226" t="s">
        <v>13</v>
      </c>
    </row>
    <row r="22" ht="20.25" customHeight="1" spans="1:2">
      <c r="A22" s="241" t="str">
        <f>IF(B2,TEXT(EDATE(B3,13),"dd mmmm yyyy"),TEXT(B3+((B5-B3)*13)+13,"dd mmmm yyyy"))&amp;" - "&amp;IF(B2,TEXT(EDATE(B3,14)-1,"dd mmmm yyyy"),TEXT(B3+(((B5-B3)*14)+13),"dd mmmm yyyy"))</f>
        <v>20 February 2026 - 19 March 2026</v>
      </c>
      <c r="B22" s="226"/>
    </row>
    <row r="23" ht="20.25" customHeight="1" spans="1:2">
      <c r="A23" s="240" t="str">
        <f>IF(B2,TEXT(EDATE(B3,14),"dd mmmm yyyy"),TEXT(B3+((B5-B3)*14)+14,"dd mmmm yyyy"))&amp;" - "&amp;IF(B2,TEXT(EDATE(B3,15)-1,"dd mmmm yyyy"),TEXT(B3+(((B5-B3)*15)+14),"dd mmmm yyyy"))</f>
        <v>20 March 2026 - 19 April 2026</v>
      </c>
      <c r="B23" s="224"/>
    </row>
    <row r="24" ht="20.25" customHeight="1" spans="1:2">
      <c r="A24" s="226" t="str">
        <f>IF(B2,TEXT(EDATE(B3,15),"dd mmmm yyyy"),TEXT(B3+((B5-B3)*15)+15,"dd mmmm yyyy"))&amp;" - "&amp;IF(B2,TEXT(EDATE(B3,16)-1,"dd mmmm yyyy"),TEXT(B3+(((B5-B3)*16)+15),"dd mmmm yyyy"))</f>
        <v>20 April 2026 - 19 May 2026</v>
      </c>
      <c r="B24" s="226" t="s">
        <v>14</v>
      </c>
    </row>
    <row r="25" ht="20.25" customHeight="1" spans="1:2">
      <c r="A25" s="226" t="str">
        <f>IF(B2,TEXT(EDATE(B3,16),"dd mmmm yyyy"),TEXT(B3+((B5-B3)*16)+16,"dd mmmm yyyy"))&amp;" - "&amp;IF(B2,TEXT(EDATE(B3,17)-1,"dd mmmm yyyy"),TEXT(B3+(((B5-B3)*17)+16),"dd mmmm yyyy"))</f>
        <v>20 May 2026 - 19 June 2026</v>
      </c>
      <c r="B25" s="226"/>
    </row>
    <row r="26" ht="20.25" customHeight="1" spans="1:2">
      <c r="A26" s="224" t="str">
        <f>IF(B2,TEXT(EDATE(B3,17),"dd mmmm yyyy"),TEXT(B3+((B5-B3)*17)+17,"dd mmmm yyyy"))&amp;" - "&amp;IF(B2,TEXT(EDATE(B3,18)-1,"dd mmmm yyyy"),TEXT(B3+(((B5-B3)*18)+17),"dd mmmm yyyy"))</f>
        <v>20 June 2026 - 19 July 2026</v>
      </c>
      <c r="B26" s="224"/>
    </row>
    <row r="27" ht="20.25" customHeight="1" spans="1:2">
      <c r="A27" s="226" t="str">
        <f>IF(B2,TEXT(EDATE(B3,18),"dd mmmm yyyy"),TEXT(B3+((B5-B3)*18)+18,"dd mmmm yyyy"))&amp;" - "&amp;IF(B2,TEXT(EDATE(B3,19)-1,"dd mmmm yyyy"),TEXT(B3+(((B5-B3)*19)+18),"dd mmmm yyyy"))</f>
        <v>20 July 2026 - 19 August 2026</v>
      </c>
      <c r="B27" s="226" t="s">
        <v>15</v>
      </c>
    </row>
    <row r="28" ht="20.25" customHeight="1" spans="1:2">
      <c r="A28" s="226" t="str">
        <f>IF(B2,TEXT(EDATE(B3,19),"dd mmmm yyyy"),TEXT(B3+((B5-B3)*19)+19,"dd mmmm yyyy"))&amp;" - "&amp;IF(B2,TEXT(EDATE(B3,20)-1,"dd mmmm yyyy"),TEXT(B3+(((B5-B3)*20)+19),"dd mmmm yyyy"))</f>
        <v>20 August 2026 - 19 September 2026</v>
      </c>
      <c r="B28" s="226"/>
    </row>
    <row r="29" ht="20.25" customHeight="1" spans="1:2">
      <c r="A29" s="224" t="str">
        <f>IF(B2,TEXT(EDATE(B3,20),"dd mmmm yyyy"),TEXT(B3+((B5-B3)*20)+20,"dd mmmm yyyy"))&amp;" - "&amp;IF(B2,TEXT(EDATE(B3,21)-1,"dd mmmm yyyy"),TEXT(B3+(((B5-B3)*21)+20),"dd mmmm yyyy"))</f>
        <v>20 September 2026 - 19 October 2026</v>
      </c>
      <c r="B29" s="224"/>
    </row>
    <row r="30" ht="20.25" customHeight="1" spans="1:2">
      <c r="A30" s="226" t="str">
        <f>IF(B2,TEXT(EDATE(B3,21),"dd mmmm yyyy"),TEXT(B3+((B5-B3)*21)+21,"dd mmmm yyyy"))&amp;" - "&amp;IF(B2,TEXT(EDATE(B3,22)-1,"dd mmmm yyyy"),TEXT(B3+(((B5-B3)*22)+21),"dd mmmm yyyy"))</f>
        <v>20 October 2026 - 19 November 2026</v>
      </c>
      <c r="B30" s="226" t="s">
        <v>16</v>
      </c>
    </row>
    <row r="31" ht="20.25" customHeight="1" spans="1:2">
      <c r="A31" s="226" t="str">
        <f>IF(B2,TEXT(EDATE(B3,22),"dd mmmm yyyy"),TEXT(B3+((B5-B3)*22)+22,"dd mmmm yyyy"))&amp;" - "&amp;IF(B2,TEXT(EDATE(B3,23)-1,"dd mmmm yyyy"),TEXT(B3+(((B5-B3)*23)+22),"dd mmmm yyyy"))</f>
        <v>20 November 2026 - 19 December 2026</v>
      </c>
      <c r="B31" s="226"/>
    </row>
    <row r="32" ht="20.25" customHeight="1" spans="1:2">
      <c r="A32" s="224" t="str">
        <f>IF(B2,TEXT(EDATE(B3,23),"dd mmmm yyyy"),TEXT(B3+((B5-B3)*23)+23,"dd mmmm yyyy"))&amp;" - "&amp;IF(B2,TEXT(EDATE(B3,24)-1,"dd mmmm yyyy"),TEXT(B3+(((B5-B3)*24)+23),"dd mmmm yyyy"))</f>
        <v>20 December 2026 - 19 January 2027</v>
      </c>
      <c r="B32" s="224"/>
    </row>
    <row r="33" ht="20.25" customHeight="1" spans="1:2">
      <c r="A33" s="226" t="str">
        <f>IF(B2,TEXT(EDATE(B3,24),"dd mmmm yyyy"),TEXT(B3+((B5-B3)*24)+24,"dd mmmm yyyy"))&amp;" - "&amp;IF(B2,TEXT(EDATE(B3,25)-1,"dd mmmm yyyy"),TEXT(B3+(((B5-B3)*25)+24),"dd mmmm yyyy"))</f>
        <v>20 January 2027 - 19 February 2027</v>
      </c>
      <c r="B33" s="226" t="s">
        <v>17</v>
      </c>
    </row>
    <row r="34" ht="20.25" customHeight="1" spans="1:2">
      <c r="A34" s="226" t="str">
        <f>IF(B2,TEXT(EDATE(B3,25),"dd mmmm yyyy"),TEXT(B3+((B5-B3)*25)+25,"dd mmmm yyyy"))&amp;" - "&amp;IF(B2,TEXT(EDATE(B3,26)-1,"dd mmmm yyyy"),TEXT(B3+(((B5-B3)*26)+25),"dd mmmm yyyy"))</f>
        <v>20 February 2027 - 19 March 2027</v>
      </c>
      <c r="B34" s="226"/>
    </row>
    <row r="35" ht="20.25" customHeight="1" spans="1:2">
      <c r="A35" s="224" t="str">
        <f>IF(B2,TEXT(EDATE(B3,26),"dd mmmm yyyy"),TEXT(B3+((B5-B3)*26)+26,"dd mmmm yyyy"))&amp;" - "&amp;IF(B2,TEXT(EDATE(B3,27)-1,"dd mmmm yyyy"),TEXT(B3+(((B5-B3)*27)+26),"dd mmmm yyyy"))</f>
        <v>20 March 2027 - 19 April 2027</v>
      </c>
      <c r="B35" s="224"/>
    </row>
    <row r="36" ht="20.25" customHeight="1" spans="1:2">
      <c r="A36" s="226" t="str">
        <f>IF(B2,TEXT(EDATE(B3,27),"dd mmmm yyyy"),TEXT(B3+((B5-B3)*27)+27,"dd mmmm yyyy"))&amp;" - "&amp;IF(B2,TEXT(EDATE(B3,28)-1,"dd mmmm yyyy"),TEXT(B3+(((B5-B3)*28)+27),"dd mmmm yyyy"))</f>
        <v>20 April 2027 - 19 May 2027</v>
      </c>
      <c r="B36" s="226" t="s">
        <v>18</v>
      </c>
    </row>
    <row r="37" ht="20.25" customHeight="1" spans="1:2">
      <c r="A37" s="226" t="str">
        <f>IF(B2,TEXT(EDATE(B3,28),"dd mmmm yyyy"),TEXT(B3+((B5-B3)*28)+28,"dd mmmm yyyy"))&amp;" - "&amp;IF(B2,TEXT(EDATE(B3,29)-1,"dd mmmm yyyy"),TEXT(B3+(((B5-B3)*29)+28),"dd mmmm yyyy"))</f>
        <v>20 May 2027 - 19 June 2027</v>
      </c>
      <c r="B37" s="226"/>
    </row>
    <row r="38" ht="20.25" customHeight="1" spans="1:2">
      <c r="A38" s="224" t="str">
        <f>IF(B2,TEXT(EDATE(B3,29),"dd mmmm yyyy"),TEXT(B3+((B5-B3)*29)+29,"dd mmmm yyyy"))&amp;" - "&amp;IF(B2,TEXT(EDATE(B3,30)-1,"dd mmmm yyyy"),TEXT(B3+(((B5-B3)*30)+29),"dd mmmm yyyy"))</f>
        <v>20 June 2027 - 19 July 2027</v>
      </c>
      <c r="B38" s="224"/>
    </row>
    <row r="39" ht="20.25" customHeight="1" spans="1:2">
      <c r="A39" s="226" t="str">
        <f>IF(B2,TEXT(EDATE(B3,30),"dd mmmm yyyy"),TEXT(B3+((B5-B3)*30)+30,"dd mmmm yyyy"))&amp;" - "&amp;IF(B2,TEXT(EDATE(B3,31)-1,"dd mmmm yyyy"),TEXT(B3+(((B5-B3)*31)+30),"dd mmmm yyyy"))</f>
        <v>20 July 2027 - 19 August 2027</v>
      </c>
      <c r="B39" s="226" t="s">
        <v>19</v>
      </c>
    </row>
    <row r="40" ht="20.25" customHeight="1" spans="1:2">
      <c r="A40" s="226" t="str">
        <f>IF(B2,TEXT(EDATE(B3,31),"dd mmmm yyyy"),TEXT(B3+((B5-B3)*31)+31,"dd mmmm yyyy"))&amp;" - "&amp;IF(B2,TEXT(EDATE(B3,32)-1,"dd mmmm yyyy"),TEXT(B3+(((B5-B3)*32)+31),"dd mmmm yyyy"))</f>
        <v>20 August 2027 - 19 September 2027</v>
      </c>
      <c r="B40" s="226"/>
    </row>
    <row r="41" ht="20.25" customHeight="1" spans="1:2">
      <c r="A41" s="224" t="str">
        <f>IF(B2,TEXT(EDATE(B3,32),"dd mmmm yyyy"),TEXT(B3+((B5-B3)*32)+32,"dd mmmm yyyy"))&amp;" - "&amp;IF(B2,TEXT(EDATE(B3,33)-1,"dd mmmm yyyy"),TEXT(B3+(((B5-B3)*33)+32),"dd mmmm yyyy"))</f>
        <v>20 September 2027 - 19 October 2027</v>
      </c>
      <c r="B41" s="224"/>
    </row>
    <row r="42" ht="20.25" customHeight="1" spans="1:2">
      <c r="A42" s="226" t="str">
        <f>IF(B2,TEXT(EDATE(B3,33),"dd mmmm yyyy"),TEXT(B3+((B5-B3)*33)+33,"dd mmmm yyyy"))&amp;" - "&amp;IF(B2,TEXT(EDATE(B3,34)-1,"dd mmmm yyyy"),TEXT(B3+(((B5-B3)*34)+33),"dd mmmm yyyy"))</f>
        <v>20 October 2027 - 19 November 2027</v>
      </c>
      <c r="B42" s="226" t="s">
        <v>20</v>
      </c>
    </row>
    <row r="43" ht="20.25" customHeight="1" spans="1:2">
      <c r="A43" s="226" t="str">
        <f>IF(B2,TEXT(EDATE(B3,34),"dd mmmm yyyy"),TEXT(B3+((B5-B3)*34)+34,"dd mmmm yyyy"))&amp;" - "&amp;IF(B2,TEXT(EDATE(B3,35)-1,"dd mmmm yyyy"),TEXT(B3+(((B5-B3)*35)+34),"dd mmmm yyyy"))</f>
        <v>20 November 2027 - 19 December 2027</v>
      </c>
      <c r="B43" s="226"/>
    </row>
    <row r="44" ht="20.25" customHeight="1" spans="1:2">
      <c r="A44" s="224" t="str">
        <f>IF(B2,TEXT(EDATE(B3,35),"dd mmmm yyyy"),TEXT(B3+((B5-B3)*35)+35,"dd mmmm yyyy"))&amp;" - "&amp;IF(B2,TEXT(EDATE(B3,36)-1,"dd mmmm yyyy"),TEXT(B3+(((B5-B3)*36)+35),"dd mmmm yyyy"))</f>
        <v>20 December 2027 - 19 January 2028</v>
      </c>
      <c r="B44" s="224"/>
    </row>
    <row r="45" ht="20.25" customHeight="1" spans="1:2">
      <c r="A45" s="226" t="str">
        <f>IF(B2,TEXT(EDATE(B3,36),"dd mmmm yyyy"),TEXT(B3+((B5-B3)*36)+36,"dd mmmm yyyy"))&amp;" - "&amp;IF(B2,TEXT(EDATE(B3,37)-1,"dd mmmm yyyy"),TEXT(B3+(((B5-B3)*37)+36),"dd mmmm yyyy"))</f>
        <v>20 January 2028 - 19 February 2028</v>
      </c>
      <c r="B45" s="226" t="s">
        <v>21</v>
      </c>
    </row>
    <row r="46" ht="20.25" customHeight="1" spans="1:2">
      <c r="A46" s="226" t="str">
        <f>IF(B2,TEXT(EDATE(B3,37),"dd mmmm yyyy"),TEXT(B3+((B5-B3)*37)+37,"dd mmmm yyyy"))&amp;" - "&amp;IF(B2,TEXT(EDATE(B3,38)-1,"dd mmmm yyyy"),TEXT(B3+(((B5-B3)*38)+37),"dd mmmm yyyy"))</f>
        <v>20 February 2028 - 19 March 2028</v>
      </c>
      <c r="B46" s="226"/>
    </row>
    <row r="47" ht="20.25" customHeight="1" spans="1:2">
      <c r="A47" s="224" t="str">
        <f>IF(B2,TEXT(EDATE(B3,38),"dd mmmm yyyy"),TEXT(B3+((B5-B3)*38)+38,"dd mmmm yyyy"))&amp;" - "&amp;IF(B2,TEXT(EDATE(B3,39)-1,"dd mmmm yyyy"),TEXT(B3+(((B5-B3)*39)+38),"dd mmmm yyyy"))</f>
        <v>20 March 2028 - 19 April 2028</v>
      </c>
      <c r="B47" s="224"/>
    </row>
    <row r="48" ht="20.25" customHeight="1" spans="1:2">
      <c r="A48" s="226" t="str">
        <f>IF(B2,TEXT(EDATE(B3,39),"dd mmmm yyyy"),TEXT(B3+((B5-B3)*39)+39,"dd mmmm yyyy"))&amp;" - "&amp;IF(B2,TEXT(EDATE(B3,40)-1,"dd mmmm yyyy"),TEXT(B3+(((B5-B3)*40)+39),"dd mmmm yyyy"))</f>
        <v>20 April 2028 - 19 May 2028</v>
      </c>
      <c r="B48" s="226" t="s">
        <v>22</v>
      </c>
    </row>
    <row r="49" ht="20.25" customHeight="1" spans="1:2">
      <c r="A49" s="226" t="str">
        <f>IF(B2,TEXT(EDATE(B3,40),"dd mmmm yyyy"),TEXT(B3+((B5-B3)*40)+40,"dd mmmm yyyy"))&amp;" - "&amp;IF(B2,TEXT(EDATE(B3,41)-1,"dd mmmm yyyy"),TEXT(B3+(((B5-B3)*41)+40),"dd mmmm yyyy"))</f>
        <v>20 May 2028 - 19 June 2028</v>
      </c>
      <c r="B49" s="226"/>
    </row>
    <row r="50" ht="20.25" customHeight="1" spans="1:2">
      <c r="A50" s="224" t="str">
        <f>IF(B2,TEXT(EDATE(B3,41),"dd mmmm yyyy"),TEXT(B3+((B5-B3)*41)+41,"dd mmmm yyyy"))&amp;" - "&amp;IF(B2,TEXT(EDATE(B3,42)-1,"dd mmmm yyyy"),TEXT(B3+(((B5-B3)*42)+41),"dd mmmm yyyy"))</f>
        <v>20 June 2028 - 19 July 2028</v>
      </c>
      <c r="B50" s="224"/>
    </row>
    <row r="51" ht="20.25" customHeight="1" spans="1:2">
      <c r="A51" s="226" t="str">
        <f>IF(B2,TEXT(EDATE(B3,42),"dd mmmm yyyy"),TEXT(B3+((B5-B3)*42)+42,"dd mmmm yyyy"))&amp;" - "&amp;IF(B2,TEXT(EDATE(B3,43)-1,"dd mmmm yyyy"),TEXT(B3+(((B5-B3)*43)+42),"dd mmmm yyyy"))</f>
        <v>20 July 2028 - 19 August 2028</v>
      </c>
      <c r="B51" s="226" t="s">
        <v>23</v>
      </c>
    </row>
    <row r="52" ht="20.25" customHeight="1" spans="1:2">
      <c r="A52" s="226" t="str">
        <f>IF(B2,TEXT(EDATE(B3,43),"dd mmmm yyyy"),TEXT(B3+((B5-B3)*43)+43,"dd mmmm yyyy"))&amp;" - "&amp;IF(B2,TEXT(EDATE(B3,44)-1,"dd mmmm yyyy"),TEXT(B3+(((B5-B3)*44)+43),"dd mmmm yyyy"))</f>
        <v>20 August 2028 - 19 September 2028</v>
      </c>
      <c r="B52" s="226"/>
    </row>
    <row r="53" ht="20.25" customHeight="1" spans="1:2">
      <c r="A53" s="224" t="str">
        <f>IF(B2,TEXT(EDATE(B3,44),"dd mmmm yyyy"),TEXT(B3+((B5-B3)*44)+44,"dd mmmm yyyy"))&amp;" - "&amp;IF(B2,TEXT(EDATE(B3,45)-1,"dd mmmm yyyy"),TEXT(B3+(((B5-B3)*45)+44),"dd mmmm yyyy"))</f>
        <v>20 September 2028 - 19 October 2028</v>
      </c>
      <c r="B53" s="224"/>
    </row>
    <row r="54" ht="20.25" customHeight="1" spans="1:2">
      <c r="A54" s="226" t="str">
        <f>IF(B2,TEXT(EDATE(B3,45),"dd mmmm yyyy"),TEXT(B3+((B5-B3)*45)+45,"dd mmmm yyyy"))&amp;" - "&amp;IF(B2,TEXT(EDATE(B3,46)-1,"dd mmmm yyyy"),TEXT(B3+(((B5-B3)*46)+45),"dd mmmm yyyy"))</f>
        <v>20 October 2028 - 19 November 2028</v>
      </c>
      <c r="B54" s="226" t="s">
        <v>24</v>
      </c>
    </row>
    <row r="55" ht="20.25" customHeight="1" spans="1:2">
      <c r="A55" s="226" t="str">
        <f>IF(B2,TEXT(EDATE(B3,46),"dd mmmm yyyy"),TEXT(B3+((B5-B3)*46)+46,"dd mmmm yyyy"))&amp;" - "&amp;IF(B2,TEXT(EDATE(B3,47)-1,"dd mmmm yyyy"),TEXT(B3+(((B5-B3)*47)+46),"dd mmmm yyyy"))</f>
        <v>20 November 2028 - 19 December 2028</v>
      </c>
      <c r="B55" s="226"/>
    </row>
    <row r="56" ht="20.25" customHeight="1" spans="1:2">
      <c r="A56" s="226" t="str">
        <f>IF(B2,TEXT(EDATE(B3,47),"dd mmmm yyyy"),TEXT(B3+((B5-B3)*47)+47,"dd mmmm yyyy"))&amp;" - "&amp;IF(B2,TEXT(EDATE(B3,48)-1,"dd mmmm yyyy"),TEXT(B3+(((B5-B3)*48)+47),"dd mmmm yyyy"))</f>
        <v>20 December 2028 - 19 January 2029</v>
      </c>
      <c r="B56" s="226"/>
    </row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s="222" customFormat="1" ht="20.25" customHeight="1"/>
    <row r="66" s="222" customFormat="1" ht="20.25" customHeight="1"/>
    <row r="67" s="222" customFormat="1" ht="20.25" customHeight="1"/>
    <row r="68" s="222" customFormat="1" ht="20.25" customHeight="1"/>
    <row r="69" s="222" customFormat="1" ht="20.25" customHeight="1"/>
    <row r="70" s="222" customFormat="1" ht="20.25" customHeight="1"/>
    <row r="71" s="222" customFormat="1" ht="20.25" customHeight="1"/>
    <row r="72" s="222" customFormat="1" ht="20.25" customHeight="1"/>
    <row r="73" s="222" customFormat="1" ht="20.25" customHeight="1"/>
    <row r="74" s="222" customFormat="1" ht="20.25" customHeight="1"/>
    <row r="75" s="222" customFormat="1" ht="20.25" customHeight="1"/>
    <row r="76" s="222" customFormat="1" ht="20.25" customHeight="1"/>
    <row r="77" s="222" customFormat="1" ht="20.25" customHeight="1"/>
    <row r="78" s="222" customFormat="1" ht="20.25" customHeight="1"/>
    <row r="79" s="222" customFormat="1" ht="20.25" customHeight="1"/>
    <row r="80" s="222" customFormat="1" ht="20.25" customHeight="1"/>
    <row r="81" s="222" customFormat="1" ht="20.25" customHeight="1"/>
    <row r="82" s="222" customFormat="1" ht="20.25" customHeight="1"/>
    <row r="83" s="222" customFormat="1" ht="20.25" customHeight="1"/>
    <row r="84" s="222" customFormat="1" ht="20.25" customHeight="1"/>
    <row r="85" s="222" customFormat="1" ht="20.25" customHeight="1"/>
    <row r="86" s="222" customFormat="1" ht="20.25" customHeight="1"/>
    <row r="87" s="222" customFormat="1" ht="20.25" customHeight="1"/>
    <row r="88" s="222" customFormat="1" ht="20.25" customHeight="1"/>
    <row r="89" s="222" customFormat="1" ht="20.25" customHeight="1"/>
    <row r="90" s="222" customFormat="1" ht="20.25" customHeight="1"/>
    <row r="91" s="222" customFormat="1" ht="20.25" customHeight="1"/>
    <row r="92" s="222" customFormat="1" ht="20.25" customHeight="1"/>
    <row r="93" s="222" customFormat="1" ht="20.25" customHeight="1"/>
    <row r="94" s="222" customFormat="1" ht="20.25" customHeight="1"/>
    <row r="95" s="222" customFormat="1" ht="20.25" customHeight="1"/>
    <row r="96" s="222" customFormat="1" ht="20.25" customHeight="1"/>
    <row r="97" s="222" customFormat="1" ht="20.25" customHeight="1"/>
    <row r="98" s="222" customFormat="1" ht="20.25" customHeight="1"/>
    <row r="99" s="222" customFormat="1" ht="20.25" customHeight="1"/>
    <row r="100" s="222" customFormat="1" ht="20.25" customHeight="1"/>
    <row r="101" s="222" customFormat="1" ht="20.25" customHeight="1"/>
    <row r="102" s="222" customFormat="1" ht="20.25" customHeight="1"/>
    <row r="103" s="222" customFormat="1" ht="20.25" customHeight="1"/>
    <row r="104" s="222" customFormat="1" ht="20.25" customHeight="1"/>
    <row r="105" s="222" customFormat="1" ht="20.25" customHeight="1"/>
    <row r="106" s="222" customFormat="1" ht="20.25" customHeight="1"/>
    <row r="107" s="222" customFormat="1" ht="20.25" customHeight="1"/>
    <row r="108" s="222" customFormat="1" ht="20.25" customHeight="1"/>
    <row r="109" s="222" customFormat="1" ht="20.25" customHeight="1"/>
    <row r="110" s="222" customFormat="1" ht="20.25" customHeight="1"/>
    <row r="111" s="222" customFormat="1" ht="20.25" customHeight="1"/>
    <row r="112" s="222" customFormat="1" ht="20.25" customHeight="1"/>
    <row r="113" s="222" customFormat="1" ht="20.25" customHeight="1"/>
    <row r="114" s="222" customFormat="1" ht="20.25" customHeight="1"/>
    <row r="115" s="222" customFormat="1" ht="20.25" customHeight="1"/>
    <row r="116" s="222" customFormat="1" ht="20.25" customHeight="1"/>
    <row r="117" s="222" customFormat="1" ht="20.25" customHeight="1"/>
    <row r="118" s="222" customFormat="1" ht="20.25" customHeight="1"/>
    <row r="119" s="222" customFormat="1" ht="20.25" customHeight="1"/>
    <row r="120" s="222" customFormat="1" ht="20.25" customHeight="1"/>
    <row r="121" s="222" customFormat="1" ht="20.25" customHeight="1"/>
    <row r="122" s="222" customFormat="1" ht="20.25" customHeight="1"/>
    <row r="123" s="222" customFormat="1" ht="20.25" customHeight="1"/>
    <row r="124" s="222" customFormat="1" ht="20.25" customHeight="1"/>
    <row r="125" s="222" customFormat="1" ht="20.25" customHeight="1"/>
    <row r="126" s="222" customFormat="1" ht="20.25" customHeight="1"/>
    <row r="127" s="222" customFormat="1" ht="20.25" customHeight="1"/>
    <row r="129" s="222" customFormat="1" ht="20.25" customHeight="1"/>
    <row r="130" s="222" customFormat="1" ht="20.25" customHeight="1"/>
    <row r="131" s="222" customFormat="1" ht="20.25" customHeight="1"/>
    <row r="132" s="222" customFormat="1" ht="20.25" customHeight="1"/>
    <row r="133" s="222" customFormat="1" ht="20.25" customHeight="1"/>
    <row r="134" s="222" customFormat="1" ht="20.25" customHeight="1"/>
  </sheetData>
  <sheetProtection formatCells="0"/>
  <mergeCells count="19">
    <mergeCell ref="A8:B8"/>
    <mergeCell ref="A5:A6"/>
    <mergeCell ref="B5:B6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4"/>
  <sheetViews>
    <sheetView topLeftCell="A19" workbookViewId="0">
      <selection activeCell="A65" sqref="A65"/>
    </sheetView>
  </sheetViews>
  <sheetFormatPr defaultColWidth="9" defaultRowHeight="17.6"/>
  <cols>
    <col min="1" max="1" width="18.875" style="152" customWidth="1"/>
    <col min="2" max="2" width="25.625" style="152" customWidth="1"/>
    <col min="3" max="4" width="20.625" style="152" customWidth="1"/>
    <col min="5" max="5" width="25.625" style="152" customWidth="1"/>
    <col min="6" max="6" width="20.625" style="152" customWidth="1"/>
    <col min="7" max="7" width="9" style="152"/>
    <col min="8" max="8" width="23" style="152" customWidth="1"/>
    <col min="9" max="9" width="40.75" style="48" customWidth="1"/>
    <col min="10" max="10" width="28.625" style="152" customWidth="1"/>
    <col min="11" max="12" width="9" style="152"/>
    <col min="13" max="13" width="36.625" style="152" customWidth="1"/>
    <col min="14" max="14" width="21.125" style="152" customWidth="1"/>
    <col min="15" max="16384" width="9" style="152"/>
  </cols>
  <sheetData>
    <row r="1" ht="36.75" customHeight="1" spans="1:14">
      <c r="A1" s="153" t="s">
        <v>25</v>
      </c>
      <c r="B1" s="153"/>
      <c r="C1" s="153"/>
      <c r="D1" s="153"/>
      <c r="E1" s="153"/>
      <c r="F1" s="153"/>
      <c r="I1" s="192" t="s">
        <v>26</v>
      </c>
      <c r="J1" s="192"/>
      <c r="M1" s="192" t="s">
        <v>27</v>
      </c>
      <c r="N1" s="192"/>
    </row>
    <row r="2" ht="36" customHeight="1" spans="1:14">
      <c r="A2" s="154" t="s">
        <v>28</v>
      </c>
      <c r="B2" s="155"/>
      <c r="C2" s="155"/>
      <c r="D2" s="156" t="s">
        <v>29</v>
      </c>
      <c r="E2" s="156"/>
      <c r="F2" s="156"/>
      <c r="I2" s="193" t="s">
        <v>30</v>
      </c>
      <c r="J2" s="194" t="s">
        <v>31</v>
      </c>
      <c r="M2" s="203" t="s">
        <v>32</v>
      </c>
      <c r="N2" s="194" t="s">
        <v>33</v>
      </c>
    </row>
    <row r="3" ht="35.25" customHeight="1" spans="1:14">
      <c r="A3" s="157" t="s">
        <v>34</v>
      </c>
      <c r="B3" s="158" t="s">
        <v>35</v>
      </c>
      <c r="C3" s="159">
        <v>18.4</v>
      </c>
      <c r="D3" s="160" t="s">
        <v>34</v>
      </c>
      <c r="E3" s="5" t="s">
        <v>35</v>
      </c>
      <c r="F3" s="187">
        <v>18.4</v>
      </c>
      <c r="I3" s="195" t="str">
        <f>TEXT(Main!B3,"dd mmmm yyyy")&amp;" - "&amp;IF(Main!B2,TEXT(EDATE(Main!B3,1)-1,"dd mmmm yyyy"),TEXT(Main!B3+(Main!B5-Main!B3)*1,"dd mmmm yyyy"))</f>
        <v>20 January 2025 - 19 February 2025</v>
      </c>
      <c r="J3" s="196">
        <f>E149</f>
        <v>941.71</v>
      </c>
      <c r="M3" s="201" t="str">
        <f>TEXT(Main!B3,"dd mmmm yyyy")&amp;" - "&amp;IF(Main!B2,TEXT(EDATE(Main!B3,3)-1,"dd mmmm yyyy"),TEXT(Main!B3+((Main!B5-Main!B3)*3+2),"dd mmmm yyyy"))</f>
        <v>20 January 2025 - 19 April 2025</v>
      </c>
      <c r="N3" s="196">
        <f>-C122</f>
        <v>-7729.03</v>
      </c>
    </row>
    <row r="4" ht="35.25" customHeight="1" spans="1:14">
      <c r="A4" s="157"/>
      <c r="B4" s="158" t="s">
        <v>36</v>
      </c>
      <c r="C4" s="159">
        <v>0</v>
      </c>
      <c r="D4" s="161"/>
      <c r="E4" s="5" t="s">
        <v>36</v>
      </c>
      <c r="F4" s="187">
        <v>0</v>
      </c>
      <c r="I4" s="197" t="str">
        <f>IF(Main!B2,TEXT(EDATE(Main!B3,1),"dd mmmm yyyy"),TEXT(Main!B3+(Main!B5-Main!B3)+1,"dd mmmm yyyy"))&amp;" - "&amp;IF(Main!B2,TEXT(EDATE(Main!B3,2)-1,"dd mmmm yyyy"),TEXT(Main!B3+(Main!B5-Main!B3)*2+1,"dd mmmm yyyy"))</f>
        <v>20 February 2025 - 19 March 2025</v>
      </c>
      <c r="J4" s="196">
        <f>E176</f>
        <v>941.71</v>
      </c>
      <c r="M4" s="201" t="str">
        <f>IF(Main!B2,TEXT(EDATE(Main!B3,3),"dd mmmm yyyy"),TEXT(Main!B3+((Main!B5-Main!B3)*3+3),"dd mmmm yyyy"))&amp;" - "&amp;IF(Main!B2,TEXT(EDATE(Main!B3,6)-1,"dd mmmm yyyy"),TEXT(Main!B3+((Main!B5-Main!B3)*6+5),"dd mmmm yyyy"))</f>
        <v>20 April 2025 - 19 July 2025</v>
      </c>
      <c r="N4" s="196">
        <f ca="1">'April 2025 - June 2025'!C5</f>
        <v>-5383</v>
      </c>
    </row>
    <row r="5" ht="35.25" customHeight="1" spans="1:14">
      <c r="A5" s="157"/>
      <c r="B5" s="158" t="s">
        <v>37</v>
      </c>
      <c r="C5" s="159">
        <v>0</v>
      </c>
      <c r="D5" s="161"/>
      <c r="E5" s="5" t="s">
        <v>37</v>
      </c>
      <c r="F5" s="187">
        <v>0</v>
      </c>
      <c r="I5" s="197" t="str">
        <f>IF(Main!B2,TEXT(EDATE(Main!B3,2),"dd mmmm yyyy"),TEXT(Main!B3+((Main!B5-Main!B3)*2)+2,"dd mmmm yyyy"))&amp;" - "&amp;IF(Main!B2,TEXT(EDATE(Main!B3,3)-1,"dd mmmm yyyy"),TEXT(Main!B3+((Main!B5-Main!B3)*3+2),"dd mmmm yyyy"))</f>
        <v>20 March 2025 - 19 April 2025</v>
      </c>
      <c r="J5" s="196">
        <f>E203</f>
        <v>941.71</v>
      </c>
      <c r="M5" s="201" t="str">
        <f>IF(Main!B2,TEXT(EDATE(Main!B3,6),"dd mmmm yyyy"),TEXT(Main!B3+((Main!B5-Main!B3)*6+6),"dd mmmm yyyy"))&amp;" - "&amp;IF(Main!B2,TEXT(EDATE(Main!B3,9)-1,"dd mmmm yyyy"),TEXT(Main!B3+((Main!B5-Main!B3)*9+8),"dd mmmm yyyy"))</f>
        <v>20 July 2025 - 19 October 2025</v>
      </c>
      <c r="N5" s="196">
        <f ca="1">'July 2025 - September 2025'!C5</f>
        <v>-2983</v>
      </c>
    </row>
    <row r="6" ht="35.25" customHeight="1" spans="1:14">
      <c r="A6" s="157"/>
      <c r="B6" s="158" t="s">
        <v>38</v>
      </c>
      <c r="C6" s="159">
        <v>0</v>
      </c>
      <c r="D6" s="161"/>
      <c r="E6" s="5" t="s">
        <v>38</v>
      </c>
      <c r="F6" s="187">
        <v>0</v>
      </c>
      <c r="I6" s="198" t="str">
        <f>IF(Main!B2,TEXT(EDATE(Main!B3,3),"dd mmmm yyyy"),TEXT(Main!B3+((Main!B5-Main!B3)*3)+3,"dd mmmm yyyy"))&amp;" - "&amp;IF(Main!B2,TEXT(EDATE(Main!B3,4)-1,"dd mmmm yyyy"),TEXT(Main!B3+((Main!B5-Main!B3)*4+3),"dd mmmm yyyy"))</f>
        <v>20 April 2025 - 19 May 2025</v>
      </c>
      <c r="J6" s="196">
        <f ca="1">'April 2025 - June 2025'!E136</f>
        <v>78.22</v>
      </c>
      <c r="M6" s="201" t="str">
        <f>IF(Main!B2,TEXT(EDATE(Main!B3,9),"dd mmmm yyyy"),TEXT(Main!B3+((Main!B5-Main!B3)*9+9),"dd mmmm yyyy"))&amp;" - "&amp;IF(Main!B2,TEXT(EDATE(Main!B3,12)-1,"dd mmmm yyyy"),TEXT(Main!B3+((Main!B5-Main!B3)*12+11),"dd mmmm yyyy"))</f>
        <v>20 October 2025 - 19 January 2026</v>
      </c>
      <c r="N6" s="196">
        <f ca="1">'October 2025 - December 2025'!C5</f>
        <v>-683</v>
      </c>
    </row>
    <row r="7" ht="35.25" customHeight="1" spans="1:14">
      <c r="A7" s="157"/>
      <c r="B7" s="158" t="s">
        <v>39</v>
      </c>
      <c r="C7" s="159">
        <v>0</v>
      </c>
      <c r="D7" s="161"/>
      <c r="E7" s="5" t="s">
        <v>39</v>
      </c>
      <c r="F7" s="187">
        <v>0</v>
      </c>
      <c r="I7" s="198" t="str">
        <f>IF(Main!B2,TEXT(EDATE(Main!B3,4),"dd mmmm yyyy"),TEXT(Main!B3+((Main!B5-Main!B3)*4)+4,"dd mmmm yyyy"))&amp;" - "&amp;IF(Main!B2,TEXT(EDATE(Main!B3,5)-1,"dd mmmm yyyy"),TEXT(Main!B3+((Main!B5-Main!B3)*5+4),"dd mmmm yyyy"))</f>
        <v>20 May 2025 - 19 June 2025</v>
      </c>
      <c r="J7" s="196">
        <f ca="1">'April 2025 - June 2025'!E163</f>
        <v>479.2</v>
      </c>
      <c r="M7" s="201" t="str">
        <f>IF(Main!B2,TEXT(EDATE(Main!B3,12),"dd mmmm yyyy"),TEXT(Main!B3+((Main!B5-Main!B3)*12+12),"dd mmmm yyyy"))&amp;" - "&amp;IF(Main!B2,TEXT(EDATE(Main!B3,15)-1,"dd mmmm yyyy"),TEXT(Main!B3+((Main!B5-Main!B3)*15+14),"dd mmmm yyyy"))</f>
        <v>20 January 2026 - 19 April 2026</v>
      </c>
      <c r="N7" s="196">
        <f ca="1">'January 2026 - March 2026'!C5</f>
        <v>0</v>
      </c>
    </row>
    <row r="8" ht="45" customHeight="1" spans="1:14">
      <c r="A8" s="157"/>
      <c r="B8" s="158" t="s">
        <v>40</v>
      </c>
      <c r="C8" s="159">
        <v>0</v>
      </c>
      <c r="D8" s="161"/>
      <c r="E8" s="5" t="s">
        <v>40</v>
      </c>
      <c r="F8" s="187">
        <v>0</v>
      </c>
      <c r="H8" s="188"/>
      <c r="I8" s="197" t="str">
        <f>IF(Main!B2,TEXT(EDATE(Main!B3,5),"dd mmmm yyyy"),TEXT(Main!B3+((Main!B5-Main!B3)*5)+5,"dd mmmm yyyy"))&amp;" - "&amp;IF(Main!B2,TEXT(EDATE(Main!B3,6)-1,"dd mmmm yyyy"),TEXT(Main!B3+((Main!B5-Main!B3)*6+5),"dd mmmm yyyy"))</f>
        <v>20 June 2025 - 19 July 2025</v>
      </c>
      <c r="J8" s="196">
        <f ca="1">'April 2025 - June 2025'!E190</f>
        <v>434.21</v>
      </c>
      <c r="M8" s="204" t="str">
        <f>IF(Main!B2,TEXT(EDATE(Main!B3,15),"dd mmmm yyyy"),TEXT(Main!B3+((Main!B5-Main!B3)*15+15),"dd mmmm yyyy"))&amp;" - "&amp;IF(Main!B2,TEXT(EDATE(Main!B3,18)-1,"dd mmmm yyyy"),TEXT(Main!B3+((Main!B5-Main!B3)*18+17),"dd mmmm yyyy"))</f>
        <v>20 April 2026 - 19 July 2026</v>
      </c>
      <c r="N8" s="196">
        <f ca="1">'April 2026 - June 2026'!C5</f>
        <v>0</v>
      </c>
    </row>
    <row r="9" ht="39.75" customHeight="1" spans="1:14">
      <c r="A9" s="157"/>
      <c r="B9" s="158" t="s">
        <v>41</v>
      </c>
      <c r="C9" s="159">
        <v>0</v>
      </c>
      <c r="D9" s="161"/>
      <c r="E9" s="5" t="s">
        <v>41</v>
      </c>
      <c r="F9" s="187">
        <v>0</v>
      </c>
      <c r="I9" s="197" t="str">
        <f>IF(Main!B2,TEXT(EDATE(Main!B3,6),"dd mmmm yyyy"),TEXT(Main!B3+((Main!B5-Main!B3)*6)+6,"dd mmmm yyyy"))&amp;" - "&amp;IF(Main!B2,TEXT(EDATE(Main!B3,7)-1,"dd mmmm yyyy"),TEXT(Main!B3+((Main!B5-Main!B3)*7+6),"dd mmmm yyyy"))</f>
        <v>20 July 2025 - 19 August 2025</v>
      </c>
      <c r="J9" s="196">
        <f ca="1">'July 2025 - September 2025'!E136</f>
        <v>480.220000000001</v>
      </c>
      <c r="M9" s="201" t="str">
        <f>IF(Main!B2,TEXT(EDATE(Main!B3,18),"dd mmmm yyyy"),TEXT(Main!B3+((Main!B5-Main!B3)*18+18),"dd mmmm yyyy"))&amp;" - "&amp;IF(Main!B2,TEXT(EDATE(Main!B3,21)-1,"dd mmmm yyyy"),TEXT(Main!B3+((Main!B5-Main!B3)*21+20),"dd mmmm yyyy"))</f>
        <v>20 July 2026 - 19 October 2026</v>
      </c>
      <c r="N9" s="205">
        <f ca="1">'July 2026 - September 2026'!C5</f>
        <v>0</v>
      </c>
    </row>
    <row r="10" ht="35.25" customHeight="1" spans="1:14">
      <c r="A10" s="157"/>
      <c r="B10" s="158" t="s">
        <v>42</v>
      </c>
      <c r="C10" s="159">
        <v>0</v>
      </c>
      <c r="D10" s="161"/>
      <c r="E10" s="5" t="s">
        <v>42</v>
      </c>
      <c r="F10" s="187">
        <v>0</v>
      </c>
      <c r="I10" s="197" t="str">
        <f>IF(Main!B2,TEXT(EDATE(Main!B3,7),"dd mmmm yyyy"),TEXT(Main!B3+((Main!B5-Main!B3)*7)+7,"dd mmmm yyyy"))&amp;" - "&amp;IF(Main!B2,TEXT(EDATE(Main!B3,8)-1,"dd mmmm yyyy"),TEXT(Main!B3+((Main!B5-Main!B3)*8+7),"dd mmmm yyyy"))</f>
        <v>20 August 2025 - 19 September 2025</v>
      </c>
      <c r="J10" s="196">
        <f ca="1">'July 2025 - September 2025'!E163</f>
        <v>385.230000000001</v>
      </c>
      <c r="M10" s="206" t="str">
        <f>IF(Main!B2,TEXT(EDATE(Main!B3,21),"dd mmmm yyyy"),TEXT(Main!B3+((Main!B5-Main!B3)*21+21),"dd mmmm yyyy"))&amp;" - "&amp;IF(Main!B2,TEXT(EDATE(Main!B3,24)-1,"dd mmmm yyyy"),TEXT(Main!B3+((Main!B5-Main!B3)*24+23),"dd mmmm yyyy"))</f>
        <v>20 October 2026 - 19 January 2027</v>
      </c>
      <c r="N10" s="196">
        <f ca="1">'October 2026 - December 2026'!C5</f>
        <v>0</v>
      </c>
    </row>
    <row r="11" ht="35.25" customHeight="1" spans="1:14">
      <c r="A11" s="157"/>
      <c r="B11" s="158" t="s">
        <v>43</v>
      </c>
      <c r="C11" s="159">
        <v>21.4</v>
      </c>
      <c r="D11" s="161"/>
      <c r="E11" s="5" t="s">
        <v>43</v>
      </c>
      <c r="F11" s="187">
        <v>19.4</v>
      </c>
      <c r="H11" s="188"/>
      <c r="I11" s="197" t="str">
        <f>IF(Main!B2,TEXT(EDATE(Main!B3,8),"dd mmmm yyyy"),TEXT(Main!B3+((Main!B5-Main!B3)*8)+8,"dd mmmm yyyy"))&amp;" - "&amp;IF(Main!B2,TEXT(EDATE(Main!B3,9)-1,"dd mmmm yyyy"),TEXT(Main!B3+((Main!B5-Main!B3)*9+8),"dd mmmm yyyy"))</f>
        <v>20 September 2025 - 19 October 2025</v>
      </c>
      <c r="J11" s="196">
        <f ca="1">'July 2025 - September 2025'!E190</f>
        <v>431.240000000001</v>
      </c>
      <c r="M11" s="201" t="str">
        <f>IF(Main!B2,TEXT(EDATE(Main!B3,24),"dd mmmm yyyy"),TEXT(Main!B3+((Main!B5-Main!B3)*24+24),"dd mmmm yyyy"))&amp;" - "&amp;IF(Main!B2,TEXT(EDATE(Main!B3,27)-1,"dd mmmm yyyy"),TEXT(Main!B3+((Main!B5-Main!B3)*27+26),"dd mmmm yyyy"))</f>
        <v>20 January 2027 - 19 April 2027</v>
      </c>
      <c r="N11" s="200">
        <f ca="1">'January 2027 - March 2027'!C5</f>
        <v>0</v>
      </c>
    </row>
    <row r="12" ht="35.25" customHeight="1" spans="1:14">
      <c r="A12" s="157"/>
      <c r="B12" s="158" t="s">
        <v>44</v>
      </c>
      <c r="C12" s="159">
        <v>30.02</v>
      </c>
      <c r="D12" s="161"/>
      <c r="E12" s="189" t="s">
        <v>44</v>
      </c>
      <c r="F12" s="187">
        <v>30.02</v>
      </c>
      <c r="I12" s="197" t="str">
        <f>IF(Main!B2,TEXT(EDATE(Main!B3,9),"dd mmmm yyyy"),TEXT(Main!B3+((Main!B5-Main!B3)*9)+9,"dd mmmm yyyy"))&amp;" - "&amp;IF(Main!B2,TEXT(EDATE(Main!B3,10)-1,"dd mmmm yyyy"),TEXT(Main!B3+((Main!B5-Main!B3)*10+9),"dd mmmm yyyy"))</f>
        <v>20 October 2025 - 19 November 2025</v>
      </c>
      <c r="J12" s="196">
        <f ca="1">'October 2025 - December 2025'!E136</f>
        <v>386.250000000001</v>
      </c>
      <c r="M12" s="197" t="str">
        <f>IF(Main!B2,TEXT(EDATE(Main!B3,27),"dd mmmm yyyy"),TEXT(Main!B3+((Main!B5-Main!B3)*27+27),"dd mmmm yyyy"))&amp;" - "&amp;IF(Main!B2,TEXT(EDATE(Main!B3,30)-1,"dd mmmm yyyy"),TEXT(Main!B3+((Main!B5-Main!B3)*30+29),"dd mmmm yyyy"))</f>
        <v>20 April 2027 - 19 July 2027</v>
      </c>
      <c r="N12" s="200">
        <f ca="1">'April 2027 - June 2027'!C5</f>
        <v>0</v>
      </c>
    </row>
    <row r="13" ht="35.25" customHeight="1" spans="1:14">
      <c r="A13" s="157"/>
      <c r="B13" s="158" t="s">
        <v>45</v>
      </c>
      <c r="C13" s="159">
        <v>1</v>
      </c>
      <c r="D13" s="161"/>
      <c r="E13" s="189" t="s">
        <v>45</v>
      </c>
      <c r="F13" s="187">
        <v>1</v>
      </c>
      <c r="I13" s="199" t="str">
        <f>IF(Main!B2,TEXT(EDATE(Main!B3,10),"dd mmmm yyyy"),TEXT(Main!B3+((Main!B5-Main!B3)*10)+10,"dd mmmm yyyy"))&amp;" - "&amp;IF(Main!B2,TEXT(EDATE(Main!B3,11)-1,"dd mmmm yyyy"),TEXT(Main!B3+((Main!B5-Main!B3)*11+10),"dd mmmm yyyy"))</f>
        <v>20 November 2025 - 19 December 2025</v>
      </c>
      <c r="J13" s="196">
        <f ca="1">'October 2025 - December 2025'!E163</f>
        <v>382.260000000002</v>
      </c>
      <c r="M13" s="197" t="str">
        <f>IF(Main!B2,TEXT(EDATE(Main!B3,30),"dd mmmm yyyy"),TEXT(Main!B3+((Main!B5-Main!B3)*30+30),"dd mmmm yyyy"))&amp;" - "&amp;IF(Main!B2,TEXT(EDATE(Main!B3,33)-1,"dd mmmm yyyy"),TEXT(Main!B3+((Main!B5-Main!B3)*33+32),"dd mmmm yyyy"))</f>
        <v>20 July 2027 - 19 October 2027</v>
      </c>
      <c r="N13" s="200">
        <f ca="1">'July 2027 - September 2027'!C5</f>
        <v>0</v>
      </c>
    </row>
    <row r="14" ht="35.25" customHeight="1" spans="1:14">
      <c r="A14" s="157"/>
      <c r="B14" s="158" t="s">
        <v>46</v>
      </c>
      <c r="C14" s="159">
        <v>7.4</v>
      </c>
      <c r="D14" s="161"/>
      <c r="E14" s="189" t="s">
        <v>46</v>
      </c>
      <c r="F14" s="187">
        <v>7.4</v>
      </c>
      <c r="I14" s="199" t="str">
        <f>IF(Main!B2,TEXT(EDATE(Main!B3,11),"dd mmmm yyyy"),TEXT(Main!B3+((Main!B5-Main!B3)*11)+11,"dd mmmm yyyy"))&amp;" - "&amp;IF(Main!B2,TEXT(EDATE(Main!B3,12)-1,"dd mmmm yyyy"),TEXT(Main!B3+((Main!B5-Main!B3)*12+11),"dd mmmm yyyy"))</f>
        <v>20 December 2025 - 19 January 2026</v>
      </c>
      <c r="J14" s="200">
        <f ca="1">'October 2025 - December 2025'!E190</f>
        <v>307.270000000002</v>
      </c>
      <c r="M14" s="197" t="str">
        <f>IF(Main!B2,TEXT(EDATE(Main!B3,33),"dd mmmm yyyy"),TEXT(Main!B3+((Main!B5-Main!B3)*33+33),"dd mmmm yyyy"))&amp;" - "&amp;IF(Main!B2,TEXT(EDATE(Main!B3,36)-1,"dd mmmm yyyy"),TEXT(Main!B3+((Main!B5-Main!B3)*36+35),"dd mmmm yyyy"))</f>
        <v>20 October 2027 - 19 January 2028</v>
      </c>
      <c r="N14" s="200">
        <f ca="1">'October 2027 - December 2027'!C5</f>
        <v>0</v>
      </c>
    </row>
    <row r="15" ht="35.25" customHeight="1" spans="1:14">
      <c r="A15" s="157"/>
      <c r="B15" s="162" t="s">
        <v>47</v>
      </c>
      <c r="C15" s="159">
        <v>0</v>
      </c>
      <c r="D15" s="161"/>
      <c r="E15" s="189" t="s">
        <v>47</v>
      </c>
      <c r="F15" s="187">
        <v>0</v>
      </c>
      <c r="I15" s="201" t="str">
        <f>IF(Main!B2,TEXT(EDATE(Main!B3,12),"dd mmmm yyyy"),TEXT(Main!B3+((Main!B5-Main!B3)*12)+12,"dd mmmm yyyy"))&amp;" - "&amp;IF(Main!B2,TEXT(EDATE(Main!B3,13)-1,"dd mmmm yyyy"),TEXT(Main!B3+((Main!B5-Main!B3)*13+12),"dd mmmm yyyy"))</f>
        <v>20 January 2026 - 19 February 2026</v>
      </c>
      <c r="J15" s="200">
        <f ca="1">'January 2026 - March 2026'!E136</f>
        <v>470.280000000002</v>
      </c>
      <c r="M15" s="197" t="str">
        <f>IF(Main!B2,TEXT(EDATE(Main!B3,36),"dd mmmm yyyy"),TEXT(Main!B3+((Main!B5-Main!B3)*36+36),"dd mmmm yyyy"))&amp;" - "&amp;IF(Main!B2,TEXT(EDATE(Main!B3,39)-1,"dd mmmm yyyy"),TEXT(Main!B3+((Main!B5-Main!B3)*39+38),"dd mmmm yyyy"))</f>
        <v>20 January 2028 - 19 April 2028</v>
      </c>
      <c r="N15" s="200">
        <f ca="1">'January 2028 - March 2028'!C5</f>
        <v>0</v>
      </c>
    </row>
    <row r="16" ht="35.25" customHeight="1" spans="1:14">
      <c r="A16" s="163"/>
      <c r="B16" s="164" t="s">
        <v>48</v>
      </c>
      <c r="C16" s="165">
        <f>SUM(C3:C15)</f>
        <v>78.22</v>
      </c>
      <c r="D16" s="166"/>
      <c r="E16" s="164" t="s">
        <v>48</v>
      </c>
      <c r="F16" s="190">
        <f>SUM(F3:F15)</f>
        <v>76.22</v>
      </c>
      <c r="I16" s="201" t="str">
        <f>IF(Main!B2,TEXT(EDATE(Main!B3,13),"dd mmmm yyyy"),TEXT(Main!B3+((Main!B5-Main!B3)*13)+13,"dd mmmm yyyy"))&amp;" - "&amp;IF(Main!B2,TEXT(EDATE(Main!B3,14)-1,"dd mmmm yyyy"),TEXT(Main!B3+((Main!B5-Main!B3)*14+13),"dd mmmm yyyy"))</f>
        <v>20 February 2026 - 19 March 2026</v>
      </c>
      <c r="J16" s="200">
        <f ca="1">'January 2026 - March 2026'!E163</f>
        <v>885.290000000002</v>
      </c>
      <c r="M16" s="197" t="str">
        <f>IF(Main!B2,TEXT(EDATE(Main!B3,39),"dd mmmm yyyy"),TEXT(Main!B3+((Main!B5-Main!B3)*39+39),"dd mmmm yyyy"))&amp;" - "&amp;IF(Main!B2,TEXT(EDATE(Main!B3,42)-1,"dd mmmm yyyy"),TEXT(Main!B3+((Main!B5-Main!B3)*42+41),"dd mmmm yyyy"))</f>
        <v>20 April 2028 - 19 July 2028</v>
      </c>
      <c r="N16" s="200">
        <f ca="1">'April 2028 - June 2028'!C5</f>
        <v>0</v>
      </c>
    </row>
    <row r="17" ht="35.25" customHeight="1" spans="9:14">
      <c r="I17" s="201" t="str">
        <f>IF(Main!B2,TEXT(EDATE(Main!B3,14),"dd mmmm yyyy"),TEXT(Main!B3+((Main!B5-Main!B3)*14)+14,"dd mmmm yyyy"))&amp;" - "&amp;IF(Main!B2,TEXT(EDATE(Main!B3,15)-1,"dd mmmm yyyy"),TEXT(Main!B3+((Main!B5-Main!B3)*15+14),"dd mmmm yyyy"))</f>
        <v>20 March 2026 - 19 April 2026</v>
      </c>
      <c r="J17" s="200">
        <f ca="1">'January 2026 - March 2026'!E190</f>
        <v>1731.3</v>
      </c>
      <c r="M17" s="197" t="str">
        <f>IF(Main!B2,TEXT(EDATE(Main!B3,42),"dd mmmm yyyy"),TEXT(Main!B3+((Main!B5-Main!B3)*42+42),"dd mmmm yyyy"))&amp;" - "&amp;IF(Main!B2,TEXT(EDATE(Main!B3,45)-1,"dd mmmm yyyy"),TEXT(Main!B3+((Main!B5-Main!B3)*45+44),"dd mmmm yyyy"))</f>
        <v>20 July 2028 - 19 October 2028</v>
      </c>
      <c r="N17" s="200">
        <f ca="1">'July 2028 - September 2028'!C5</f>
        <v>0</v>
      </c>
    </row>
    <row r="18" ht="35.25" customHeight="1" spans="9:14">
      <c r="I18" s="201" t="str">
        <f>IF(Main!B2,TEXT(EDATE(Main!B3,15),"dd mmmm yyyy"),TEXT(Main!B3+((Main!B5-Main!B3)*15)+15,"dd mmmm yyyy"))&amp;" - "&amp;IF(Main!B2,TEXT(EDATE(Main!B3,16)-1,"dd mmmm yyyy"),TEXT(Main!B3+((Main!B5-Main!B3)*16+15),"dd mmmm yyyy"))</f>
        <v>20 April 2026 - 19 May 2026</v>
      </c>
      <c r="J18" s="200">
        <f ca="1">'April 2026 - June 2026'!E136</f>
        <v>2306.31</v>
      </c>
      <c r="M18" s="197" t="str">
        <f>IF(Main!B2,TEXT(EDATE(Main!B3,45),"dd mmmm yyyy"),TEXT(Main!B3+((Main!B5-Main!B3)*45+45),"dd mmmm yyyy"))&amp;" - "&amp;IF(Main!B2,TEXT(EDATE(Main!B3,48)-1,"dd mmmm yyyy"),TEXT(Main!B3+((Main!B5-Main!B3)*48+47),"dd mmmm yyyy"))</f>
        <v>20 October 2028 - 19 January 2029</v>
      </c>
      <c r="N18" s="196">
        <f ca="1">'October 2028 - December 2028'!C5</f>
        <v>0</v>
      </c>
    </row>
    <row r="19" ht="33" customHeight="1" spans="9:10">
      <c r="I19" s="201" t="str">
        <f>IF(Main!B2,TEXT(EDATE(Main!B3,16),"dd mmmm yyyy"),TEXT(Main!B3+((Main!B5-Main!B3)*16)+16,"dd mmmm yyyy"))&amp;" - "&amp;IF(Main!B2,TEXT(EDATE(Main!B3,17)-1,"dd mmmm yyyy"),TEXT(Main!B3+((Main!B5-Main!B3)*17+16),"dd mmmm yyyy"))</f>
        <v>20 May 2026 - 19 June 2026</v>
      </c>
      <c r="J19" s="200">
        <f ca="1">'April 2026 - June 2026'!E163</f>
        <v>4075.32</v>
      </c>
    </row>
    <row r="20" ht="35.25" customHeight="1" spans="9:10">
      <c r="I20" s="201" t="str">
        <f>IF(Main!B2,TEXT(EDATE(Main!B3,17),"dd mmmm yyyy"),TEXT(Main!B3+((Main!B5-Main!B3)*17)+17,"dd mmmm yyyy"))&amp;" - "&amp;IF(Main!B2,TEXT(EDATE(Main!B3,18)-1,"dd mmmm yyyy"),TEXT(Main!B3+((Main!B5-Main!B3)*18+17),"dd mmmm yyyy"))</f>
        <v>20 June 2026 - 19 July 2026</v>
      </c>
      <c r="J20" s="200">
        <f ca="1">'April 2026 - June 2026'!E190</f>
        <v>4700.33</v>
      </c>
    </row>
    <row r="21" ht="35.25" customHeight="1" spans="9:10">
      <c r="I21" s="201" t="str">
        <f>IF(Main!B2,TEXT(EDATE(Main!B3,18),"dd mmmm yyyy"),TEXT(Main!B3+((Main!B5-Main!B3)*18)+18,"dd mmmm yyyy"))&amp;" - "&amp;IF(Main!B2,TEXT(EDATE(Main!B3,19)-1,"dd mmmm yyyy"),TEXT(Main!B3+((Main!B5-Main!B3)*19+18),"dd mmmm yyyy"))</f>
        <v>20 July 2026 - 19 August 2026</v>
      </c>
      <c r="J21" s="200">
        <f ca="1">'July 2026 - September 2026'!E136</f>
        <v>5546.34</v>
      </c>
    </row>
    <row r="22" ht="24.75" customHeight="1" spans="1:10">
      <c r="A22" s="15" t="str">
        <f>TEXT(Main!B3,"dd mmmm yyyy")&amp;" - "&amp;IF(Main!B2,TEXT(EDATE(Main!B3,1)-1,"dd mmmm yyyy"),TEXT(Main!B3+Main!B5-Main!B3,"dd mmmm yyyy"))&amp;" / "&amp;" (Revenue / Deferred Debts Or Expenses)"</f>
        <v>20 January 2025 - 19 February 2025 /  (Revenue / Deferred Debts Or Expenses)</v>
      </c>
      <c r="B22" s="16"/>
      <c r="C22" s="16"/>
      <c r="D22" s="16"/>
      <c r="E22" s="16"/>
      <c r="F22" s="16"/>
      <c r="G22" s="16"/>
      <c r="I22" s="201" t="str">
        <f>IF(Main!B2,TEXT(EDATE(Main!B3,19),"dd mmmm yyyy"),TEXT(Main!B3+((Main!B5-Main!B3)*19)+19,"dd mmmm yyyy"))&amp;" - "&amp;IF(Main!B2,TEXT(EDATE(Main!B3,20)-1,"dd mmmm yyyy"),TEXT(Main!B3+((Main!B5-Main!B3)*20+19),"dd mmmm yyyy"))</f>
        <v>20 August 2026 - 19 September 2026</v>
      </c>
      <c r="J22" s="200">
        <f ca="1">'July 2026 - September 2026'!E163</f>
        <v>5961.35</v>
      </c>
    </row>
    <row r="23" ht="24.75" customHeight="1" spans="1:10">
      <c r="A23" s="17" t="s">
        <v>30</v>
      </c>
      <c r="B23" s="17" t="s">
        <v>49</v>
      </c>
      <c r="C23" s="17"/>
      <c r="D23" s="18" t="s">
        <v>50</v>
      </c>
      <c r="E23" s="18"/>
      <c r="F23" s="18" t="s">
        <v>51</v>
      </c>
      <c r="G23" s="18"/>
      <c r="I23" s="201" t="str">
        <f>IF(Main!B2,TEXT(EDATE(Main!B3,20),"dd mmmm yyyy"),TEXT(Main!B3+((Main!B5-Main!B3)*20)+20,"dd mmmm yyyy"))&amp;" - "&amp;IF(Main!B2,TEXT(EDATE(Main!B3,21)-1,"dd mmmm yyyy"),TEXT(Main!B3+((Main!B5-Main!B3)*21+20),"dd mmmm yyyy"))</f>
        <v>20 September 2026 - 19 October 2026</v>
      </c>
      <c r="J23" s="200">
        <f ca="1">'July 2026 - September 2026'!E190</f>
        <v>6807.36</v>
      </c>
    </row>
    <row r="24" ht="33" customHeight="1" spans="1:10">
      <c r="A24" s="19"/>
      <c r="B24" s="167"/>
      <c r="C24" s="168"/>
      <c r="D24" s="168"/>
      <c r="E24" s="168"/>
      <c r="F24" s="43">
        <v>0</v>
      </c>
      <c r="G24" s="44"/>
      <c r="I24" s="201" t="str">
        <f>IF(Main!B2,TEXT(EDATE(Main!B3,21),"dd mmmm yyyy"),TEXT(Main!B3+((Main!B5-Main!B3)*21)+21,"dd mmmm yyyy"))&amp;" - "&amp;IF(Main!B2,TEXT(EDATE(Main!B3,22)-1,"dd mmmm yyyy"),TEXT(Main!B3+((Main!B5-Main!B3)*22+21),"dd mmmm yyyy"))</f>
        <v>20 October 2026 - 19 November 2026</v>
      </c>
      <c r="J24" s="200">
        <f ca="1">'October 2026 - December 2026'!E136</f>
        <v>7382.37</v>
      </c>
    </row>
    <row r="25" ht="30" customHeight="1" spans="1:10">
      <c r="A25" s="19"/>
      <c r="B25" s="22"/>
      <c r="C25" s="23"/>
      <c r="D25" s="22"/>
      <c r="E25" s="23"/>
      <c r="F25" s="43">
        <v>0</v>
      </c>
      <c r="G25" s="44"/>
      <c r="I25" s="201" t="str">
        <f>IF(Main!B2,TEXT(EDATE(Main!B3,22),"dd mmmm yyyy"),TEXT(Main!B3+((Main!B5-Main!B3)*22)+22,"dd mmmm yyyy"))&amp;" - "&amp;IF(Main!B2,TEXT(EDATE(Main!B3,23)-1,"dd mmmm yyyy"),TEXT(Main!B3+((Main!B5-Main!B3)*23+22),"dd mmmm yyyy"))</f>
        <v>20 November 2026 - 19 December 2026</v>
      </c>
      <c r="J25" s="200">
        <f ca="1">'October 2026 - December 2026'!E163</f>
        <v>8068.38</v>
      </c>
    </row>
    <row r="26" ht="30" customHeight="1" spans="1:10">
      <c r="A26" s="19"/>
      <c r="B26" s="22"/>
      <c r="C26" s="23"/>
      <c r="D26" s="24"/>
      <c r="E26" s="42"/>
      <c r="F26" s="43">
        <v>0</v>
      </c>
      <c r="G26" s="44"/>
      <c r="I26" s="199" t="str">
        <f>IF(Main!B2,TEXT(EDATE(Main!B3,23),"dd mmmm yyyy"),TEXT(Main!B3+((Main!B5-Main!B3)*23)+23,"dd mmmm yyyy"))&amp;" - "&amp;IF(Main!B2,TEXT(EDATE(Main!B3,24)-1,"dd mmmm yyyy"),TEXT(Main!B3+((Main!B5-Main!B3)*24+23),"dd mmmm yyyy"))</f>
        <v>20 December 2026 - 19 January 2027</v>
      </c>
      <c r="J26" s="200">
        <f ca="1">'October 2026 - December 2026'!E190</f>
        <v>8643.39</v>
      </c>
    </row>
    <row r="27" ht="30" customHeight="1" spans="1:10">
      <c r="A27" s="19"/>
      <c r="B27" s="22"/>
      <c r="C27" s="23"/>
      <c r="D27" s="24"/>
      <c r="E27" s="42"/>
      <c r="F27" s="43">
        <v>0</v>
      </c>
      <c r="G27" s="44"/>
      <c r="I27" s="201" t="str">
        <f>IF(Main!B2,TEXT(EDATE(Main!B3,24),"dd mmmm yyyy"),TEXT(Main!B3+((Main!B5-Main!B3)*24)+24,"dd mmmm yyyy"))&amp;" - "&amp;IF(Main!B2,TEXT(EDATE(Main!B3,25)-1,"dd mmmm yyyy"),TEXT(Main!B3+((Main!B5-Main!B3)*25+24),"dd mmmm yyyy"))</f>
        <v>20 January 2027 - 19 February 2027</v>
      </c>
      <c r="J27" s="200">
        <f ca="1">'January 2027 - March 2027'!E136</f>
        <v>9489.4</v>
      </c>
    </row>
    <row r="28" ht="30" customHeight="1" spans="1:10">
      <c r="A28" s="19"/>
      <c r="B28" s="22"/>
      <c r="C28" s="23"/>
      <c r="D28" s="24"/>
      <c r="E28" s="42"/>
      <c r="F28" s="43">
        <v>0</v>
      </c>
      <c r="G28" s="44"/>
      <c r="I28" s="201" t="str">
        <f>IF(Main!B2,TEXT(EDATE(Main!B3,25),"dd mmmm yyyy"),TEXT(Main!B3+((Main!B5-Main!B3)*25)+25,"dd mmmm yyyy"))&amp;" - "&amp;IF(Main!B2,TEXT(EDATE(Main!B3,26)-1,"dd mmmm yyyy"),TEXT(Main!B3+((Main!B5-Main!B3)*26+25),"dd mmmm yyyy"))</f>
        <v>20 February 2027 - 19 March 2027</v>
      </c>
      <c r="J28" s="200">
        <f ca="1">'January 2027 - March 2027'!E163</f>
        <v>9904.41</v>
      </c>
    </row>
    <row r="29" ht="30" customHeight="1" spans="1:10">
      <c r="A29" s="19"/>
      <c r="B29" s="22"/>
      <c r="C29" s="23"/>
      <c r="D29" s="24"/>
      <c r="E29" s="42"/>
      <c r="F29" s="43">
        <v>0</v>
      </c>
      <c r="G29" s="44"/>
      <c r="I29" s="197" t="str">
        <f>IF(Main!B2,TEXT(EDATE(Main!B3,26),"dd mmmm yyyy"),TEXT(Main!B3+((Main!B5-Main!B3)*26)+26,"dd mmmm yyyy"))&amp;" - "&amp;IF(Main!B2,TEXT(EDATE(Main!B3,27)-1,"dd mmmm yyyy"),TEXT(Main!B3+((Main!B5-Main!B3)*27+26),"dd mmmm yyyy"))</f>
        <v>20 March 2027 - 19 April 2027</v>
      </c>
      <c r="J29" s="196">
        <f ca="1">'January 2027 - March 2027'!E190</f>
        <v>10750.42</v>
      </c>
    </row>
    <row r="30" ht="30" customHeight="1" spans="1:10">
      <c r="A30" s="169"/>
      <c r="B30" s="170"/>
      <c r="C30" s="171"/>
      <c r="D30" s="28" t="s">
        <v>52</v>
      </c>
      <c r="E30" s="45"/>
      <c r="F30" s="46">
        <f>SUM(F24:G29)</f>
        <v>0</v>
      </c>
      <c r="G30" s="47"/>
      <c r="I30" s="201" t="str">
        <f>IF(Main!B2,TEXT(EDATE(Main!B3,27),"dd mmmm yyyy"),TEXT(Main!B3+((Main!B5-Main!B3)*27)+27,"dd mmmm yyyy"))&amp;" - "&amp;IF(Main!B2,TEXT(EDATE(Main!B3,28)-1,"dd mmmm yyyy"),TEXT(Main!B3+((Main!B5-Main!B3)*28+27),"dd mmmm yyyy"))</f>
        <v>20 April 2027 - 19 May 2027</v>
      </c>
      <c r="J30" s="202">
        <f ca="1">'April 2027 - June 2027'!E136</f>
        <v>11966.42</v>
      </c>
    </row>
    <row r="31" ht="30" customHeight="1" spans="9:10">
      <c r="I31" s="201" t="str">
        <f>IF(Main!B2,TEXT(EDATE(Main!B3,28),"dd mmmm yyyy"),TEXT(Main!B3+((Main!B5-Main!B3)*28)+28,"dd mmmm yyyy"))&amp;" - "&amp;IF(Main!B2,TEXT(EDATE(Main!B3,29)-1,"dd mmmm yyyy"),TEXT(Main!B3+((Main!B5-Main!B3)*29+28),"dd mmmm yyyy"))</f>
        <v>20 May 2027 - 19 June 2027</v>
      </c>
      <c r="J31" s="200">
        <f ca="1">'April 2027 - June 2027'!E163</f>
        <v>13834.42</v>
      </c>
    </row>
    <row r="32" ht="27.75" customHeight="1" spans="9:10">
      <c r="I32" s="201" t="str">
        <f>IF(Main!B2,TEXT(EDATE(Main!B3,29),"dd mmmm yyyy"),TEXT(Main!B3+((Main!B5-Main!B3)*29)+29,"dd mmmm yyyy"))&amp;" - "&amp;IF(Main!B2,TEXT(EDATE(Main!B3,30)-1,"dd mmmm yyyy"),TEXT(Main!B3+((Main!B5-Main!B3)*30+29),"dd mmmm yyyy"))</f>
        <v>20 June 2027 - 19 July 2027</v>
      </c>
      <c r="J32" s="200">
        <f ca="1">'April 2027 - June 2027'!E190</f>
        <v>15050.42</v>
      </c>
    </row>
    <row r="33" ht="30" customHeight="1" spans="9:10">
      <c r="I33" s="201" t="str">
        <f>IF(Main!B2,TEXT(EDATE(Main!B3,30),"dd mmmm yyyy"),TEXT(Main!B3+((Main!B5-Main!B3)*30)+30,"dd mmmm yyyy"))&amp;" - "&amp;IF(Main!B2,TEXT(EDATE(Main!B3,31)-1,"dd mmmm yyyy"),TEXT(Main!B3+((Main!B5-Main!B3)*31+30),"dd mmmm yyyy"))</f>
        <v>20 July 2027 - 19 August 2027</v>
      </c>
      <c r="J33" s="200">
        <f ca="1">'July 2027 - September 2027'!E136</f>
        <v>15625.43</v>
      </c>
    </row>
    <row r="34" ht="30" customHeight="1" spans="1:10">
      <c r="A34" s="15" t="str">
        <f>IF(Main!B2,TEXT(EDATE(Main!B3,1),"dd mmmm yyyy"),TEXT(Main!B3+(Main!B5-Main!B3)+1,"dd mmmm yyyy"))&amp;" - "&amp;IF(Main!B2,TEXT(EDATE(Main!B3,2)-1,"dd mmmm yyyy"),TEXT(Main!B3+(Main!B5-Main!B3)*2+1,"dd mmmm yyyy"))&amp;" (Revenue / Deferred Debts Or Expenses)"</f>
        <v>20 February 2025 - 19 March 2025 (Revenue / Deferred Debts Or Expenses)</v>
      </c>
      <c r="B34" s="16"/>
      <c r="C34" s="16"/>
      <c r="D34" s="16"/>
      <c r="E34" s="16"/>
      <c r="F34" s="16"/>
      <c r="G34" s="16"/>
      <c r="I34" s="201" t="str">
        <f>IF(Main!B2,TEXT(EDATE(Main!B3,31),"dd mmmm yyyy"),TEXT(Main!B3+((Main!B5-Main!B3)*31)+31,"dd mmmm yyyy"))&amp;" - "&amp;IF(Main!B2,TEXT(EDATE(Main!B3,32)-1,"dd mmmm yyyy"),TEXT(Main!B3+((Main!B5-Main!B3)*32+31),"dd mmmm yyyy"))</f>
        <v>20 August 2027 - 19 September 2027</v>
      </c>
      <c r="J34" s="200">
        <f ca="1">'July 2027 - September 2027'!E163</f>
        <v>16311.44</v>
      </c>
    </row>
    <row r="35" ht="24.75" customHeight="1" spans="1:10">
      <c r="A35" s="17" t="s">
        <v>30</v>
      </c>
      <c r="B35" s="17" t="s">
        <v>49</v>
      </c>
      <c r="C35" s="17"/>
      <c r="D35" s="18" t="s">
        <v>50</v>
      </c>
      <c r="E35" s="18"/>
      <c r="F35" s="18" t="s">
        <v>51</v>
      </c>
      <c r="G35" s="18"/>
      <c r="I35" s="201" t="str">
        <f>IF(Main!B2,TEXT(EDATE(Main!B3,32),"dd mmmm yyyy"),TEXT(Main!B3+((Main!B5-Main!B3)*32)+32,"dd mmmm yyyy"))&amp;" - "&amp;IF(Main!B2,TEXT(EDATE(Main!B3,33)-1,"dd mmmm yyyy"),TEXT(Main!B3+((Main!B5-Main!B3)*33+32),"dd mmmm yyyy"))</f>
        <v>20 September 2027 - 19 October 2027</v>
      </c>
      <c r="J35" s="200">
        <f ca="1">'July 2027 - September 2027'!E190</f>
        <v>16886.45</v>
      </c>
    </row>
    <row r="36" ht="22" customHeight="1" spans="1:10">
      <c r="A36" s="19"/>
      <c r="B36" s="22" t="s">
        <v>53</v>
      </c>
      <c r="C36" s="23"/>
      <c r="D36" s="74" t="s">
        <v>54</v>
      </c>
      <c r="E36" s="74"/>
      <c r="F36" s="43">
        <v>400</v>
      </c>
      <c r="G36" s="44"/>
      <c r="I36" s="201" t="str">
        <f>IF(Main!B2,TEXT(EDATE(Main!B3,33),"dd mmmm yyyy"),TEXT(Main!B3+((Main!B5-Main!B3)*33)+33,"dd mmmm yyyy"))&amp;" - "&amp;IF(Main!B2,TEXT(EDATE(Main!B3,34)-1,"dd mmmm yyyy"),TEXT(Main!B3+((Main!B5-Main!B3)*34+33),"dd mmmm yyyy"))</f>
        <v>20 October 2027 - 19 November 2027</v>
      </c>
      <c r="J36" s="200">
        <f ca="1">'October 2027 - December 2027'!E136</f>
        <v>17732.46</v>
      </c>
    </row>
    <row r="37" ht="24.75" customHeight="1" spans="1:10">
      <c r="A37" s="19"/>
      <c r="B37" s="22"/>
      <c r="C37" s="23"/>
      <c r="D37" s="74"/>
      <c r="E37" s="74"/>
      <c r="F37" s="43">
        <v>0</v>
      </c>
      <c r="G37" s="44"/>
      <c r="I37" s="201" t="str">
        <f>IF(Main!B2,TEXT(EDATE(Main!B3,34),"dd mmmm yyyy"),TEXT(Main!B3+((Main!B5-Main!B3)*34)+34,"dd mmmm yyyy"))&amp;" - "&amp;IF(Main!B2,TEXT(EDATE(Main!B3,35)-1,"dd mmmm yyyy"),TEXT(Main!B3+((Main!B5-Main!B3)*35+34),"dd mmmm yyyy"))</f>
        <v>20 November 2027 - 19 December 2027</v>
      </c>
      <c r="J37" s="200">
        <f ca="1">'October 2027 - December 2027'!E163</f>
        <v>18147.47</v>
      </c>
    </row>
    <row r="38" ht="20.25" customHeight="1" spans="1:10">
      <c r="A38" s="19"/>
      <c r="B38" s="172"/>
      <c r="C38" s="23"/>
      <c r="D38" s="22"/>
      <c r="E38" s="23"/>
      <c r="F38" s="43">
        <v>0</v>
      </c>
      <c r="G38" s="44"/>
      <c r="I38" s="201" t="str">
        <f>IF(Main!B2,TEXT(EDATE(Main!B3,35),"dd mmmm yyyy"),TEXT(Main!B3+((Main!B5-Main!B3)*35)+35,"dd mmmm yyyy"))&amp;" - "&amp;IF(Main!B2,TEXT(EDATE(Main!B3,36)-1,"dd mmmm yyyy"),TEXT(Main!B3+((Main!B5-Main!B3)*36+35),"dd mmmm yyyy"))</f>
        <v>20 December 2027 - 19 January 2028</v>
      </c>
      <c r="J38" s="200">
        <f ca="1">'October 2027 - December 2027'!E190</f>
        <v>18993.48</v>
      </c>
    </row>
    <row r="39" ht="24.75" customHeight="1" spans="1:10">
      <c r="A39" s="19"/>
      <c r="B39" s="22"/>
      <c r="C39" s="23"/>
      <c r="D39" s="24"/>
      <c r="E39" s="42"/>
      <c r="F39" s="43">
        <v>0</v>
      </c>
      <c r="G39" s="44"/>
      <c r="I39" s="201" t="str">
        <f>IF(Main!B2,TEXT(EDATE(Main!B3,36),"dd mmmm yyyy"),TEXT(Main!B3+((Main!B5-Main!B3)*36)+36,"dd mmmm yyyy"))&amp;" - "&amp;IF(Main!B2,TEXT(EDATE(Main!B3,37)-1,"dd mmmm yyyy"),TEXT(Main!B3+((Main!B5-Main!B3)*37+36),"dd mmmm yyyy"))</f>
        <v>20 January 2028 - 19 February 2028</v>
      </c>
      <c r="J39" s="200">
        <f ca="1">'January 2028 - March 2028'!E136</f>
        <v>19618.49</v>
      </c>
    </row>
    <row r="40" ht="24.75" customHeight="1" spans="1:10">
      <c r="A40" s="19"/>
      <c r="B40" s="22"/>
      <c r="C40" s="23"/>
      <c r="D40" s="24"/>
      <c r="E40" s="42"/>
      <c r="F40" s="43">
        <v>0</v>
      </c>
      <c r="G40" s="44"/>
      <c r="I40" s="201" t="str">
        <f>IF(Main!B2,TEXT(EDATE(Main!B3,37),"dd mmmm yyyy"),TEXT(Main!B3+((Main!B5-Main!B3)*37)+37,"dd mmmm yyyy"))&amp;" - "&amp;IF(Main!B2,TEXT(EDATE(Main!B3,38)-1,"dd mmmm yyyy"),TEXT(Main!B3+((Main!B5-Main!B3)*38+37),"dd mmmm yyyy"))</f>
        <v>20 February 2028 - 19 March 2028</v>
      </c>
      <c r="J40" s="200">
        <f ca="1">'January 2028 - March 2028'!E163</f>
        <v>20304.5</v>
      </c>
    </row>
    <row r="41" ht="24.75" customHeight="1" spans="1:10">
      <c r="A41" s="19"/>
      <c r="B41" s="22"/>
      <c r="C41" s="23"/>
      <c r="D41" s="24"/>
      <c r="E41" s="42"/>
      <c r="F41" s="43">
        <v>0</v>
      </c>
      <c r="G41" s="44"/>
      <c r="I41" s="197" t="str">
        <f>IF(Main!B2,TEXT(EDATE(Main!B3,38),"dd mmmm yyyy"),TEXT(Main!B3+((Main!B5-Main!B3)*38)+38,"dd mmmm yyyy"))&amp;" - "&amp;IF(Main!B2,TEXT(EDATE(Main!B3,39)-1,"dd mmmm yyyy"),TEXT(Main!B3+((Main!B5-Main!B3)*39+38),"dd mmmm yyyy"))</f>
        <v>20 March 2028 - 19 April 2028</v>
      </c>
      <c r="J41" s="200">
        <f ca="1">'January 2028 - March 2028'!E190</f>
        <v>20919.51</v>
      </c>
    </row>
    <row r="42" ht="24.75" customHeight="1" spans="1:10">
      <c r="A42" s="169"/>
      <c r="B42" s="170"/>
      <c r="C42" s="171"/>
      <c r="D42" s="28" t="s">
        <v>52</v>
      </c>
      <c r="E42" s="45"/>
      <c r="F42" s="46">
        <f>SUM(F36:G41)</f>
        <v>400</v>
      </c>
      <c r="G42" s="47"/>
      <c r="I42" s="197" t="str">
        <f>IF(Main!B2,TEXT(EDATE(Main!B3,39),"dd mmmm yyyy"),TEXT(Main!B3+((Main!B5-Main!B3)*39)+39,"dd mmmm yyyy"))&amp;" - "&amp;IF(Main!B2,TEXT(EDATE(Main!B3,40)-1,"dd mmmm yyyy"),TEXT(Main!B3+((Main!B5-Main!B3)*40+39),"dd mmmm yyyy"))</f>
        <v>20 April 2028 - 19 May 2028</v>
      </c>
      <c r="J42" s="200">
        <f ca="1">'April 2028 - June 2028'!E136</f>
        <v>21765.52</v>
      </c>
    </row>
    <row r="43" ht="24.75" customHeight="1" spans="9:10">
      <c r="I43" s="197" t="str">
        <f>IF(Main!B2,TEXT(EDATE(Main!B3,40),"dd mmmm yyyy"),TEXT(Main!B3+((Main!B5-Main!B3)*40)+40,"dd mmmm yyyy"))&amp;" - "&amp;IF(Main!B2,TEXT(EDATE(Main!B3,41)-1,"dd mmmm yyyy"),TEXT(Main!B3+((Main!B5-Main!B3)*41+40),"dd mmmm yyyy"))</f>
        <v>20 May 2028 - 19 June 2028</v>
      </c>
      <c r="J43" s="200">
        <f ca="1">'April 2028 - June 2028'!E163</f>
        <v>23263.53</v>
      </c>
    </row>
    <row r="44" ht="24.75" customHeight="1" spans="9:10">
      <c r="I44" s="197" t="str">
        <f>IF(Main!B2,TEXT(EDATE(Main!B3,41),"dd mmmm yyyy"),TEXT(Main!B3+((Main!B5-Main!B3)*41)+41,"dd mmmm yyyy"))&amp;" - "&amp;IF(Main!B2,TEXT(EDATE(Main!B3,42)-1,"dd mmmm yyyy"),TEXT(Main!B3+((Main!B5-Main!B3)*42+41),"dd mmmm yyyy"))</f>
        <v>20 June 2028 - 19 July 2028</v>
      </c>
      <c r="J44" s="200">
        <f ca="1">'April 2028 - June 2028'!E190</f>
        <v>24109.54</v>
      </c>
    </row>
    <row r="45" ht="24.75" customHeight="1" spans="9:10">
      <c r="I45" s="197" t="str">
        <f>IF(Main!B2,TEXT(EDATE(Main!B3,42),"dd mmmm yyyy"),TEXT(Main!B3+((Main!B5-Main!B3)*42)+42,"dd mmmm yyyy"))&amp;" - "&amp;IF(Main!B2,TEXT(EDATE(Main!B3,43)-1,"dd mmmm yyyy"),TEXT(Main!B3+((Main!B5-Main!B3)*43+42),"dd mmmm yyyy"))</f>
        <v>20 July 2028 - 19 August 2028</v>
      </c>
      <c r="J45" s="200">
        <f ca="1">'July 2028 - September 2028'!E136</f>
        <v>24734.55</v>
      </c>
    </row>
    <row r="46" ht="24.75" customHeight="1" spans="1:10">
      <c r="A46" s="15" t="str">
        <f>IF(Main!B2,TEXT(EDATE(Main!B3,2),"dd mmmm yyyy"),TEXT(Main!B3+((Main!B5-Main!B3)*2)+2,"dd mmmm yyyy"))&amp;" - "&amp;IF(Main!B2,TEXT(EDATE(Main!B3,3)-1,"dd mmmm yyyy"),TEXT(Main!B3+((Main!B5-Main!B3)*3+2),"dd mmmm yyyy"))&amp;" (Revenue / Deferred Debts Or Expenses)"</f>
        <v>20 March 2025 - 19 April 2025 (Revenue / Deferred Debts Or Expenses)</v>
      </c>
      <c r="B46" s="16"/>
      <c r="C46" s="16"/>
      <c r="D46" s="16"/>
      <c r="E46" s="16"/>
      <c r="F46" s="16"/>
      <c r="G46" s="16"/>
      <c r="I46" s="197" t="str">
        <f>IF(Main!B2,TEXT(EDATE(Main!B3,43),"dd mmmm yyyy"),TEXT(Main!B3+((Main!B5-Main!B3)*43)+43,"dd mmmm yyyy"))&amp;" - "&amp;IF(Main!B2,TEXT(EDATE(Main!B3,44)-1,"dd mmmm yyyy"),TEXT(Main!B3+((Main!B5-Main!B3)*44+43),"dd mmmm yyyy"))</f>
        <v>20 August 2028 - 19 September 2028</v>
      </c>
      <c r="J46" s="200">
        <f ca="1">'July 2028 - September 2028'!E163</f>
        <v>25420.56</v>
      </c>
    </row>
    <row r="47" ht="24.75" customHeight="1" spans="1:10">
      <c r="A47" s="17" t="s">
        <v>30</v>
      </c>
      <c r="B47" s="17" t="s">
        <v>49</v>
      </c>
      <c r="C47" s="17"/>
      <c r="D47" s="18" t="s">
        <v>50</v>
      </c>
      <c r="E47" s="18"/>
      <c r="F47" s="18" t="s">
        <v>51</v>
      </c>
      <c r="G47" s="18"/>
      <c r="I47" s="197" t="str">
        <f>IF(Main!B2,TEXT(EDATE(Main!B3,44),"dd mmmm yyyy"),TEXT(Main!B3+((Main!B5-Main!B3)*44)+44,"dd mmmm yyyy"))&amp;" - "&amp;IF(Main!B2,TEXT(EDATE(Main!B3,45)-1,"dd mmmm yyyy"),TEXT(Main!B3+((Main!B5-Main!B3)*45+44),"dd mmmm yyyy"))</f>
        <v>20 September 2028 - 19 October 2028</v>
      </c>
      <c r="J47" s="200">
        <f ca="1">'July 2028 - September 2028'!E190</f>
        <v>25995.57</v>
      </c>
    </row>
    <row r="48" ht="24.75" customHeight="1" spans="1:10">
      <c r="A48" s="101"/>
      <c r="B48" s="22" t="s">
        <v>53</v>
      </c>
      <c r="C48" s="23"/>
      <c r="D48" s="74" t="s">
        <v>54</v>
      </c>
      <c r="E48" s="74"/>
      <c r="F48" s="191">
        <v>400</v>
      </c>
      <c r="G48" s="44"/>
      <c r="I48" s="197" t="str">
        <f>IF(Main!B2,TEXT(EDATE(Main!B3,45),"dd mmmm yyyy"),TEXT(Main!B3+((Main!B5-Main!B3)*45)+45,"dd mmmm yyyy"))&amp;" - "&amp;IF(Main!B2,TEXT(EDATE(Main!B3,46)-1,"dd mmmm yyyy"),TEXT(Main!B3+((Main!B5-Main!B3)*46+45),"dd mmmm yyyy"))</f>
        <v>20 October 2028 - 19 November 2028</v>
      </c>
      <c r="J48" s="200">
        <f ca="1">'October 2028 - December 2028'!E136</f>
        <v>26841.58</v>
      </c>
    </row>
    <row r="49" ht="24.75" customHeight="1" spans="1:10">
      <c r="A49" s="101"/>
      <c r="B49" s="20"/>
      <c r="C49" s="20"/>
      <c r="D49" s="21"/>
      <c r="E49" s="21"/>
      <c r="F49" s="191">
        <v>0</v>
      </c>
      <c r="G49" s="44"/>
      <c r="I49" s="197" t="str">
        <f>IF(Main!B2,TEXT(EDATE(Main!B3,46),"dd mmmm yyyy"),TEXT(Main!B3+((Main!B5-Main!B3)*46)+46,"dd mmmm yyyy"))&amp;" - "&amp;IF(Main!B2,TEXT(EDATE(Main!B3,47)-1,"dd mmmm yyyy"),TEXT(Main!B3+((Main!B5-Main!B3)*47+46),"dd mmmm yyyy"))</f>
        <v>20 November 2028 - 19 December 2028</v>
      </c>
      <c r="J49" s="200">
        <f ca="1">'October 2028 - December 2028'!E163</f>
        <v>27256.59</v>
      </c>
    </row>
    <row r="50" ht="24.75" customHeight="1" spans="1:10">
      <c r="A50" s="101"/>
      <c r="B50" s="20"/>
      <c r="C50" s="20"/>
      <c r="D50" s="20"/>
      <c r="E50" s="20"/>
      <c r="F50" s="191">
        <v>0</v>
      </c>
      <c r="G50" s="44"/>
      <c r="I50" s="197" t="str">
        <f>IF(Main!B2,TEXT(EDATE(Main!B3,47),"dd mmmm yyyy"),TEXT(Main!B3+((Main!B5-Main!B3)*47)+47,"dd mmmm yyyy"))&amp;" - "&amp;IF(Main!B2,TEXT(EDATE(Main!B3,48)-1,"dd mmmm yyyy"),TEXT(Main!B3+((Main!B5-Main!B3)*48+47),"dd mmmm yyyy"))</f>
        <v>20 December 2028 - 19 January 2029</v>
      </c>
      <c r="J50" s="196">
        <f ca="1">'October 2028 - December 2028'!E190</f>
        <v>28102.6</v>
      </c>
    </row>
    <row r="51" ht="41.1" customHeight="1" spans="1:7">
      <c r="A51" s="173"/>
      <c r="B51" s="174"/>
      <c r="C51" s="174"/>
      <c r="D51" s="21"/>
      <c r="E51" s="21"/>
      <c r="F51" s="191">
        <v>0</v>
      </c>
      <c r="G51" s="44"/>
    </row>
    <row r="52" ht="24.75" customHeight="1" spans="1:7">
      <c r="A52" s="175"/>
      <c r="B52" s="20"/>
      <c r="C52" s="20"/>
      <c r="D52" s="20"/>
      <c r="E52" s="20"/>
      <c r="F52" s="191">
        <v>0</v>
      </c>
      <c r="G52" s="44"/>
    </row>
    <row r="53" ht="24.75" customHeight="1" spans="1:7">
      <c r="A53" s="19"/>
      <c r="B53" s="22"/>
      <c r="C53" s="23"/>
      <c r="D53" s="24"/>
      <c r="E53" s="42"/>
      <c r="F53" s="43">
        <v>0</v>
      </c>
      <c r="G53" s="44"/>
    </row>
    <row r="54" ht="24.75" customHeight="1" spans="1:7">
      <c r="A54" s="169"/>
      <c r="B54" s="170"/>
      <c r="C54" s="171"/>
      <c r="D54" s="28" t="s">
        <v>52</v>
      </c>
      <c r="E54" s="45"/>
      <c r="F54" s="46">
        <f>SUM(F48:G53)</f>
        <v>400</v>
      </c>
      <c r="G54" s="47"/>
    </row>
    <row r="55" ht="24.75" customHeight="1"/>
    <row r="58" ht="20.4" spans="1:3">
      <c r="A58" s="176" t="str">
        <f>"Fixed Expense For the Year "&amp;TEXT(Main!B3,"mmmm yyyy")&amp;" - "&amp;IF(Main!B2,TEXT(EDATE(Main!B3,3)-1,"mmmm yyyy"),TEXT(Main!B3+((Main!B5-Main!B3)*3+2),"mmmm yyyy"))</f>
        <v>Fixed Expense For the Year January 2025 - April 2025</v>
      </c>
      <c r="B58" s="177"/>
      <c r="C58" s="178"/>
    </row>
    <row r="59" ht="21" spans="1:3">
      <c r="A59" s="179" t="s">
        <v>49</v>
      </c>
      <c r="B59" s="179" t="s">
        <v>50</v>
      </c>
      <c r="C59" s="180" t="s">
        <v>51</v>
      </c>
    </row>
    <row r="60" spans="1:3">
      <c r="A60" s="181" t="s">
        <v>55</v>
      </c>
      <c r="B60" s="182"/>
      <c r="C60" s="183"/>
    </row>
    <row r="61" spans="1:3">
      <c r="A61" s="51" t="s">
        <v>56</v>
      </c>
      <c r="B61" s="184"/>
      <c r="C61" s="140">
        <v>78</v>
      </c>
    </row>
    <row r="62" spans="1:3">
      <c r="A62" s="51" t="s">
        <v>57</v>
      </c>
      <c r="B62" s="184"/>
      <c r="C62" s="140">
        <v>149</v>
      </c>
    </row>
    <row r="63" ht="21" customHeight="1" spans="1:3">
      <c r="A63" s="185" t="s">
        <v>58</v>
      </c>
      <c r="B63" s="184"/>
      <c r="C63" s="140">
        <v>0</v>
      </c>
    </row>
    <row r="64" spans="1:3">
      <c r="A64" s="51" t="s">
        <v>59</v>
      </c>
      <c r="B64" s="186"/>
      <c r="C64" s="140">
        <v>0</v>
      </c>
    </row>
    <row r="65" spans="1:3">
      <c r="A65" s="51" t="s">
        <v>60</v>
      </c>
      <c r="B65" s="184"/>
      <c r="C65" s="207">
        <v>50</v>
      </c>
    </row>
    <row r="66" spans="1:3">
      <c r="A66" s="51"/>
      <c r="B66" s="184"/>
      <c r="C66" s="207">
        <v>0</v>
      </c>
    </row>
    <row r="67" spans="1:3">
      <c r="A67" s="51"/>
      <c r="B67" s="184"/>
      <c r="C67" s="207">
        <v>0</v>
      </c>
    </row>
    <row r="68" spans="1:3">
      <c r="A68" s="51"/>
      <c r="B68" s="184"/>
      <c r="C68" s="207">
        <v>0</v>
      </c>
    </row>
    <row r="69" spans="1:3">
      <c r="A69" s="39"/>
      <c r="B69" s="40" t="s">
        <v>61</v>
      </c>
      <c r="C69" s="207">
        <f>SUM(C61:C68)</f>
        <v>277</v>
      </c>
    </row>
    <row r="70" spans="1:3">
      <c r="A70" s="181" t="s">
        <v>62</v>
      </c>
      <c r="B70" s="182"/>
      <c r="C70" s="183"/>
    </row>
    <row r="71" spans="1:3">
      <c r="A71" s="51"/>
      <c r="B71" s="184"/>
      <c r="C71" s="207">
        <v>0</v>
      </c>
    </row>
    <row r="72" spans="1:3">
      <c r="A72" s="51"/>
      <c r="B72" s="184"/>
      <c r="C72" s="207">
        <v>0</v>
      </c>
    </row>
    <row r="73" spans="1:3">
      <c r="A73" s="51"/>
      <c r="B73" s="184"/>
      <c r="C73" s="207">
        <v>0</v>
      </c>
    </row>
    <row r="74" spans="1:3">
      <c r="A74" s="51"/>
      <c r="B74" s="184"/>
      <c r="C74" s="207">
        <v>0</v>
      </c>
    </row>
    <row r="75" spans="1:3">
      <c r="A75" s="51"/>
      <c r="B75" s="184"/>
      <c r="C75" s="207">
        <v>0</v>
      </c>
    </row>
    <row r="76" spans="1:3">
      <c r="A76" s="51"/>
      <c r="B76" s="184"/>
      <c r="C76" s="207">
        <v>0</v>
      </c>
    </row>
    <row r="77" spans="1:3">
      <c r="A77" s="51"/>
      <c r="B77" s="184"/>
      <c r="C77" s="207">
        <v>0</v>
      </c>
    </row>
    <row r="78" spans="1:3">
      <c r="A78" s="51"/>
      <c r="B78" s="184"/>
      <c r="C78" s="207">
        <v>0</v>
      </c>
    </row>
    <row r="79" spans="1:3">
      <c r="A79" s="51"/>
      <c r="B79" s="184"/>
      <c r="C79" s="207">
        <v>0</v>
      </c>
    </row>
    <row r="80" spans="1:3">
      <c r="A80" s="208"/>
      <c r="B80" s="209" t="s">
        <v>61</v>
      </c>
      <c r="C80" s="207">
        <f>SUM(C71:C79)</f>
        <v>0</v>
      </c>
    </row>
    <row r="81" spans="1:3">
      <c r="A81" s="181" t="s">
        <v>63</v>
      </c>
      <c r="B81" s="182"/>
      <c r="C81" s="183"/>
    </row>
    <row r="82" spans="1:3">
      <c r="A82" s="51" t="s">
        <v>64</v>
      </c>
      <c r="B82" s="186" t="s">
        <v>65</v>
      </c>
      <c r="C82" s="37">
        <v>0</v>
      </c>
    </row>
    <row r="83" spans="1:3">
      <c r="A83" s="210" t="s">
        <v>66</v>
      </c>
      <c r="B83" s="184" t="s">
        <v>67</v>
      </c>
      <c r="C83" s="37">
        <v>0</v>
      </c>
    </row>
    <row r="84" spans="1:3">
      <c r="A84" s="52"/>
      <c r="B84" s="184"/>
      <c r="C84" s="37">
        <v>0</v>
      </c>
    </row>
    <row r="85" spans="1:3">
      <c r="A85" s="51"/>
      <c r="B85" s="184"/>
      <c r="C85" s="37">
        <v>0</v>
      </c>
    </row>
    <row r="86" spans="1:3">
      <c r="A86" s="51"/>
      <c r="B86" s="184"/>
      <c r="C86" s="37">
        <v>0</v>
      </c>
    </row>
    <row r="87" spans="1:3">
      <c r="A87" s="51"/>
      <c r="B87" s="184"/>
      <c r="C87" s="37">
        <v>0</v>
      </c>
    </row>
    <row r="88" spans="1:3">
      <c r="A88" s="51"/>
      <c r="B88" s="184"/>
      <c r="C88" s="37">
        <v>0</v>
      </c>
    </row>
    <row r="89" spans="1:3">
      <c r="A89" s="208"/>
      <c r="B89" s="209" t="s">
        <v>61</v>
      </c>
      <c r="C89" s="37">
        <f>SUM(C82:C88)</f>
        <v>0</v>
      </c>
    </row>
    <row r="90" spans="1:3">
      <c r="A90" s="181" t="s">
        <v>68</v>
      </c>
      <c r="B90" s="182"/>
      <c r="C90" s="183"/>
    </row>
    <row r="91" spans="1:3">
      <c r="A91" s="211" t="s">
        <v>69</v>
      </c>
      <c r="B91" s="212"/>
      <c r="C91" s="207">
        <v>0</v>
      </c>
    </row>
    <row r="92" spans="1:3">
      <c r="A92" s="52"/>
      <c r="B92" s="184"/>
      <c r="C92" s="207">
        <v>0</v>
      </c>
    </row>
    <row r="93" ht="20.25" customHeight="1" spans="1:3">
      <c r="A93" s="52"/>
      <c r="B93" s="184"/>
      <c r="C93" s="207">
        <v>0</v>
      </c>
    </row>
    <row r="94" ht="15.75" customHeight="1" spans="1:3">
      <c r="A94" s="51"/>
      <c r="B94" s="184"/>
      <c r="C94" s="207">
        <v>0</v>
      </c>
    </row>
    <row r="95" spans="1:3">
      <c r="A95" s="51"/>
      <c r="B95" s="184"/>
      <c r="C95" s="207">
        <v>0</v>
      </c>
    </row>
    <row r="96" spans="1:3">
      <c r="A96" s="51"/>
      <c r="B96" s="184"/>
      <c r="C96" s="207">
        <v>0</v>
      </c>
    </row>
    <row r="97" spans="1:3">
      <c r="A97" s="51"/>
      <c r="B97" s="184"/>
      <c r="C97" s="207">
        <v>0</v>
      </c>
    </row>
    <row r="98" spans="1:3">
      <c r="A98" s="51"/>
      <c r="B98" s="184"/>
      <c r="C98" s="207">
        <v>0</v>
      </c>
    </row>
    <row r="99" spans="1:3">
      <c r="A99" s="50"/>
      <c r="B99" s="40" t="s">
        <v>61</v>
      </c>
      <c r="C99" s="37">
        <f>SUM(C91:C98)</f>
        <v>0</v>
      </c>
    </row>
    <row r="100" spans="1:3">
      <c r="A100" s="181" t="s">
        <v>70</v>
      </c>
      <c r="B100" s="182"/>
      <c r="C100" s="183"/>
    </row>
    <row r="101" spans="1:3">
      <c r="A101" s="51" t="s">
        <v>71</v>
      </c>
      <c r="B101" s="213" t="s">
        <v>72</v>
      </c>
      <c r="C101" s="87">
        <v>0</v>
      </c>
    </row>
    <row r="102" ht="46" customHeight="1" spans="1:3">
      <c r="A102" s="52" t="s">
        <v>73</v>
      </c>
      <c r="B102" s="73" t="s">
        <v>74</v>
      </c>
      <c r="C102" s="87">
        <v>68</v>
      </c>
    </row>
    <row r="103" spans="1:3">
      <c r="A103" s="51" t="s">
        <v>75</v>
      </c>
      <c r="B103" s="73"/>
      <c r="C103" s="87">
        <v>55</v>
      </c>
    </row>
    <row r="104" spans="1:3">
      <c r="A104" s="51" t="s">
        <v>76</v>
      </c>
      <c r="B104" s="73"/>
      <c r="C104" s="87">
        <v>0</v>
      </c>
    </row>
    <row r="105" spans="1:3">
      <c r="A105" s="51" t="s">
        <v>77</v>
      </c>
      <c r="B105" s="184" t="s">
        <v>78</v>
      </c>
      <c r="C105" s="207">
        <v>0</v>
      </c>
    </row>
    <row r="106" spans="1:3">
      <c r="A106" s="51"/>
      <c r="B106" s="184"/>
      <c r="C106" s="207">
        <v>0</v>
      </c>
    </row>
    <row r="107" spans="1:3">
      <c r="A107" s="51"/>
      <c r="B107" s="184"/>
      <c r="C107" s="207">
        <v>0</v>
      </c>
    </row>
    <row r="108" spans="1:3">
      <c r="A108" s="51"/>
      <c r="B108" s="184"/>
      <c r="C108" s="207">
        <v>0</v>
      </c>
    </row>
    <row r="109" spans="1:3">
      <c r="A109" s="52"/>
      <c r="B109" s="40" t="s">
        <v>61</v>
      </c>
      <c r="C109" s="207">
        <f>SUM(C101:C108)</f>
        <v>123</v>
      </c>
    </row>
    <row r="110" spans="1:3">
      <c r="A110" s="50"/>
      <c r="B110" s="40" t="s">
        <v>79</v>
      </c>
      <c r="C110" s="207">
        <f>C69+C80+C89+C99+C109</f>
        <v>400</v>
      </c>
    </row>
    <row r="111" spans="1:3">
      <c r="A111" s="181" t="s">
        <v>80</v>
      </c>
      <c r="B111" s="182"/>
      <c r="C111" s="183"/>
    </row>
    <row r="112" spans="1:8">
      <c r="A112" s="214" t="s">
        <v>81</v>
      </c>
      <c r="B112" s="215"/>
      <c r="C112" s="216">
        <v>5970</v>
      </c>
      <c r="D112" s="14"/>
      <c r="E112" s="96"/>
      <c r="F112" s="14"/>
      <c r="G112" s="14"/>
      <c r="H112" s="14"/>
    </row>
    <row r="113" spans="1:8">
      <c r="A113" s="214" t="s">
        <v>82</v>
      </c>
      <c r="B113" s="184"/>
      <c r="C113" s="217">
        <v>0</v>
      </c>
      <c r="D113" s="14"/>
      <c r="E113" s="14"/>
      <c r="F113" s="14"/>
      <c r="G113" s="14"/>
      <c r="H113" s="14"/>
    </row>
    <row r="114" spans="1:8">
      <c r="A114" s="214" t="s">
        <v>83</v>
      </c>
      <c r="B114" s="184"/>
      <c r="C114" s="218">
        <v>0</v>
      </c>
      <c r="D114" s="14"/>
      <c r="E114" s="14"/>
      <c r="F114" s="14"/>
      <c r="G114" s="14"/>
      <c r="H114" s="14"/>
    </row>
    <row r="115" ht="39.75" customHeight="1" spans="1:8">
      <c r="A115" s="219" t="s">
        <v>84</v>
      </c>
      <c r="B115" s="184"/>
      <c r="C115" s="218">
        <v>0</v>
      </c>
      <c r="D115" s="14"/>
      <c r="E115" s="14"/>
      <c r="F115" s="14"/>
      <c r="G115" s="14"/>
      <c r="H115" s="14"/>
    </row>
    <row r="116" ht="34" spans="1:8">
      <c r="A116" s="219" t="s">
        <v>85</v>
      </c>
      <c r="B116" s="184"/>
      <c r="C116" s="218">
        <v>0</v>
      </c>
      <c r="D116" s="14"/>
      <c r="E116" s="14"/>
      <c r="F116" s="14"/>
      <c r="G116" s="14"/>
      <c r="H116" s="14"/>
    </row>
    <row r="117" spans="1:8">
      <c r="A117" s="51" t="s">
        <v>86</v>
      </c>
      <c r="B117" s="184"/>
      <c r="C117" s="37">
        <v>1083</v>
      </c>
      <c r="D117" s="14"/>
      <c r="E117" s="14"/>
      <c r="F117" s="14"/>
      <c r="G117" s="14"/>
      <c r="H117" s="14"/>
    </row>
    <row r="118" spans="1:8">
      <c r="A118" s="51" t="s">
        <v>87</v>
      </c>
      <c r="B118" s="184"/>
      <c r="C118" s="37">
        <v>676.03</v>
      </c>
      <c r="D118" s="14"/>
      <c r="E118" s="14"/>
      <c r="F118" s="14"/>
      <c r="G118" s="14"/>
      <c r="H118" s="14"/>
    </row>
    <row r="119" spans="1:8">
      <c r="A119" s="51"/>
      <c r="B119" s="184"/>
      <c r="C119" s="37">
        <v>0</v>
      </c>
      <c r="D119" s="14"/>
      <c r="E119" s="14"/>
      <c r="F119" s="14"/>
      <c r="G119" s="14"/>
      <c r="H119" s="14"/>
    </row>
    <row r="120" spans="1:8">
      <c r="A120" s="51"/>
      <c r="B120" s="184"/>
      <c r="C120" s="37">
        <v>0</v>
      </c>
      <c r="D120" s="14"/>
      <c r="E120" s="14"/>
      <c r="F120" s="14"/>
      <c r="G120" s="14"/>
      <c r="H120" s="14"/>
    </row>
    <row r="121" spans="1:8">
      <c r="A121" s="51"/>
      <c r="B121" s="184"/>
      <c r="C121" s="37">
        <v>0</v>
      </c>
      <c r="D121" s="14"/>
      <c r="E121" s="14"/>
      <c r="F121" s="14"/>
      <c r="G121" s="14"/>
      <c r="H121" s="14"/>
    </row>
    <row r="122" spans="1:3">
      <c r="A122" s="208"/>
      <c r="B122" s="209" t="s">
        <v>88</v>
      </c>
      <c r="C122" s="207">
        <f>SUM(C112:C121)</f>
        <v>7729.03</v>
      </c>
    </row>
    <row r="123" spans="1:3">
      <c r="A123" s="208"/>
      <c r="B123" s="209" t="s">
        <v>89</v>
      </c>
      <c r="C123" s="37">
        <f>C122+C110</f>
        <v>8129.03</v>
      </c>
    </row>
    <row r="124" spans="5:5">
      <c r="E124" s="220"/>
    </row>
    <row r="125" spans="5:5">
      <c r="E125" s="220"/>
    </row>
    <row r="127" ht="45" customHeight="1"/>
    <row r="128" ht="45" customHeight="1" spans="1:5">
      <c r="A128" s="53" t="str">
        <f>"Debts Or Credits For the Comming "&amp;TEXT(Main!B3,"mmmm dd yyyy")&amp;" to "&amp;IF(Main!B2,TEXT(EDATE(Main!B3,1)-1,"mmmm dd yyyy"),TEXT(Main!B3+Main!B5-Main!B3,"dd mmmm yyyy"))</f>
        <v>Debts Or Credits For the Comming January 20 2025 to February 19 2025</v>
      </c>
      <c r="B128" s="54"/>
      <c r="C128" s="54"/>
      <c r="D128" s="54"/>
      <c r="E128" s="55"/>
    </row>
    <row r="129" ht="45" customHeight="1" spans="1:5">
      <c r="A129" s="53" t="s">
        <v>90</v>
      </c>
      <c r="B129" s="55"/>
      <c r="C129" s="53" t="s">
        <v>50</v>
      </c>
      <c r="D129" s="55"/>
      <c r="E129" s="70" t="s">
        <v>51</v>
      </c>
    </row>
    <row r="130" ht="24.75" customHeight="1" spans="1:5">
      <c r="A130" s="59" t="s">
        <v>70</v>
      </c>
      <c r="B130" s="60"/>
      <c r="C130" s="61" t="s">
        <v>91</v>
      </c>
      <c r="D130" s="62"/>
      <c r="E130" s="72"/>
    </row>
    <row r="131" ht="24.75" customHeight="1" spans="1:8">
      <c r="A131" s="63"/>
      <c r="B131" s="64"/>
      <c r="C131" s="65"/>
      <c r="D131" s="66"/>
      <c r="E131" s="37">
        <v>0</v>
      </c>
      <c r="F131" s="14"/>
      <c r="G131" s="14"/>
      <c r="H131" s="14"/>
    </row>
    <row r="132" ht="24.75" customHeight="1" spans="1:8">
      <c r="A132" s="63"/>
      <c r="B132" s="64"/>
      <c r="C132" s="65"/>
      <c r="D132" s="66"/>
      <c r="E132" s="37">
        <v>0</v>
      </c>
      <c r="F132" s="14"/>
      <c r="G132" s="14"/>
      <c r="H132" s="14"/>
    </row>
    <row r="133" ht="24.75" customHeight="1" spans="1:8">
      <c r="A133" s="63"/>
      <c r="B133" s="64"/>
      <c r="C133" s="65"/>
      <c r="D133" s="66"/>
      <c r="E133" s="37">
        <v>0</v>
      </c>
      <c r="F133" s="14"/>
      <c r="G133" s="14"/>
      <c r="H133" s="14"/>
    </row>
    <row r="134" ht="24.75" customHeight="1" spans="1:8">
      <c r="A134" s="63"/>
      <c r="B134" s="64"/>
      <c r="C134" s="65"/>
      <c r="D134" s="66"/>
      <c r="E134" s="37">
        <v>0</v>
      </c>
      <c r="F134" s="14"/>
      <c r="G134" s="14"/>
      <c r="H134" s="14"/>
    </row>
    <row r="135" ht="24.75" customHeight="1" spans="1:8">
      <c r="A135" s="63"/>
      <c r="B135" s="64"/>
      <c r="C135" s="65"/>
      <c r="D135" s="66"/>
      <c r="E135" s="37">
        <v>0</v>
      </c>
      <c r="F135" s="14"/>
      <c r="G135" s="14"/>
      <c r="H135" s="14"/>
    </row>
    <row r="136" ht="24.75" customHeight="1" spans="1:8">
      <c r="A136" s="63"/>
      <c r="B136" s="64"/>
      <c r="C136" s="65"/>
      <c r="D136" s="66"/>
      <c r="E136" s="37">
        <v>0</v>
      </c>
      <c r="F136" s="14"/>
      <c r="G136" s="14"/>
      <c r="H136" s="14"/>
    </row>
    <row r="137" ht="24.75" customHeight="1" spans="1:8">
      <c r="A137" s="63"/>
      <c r="B137" s="64"/>
      <c r="C137" s="65"/>
      <c r="D137" s="66"/>
      <c r="E137" s="37">
        <v>0</v>
      </c>
      <c r="F137" s="14"/>
      <c r="G137" s="14"/>
      <c r="H137" s="14"/>
    </row>
    <row r="138" ht="24.75" customHeight="1" spans="1:8">
      <c r="A138" s="63"/>
      <c r="B138" s="64"/>
      <c r="C138" s="65"/>
      <c r="D138" s="66"/>
      <c r="E138" s="37">
        <v>0</v>
      </c>
      <c r="F138" s="14"/>
      <c r="G138" s="14"/>
      <c r="H138" s="14"/>
    </row>
    <row r="139" ht="24.75" customHeight="1" spans="1:8">
      <c r="A139" s="63"/>
      <c r="B139" s="64"/>
      <c r="C139" s="65"/>
      <c r="D139" s="66"/>
      <c r="E139" s="37">
        <v>0</v>
      </c>
      <c r="F139" s="14"/>
      <c r="G139" s="14"/>
      <c r="H139" s="14"/>
    </row>
    <row r="140" ht="24.75" customHeight="1" spans="1:8">
      <c r="A140" s="63"/>
      <c r="B140" s="64"/>
      <c r="C140" s="65"/>
      <c r="D140" s="66"/>
      <c r="E140" s="37">
        <v>0</v>
      </c>
      <c r="F140" s="14"/>
      <c r="G140" s="14"/>
      <c r="H140" s="14"/>
    </row>
    <row r="141" ht="24.75" customHeight="1" spans="1:5">
      <c r="A141" s="63"/>
      <c r="B141" s="64"/>
      <c r="C141" s="67" t="s">
        <v>92</v>
      </c>
      <c r="D141" s="62"/>
      <c r="E141" s="72"/>
    </row>
    <row r="142" ht="24.75" customHeight="1" spans="1:5">
      <c r="A142" s="63"/>
      <c r="B142" s="64"/>
      <c r="C142" s="114"/>
      <c r="D142" s="149"/>
      <c r="E142" s="88">
        <v>0</v>
      </c>
    </row>
    <row r="143" ht="24.75" customHeight="1" spans="1:5">
      <c r="A143" s="63"/>
      <c r="B143" s="64"/>
      <c r="C143" s="65"/>
      <c r="D143" s="66"/>
      <c r="E143" s="88">
        <v>0</v>
      </c>
    </row>
    <row r="144" ht="24.75" customHeight="1" spans="1:5">
      <c r="A144" s="63"/>
      <c r="B144" s="64"/>
      <c r="C144" s="65"/>
      <c r="D144" s="66"/>
      <c r="E144" s="88">
        <v>0</v>
      </c>
    </row>
    <row r="145" ht="24" customHeight="1" spans="1:5">
      <c r="A145" s="63"/>
      <c r="B145" s="64"/>
      <c r="C145" s="65"/>
      <c r="D145" s="66"/>
      <c r="E145" s="88">
        <v>0</v>
      </c>
    </row>
    <row r="146" ht="24.75" customHeight="1" spans="1:5">
      <c r="A146" s="63"/>
      <c r="B146" s="64"/>
      <c r="C146" s="65"/>
      <c r="D146" s="66"/>
      <c r="E146" s="88">
        <v>0</v>
      </c>
    </row>
    <row r="147" ht="24.75" customHeight="1" spans="1:5">
      <c r="A147" s="75"/>
      <c r="B147" s="76"/>
      <c r="C147" s="65"/>
      <c r="D147" s="66"/>
      <c r="E147" s="88">
        <v>0</v>
      </c>
    </row>
    <row r="148" ht="24.75" customHeight="1" spans="1:5">
      <c r="A148" s="56" t="s">
        <v>93</v>
      </c>
      <c r="B148" s="77"/>
      <c r="C148" s="78"/>
      <c r="D148" s="79"/>
      <c r="E148" s="88">
        <f>C110</f>
        <v>400</v>
      </c>
    </row>
    <row r="149" ht="45" customHeight="1" spans="1:5">
      <c r="A149" s="80"/>
      <c r="B149" s="81"/>
      <c r="C149" s="82" t="s">
        <v>94</v>
      </c>
      <c r="D149" s="82"/>
      <c r="E149" s="89">
        <v>941.71</v>
      </c>
    </row>
    <row r="150" ht="21.75" customHeight="1"/>
    <row r="154" ht="24.75" customHeight="1" spans="1:5">
      <c r="A154" s="53" t="str">
        <f>"Debts Or Credits For the Comming "&amp;IF(Main!B2,TEXT(EDATE(Main!B3,1),"mmmm dd yyyy"),TEXT(Main!B3+(Main!B5-Main!B3)+1,"mmmm dd yyyy"))&amp;" to "&amp;IF(Main!B2,TEXT(EDATE(Main!B3,2)-1,"dd mmmm yyyy"),TEXT(Main!B3+(Main!B5-Main!B3)*2+1,"dd mmmm yyyy"))</f>
        <v>Debts Or Credits For the Comming February 20 2025 to 19 March 2025</v>
      </c>
      <c r="B154" s="54"/>
      <c r="C154" s="54"/>
      <c r="D154" s="54"/>
      <c r="E154" s="55"/>
    </row>
    <row r="155" ht="24.75" customHeight="1" spans="1:5">
      <c r="A155" s="53" t="s">
        <v>90</v>
      </c>
      <c r="B155" s="55"/>
      <c r="C155" s="83" t="s">
        <v>50</v>
      </c>
      <c r="D155" s="84"/>
      <c r="E155" s="90" t="s">
        <v>51</v>
      </c>
    </row>
    <row r="156" ht="24.75" customHeight="1" spans="1:5">
      <c r="A156" s="56" t="str">
        <f>"Balance Brought Forward From "&amp;IF(Main!B2,TEXT(EDATE(Main!B3,1)-1,"mmmm yyyy"),TEXT(Main!B3+Main!B5-Main!B3,"mmmm yyyy"))</f>
        <v>Balance Brought Forward From February 2025</v>
      </c>
      <c r="B156" s="57"/>
      <c r="C156" s="221"/>
      <c r="D156" s="221"/>
      <c r="E156" s="89">
        <f>E149</f>
        <v>941.71</v>
      </c>
    </row>
    <row r="157" ht="24.75" customHeight="1" spans="1:5">
      <c r="A157" s="59" t="s">
        <v>70</v>
      </c>
      <c r="B157" s="60"/>
      <c r="C157" s="85" t="s">
        <v>91</v>
      </c>
      <c r="D157" s="86"/>
      <c r="E157" s="91"/>
    </row>
    <row r="158" ht="24.75" customHeight="1" spans="1:8">
      <c r="A158" s="63"/>
      <c r="B158" s="64"/>
      <c r="C158" s="65"/>
      <c r="D158" s="66"/>
      <c r="E158" s="87">
        <v>0</v>
      </c>
      <c r="F158" s="14"/>
      <c r="G158" s="14"/>
      <c r="H158" s="14"/>
    </row>
    <row r="159" ht="24.75" customHeight="1" spans="1:8">
      <c r="A159" s="63"/>
      <c r="B159" s="64"/>
      <c r="C159" s="114"/>
      <c r="D159" s="149"/>
      <c r="E159" s="87">
        <v>0</v>
      </c>
      <c r="F159" s="14"/>
      <c r="G159" s="14"/>
      <c r="H159" s="14"/>
    </row>
    <row r="160" ht="24.75" customHeight="1" spans="1:8">
      <c r="A160" s="63"/>
      <c r="B160" s="64"/>
      <c r="C160" s="65"/>
      <c r="D160" s="66"/>
      <c r="E160" s="37">
        <v>0</v>
      </c>
      <c r="F160" s="14"/>
      <c r="G160" s="14"/>
      <c r="H160" s="14"/>
    </row>
    <row r="161" ht="24.75" customHeight="1" spans="1:8">
      <c r="A161" s="63"/>
      <c r="B161" s="64"/>
      <c r="C161" s="65"/>
      <c r="D161" s="66"/>
      <c r="E161" s="37">
        <v>0</v>
      </c>
      <c r="F161" s="14"/>
      <c r="G161" s="14"/>
      <c r="H161" s="14"/>
    </row>
    <row r="162" ht="24.75" customHeight="1" spans="1:8">
      <c r="A162" s="63"/>
      <c r="B162" s="64"/>
      <c r="C162" s="65"/>
      <c r="D162" s="66"/>
      <c r="E162" s="37">
        <v>0</v>
      </c>
      <c r="F162" s="14"/>
      <c r="G162" s="14"/>
      <c r="H162" s="14"/>
    </row>
    <row r="163" ht="24.75" customHeight="1" spans="1:8">
      <c r="A163" s="63"/>
      <c r="B163" s="64"/>
      <c r="C163" s="65"/>
      <c r="D163" s="66"/>
      <c r="E163" s="37">
        <v>0</v>
      </c>
      <c r="F163" s="14"/>
      <c r="G163" s="14"/>
      <c r="H163" s="14"/>
    </row>
    <row r="164" ht="22.5" customHeight="1" spans="1:8">
      <c r="A164" s="63"/>
      <c r="B164" s="64"/>
      <c r="C164" s="65"/>
      <c r="D164" s="66"/>
      <c r="E164" s="37">
        <v>0</v>
      </c>
      <c r="F164" s="14"/>
      <c r="G164" s="14"/>
      <c r="H164" s="14"/>
    </row>
    <row r="165" ht="24.75" customHeight="1" spans="1:8">
      <c r="A165" s="63"/>
      <c r="B165" s="64"/>
      <c r="C165" s="65"/>
      <c r="D165" s="66"/>
      <c r="E165" s="37">
        <v>0</v>
      </c>
      <c r="F165" s="14"/>
      <c r="G165" s="14"/>
      <c r="H165" s="14"/>
    </row>
    <row r="166" ht="24.75" customHeight="1" spans="1:8">
      <c r="A166" s="63"/>
      <c r="B166" s="64"/>
      <c r="C166" s="65"/>
      <c r="D166" s="66"/>
      <c r="E166" s="37">
        <v>0</v>
      </c>
      <c r="F166" s="14"/>
      <c r="G166" s="14"/>
      <c r="H166" s="14"/>
    </row>
    <row r="167" ht="24.75" customHeight="1" spans="1:8">
      <c r="A167" s="63"/>
      <c r="B167" s="64"/>
      <c r="C167" s="65"/>
      <c r="D167" s="66"/>
      <c r="E167" s="37">
        <v>0</v>
      </c>
      <c r="F167" s="14"/>
      <c r="G167" s="14"/>
      <c r="H167" s="14"/>
    </row>
    <row r="168" ht="24.75" customHeight="1" spans="1:5">
      <c r="A168" s="63"/>
      <c r="B168" s="64"/>
      <c r="C168" s="67" t="s">
        <v>92</v>
      </c>
      <c r="D168" s="62"/>
      <c r="E168" s="72"/>
    </row>
    <row r="169" ht="24.75" customHeight="1" spans="1:5">
      <c r="A169" s="63"/>
      <c r="B169" s="64"/>
      <c r="C169" s="74"/>
      <c r="D169" s="74"/>
      <c r="E169" s="87">
        <v>0</v>
      </c>
    </row>
    <row r="170" ht="24.75" customHeight="1" spans="1:5">
      <c r="A170" s="63"/>
      <c r="B170" s="64"/>
      <c r="C170" s="74"/>
      <c r="D170" s="74"/>
      <c r="E170" s="87">
        <v>0</v>
      </c>
    </row>
    <row r="171" ht="24.75" customHeight="1" spans="1:5">
      <c r="A171" s="63"/>
      <c r="B171" s="64"/>
      <c r="C171" s="74"/>
      <c r="D171" s="74"/>
      <c r="E171" s="87">
        <v>0</v>
      </c>
    </row>
    <row r="172" ht="30" customHeight="1" spans="1:5">
      <c r="A172" s="63"/>
      <c r="B172" s="64"/>
      <c r="C172" s="73"/>
      <c r="D172" s="73"/>
      <c r="E172" s="87">
        <v>0</v>
      </c>
    </row>
    <row r="173" ht="24.75" customHeight="1" spans="1:5">
      <c r="A173" s="63"/>
      <c r="B173" s="64"/>
      <c r="C173" s="65"/>
      <c r="D173" s="66"/>
      <c r="E173" s="88">
        <v>0</v>
      </c>
    </row>
    <row r="174" ht="24.75" customHeight="1" spans="1:5">
      <c r="A174" s="75"/>
      <c r="B174" s="76"/>
      <c r="C174" s="65"/>
      <c r="D174" s="66"/>
      <c r="E174" s="88">
        <v>0</v>
      </c>
    </row>
    <row r="175" ht="24.75" customHeight="1" spans="1:5">
      <c r="A175" s="56" t="s">
        <v>93</v>
      </c>
      <c r="B175" s="77"/>
      <c r="C175" s="78"/>
      <c r="D175" s="79"/>
      <c r="E175" s="88">
        <f>C110</f>
        <v>400</v>
      </c>
    </row>
    <row r="176" ht="24.75" customHeight="1" spans="1:5">
      <c r="A176" s="80"/>
      <c r="B176" s="81"/>
      <c r="C176" s="82" t="s">
        <v>94</v>
      </c>
      <c r="D176" s="82"/>
      <c r="E176" s="92">
        <f>(F42+E156)-(SUM(E159:E167)+SUM(E169:E175))</f>
        <v>941.71</v>
      </c>
    </row>
    <row r="180" ht="24.75" customHeight="1"/>
    <row r="181" ht="24.75" customHeight="1" spans="1:5">
      <c r="A181" s="53" t="str">
        <f>"Debts Or Credits For the Comming "&amp;IF(Main!B2,TEXT(EDATE(Main!B3,2),"dd mmmm yyyy"),TEXT(Main!B3+((Main!B5-Main!B3)*2)+2,"dd mmmm yyyy"))&amp;" to "&amp;IF(Main!B2,TEXT(EDATE(Main!B3,3)-1,"dd mmmm yyyy"),TEXT(Main!B3+((Main!B5-Main!B3)*3+2),"dd mmmm yyyy"))</f>
        <v>Debts Or Credits For the Comming 20 March 2025 to 19 April 2025</v>
      </c>
      <c r="B181" s="54"/>
      <c r="C181" s="54"/>
      <c r="D181" s="54"/>
      <c r="E181" s="55"/>
    </row>
    <row r="182" ht="24.75" customHeight="1" spans="1:5">
      <c r="A182" s="53" t="s">
        <v>90</v>
      </c>
      <c r="B182" s="55"/>
      <c r="C182" s="83" t="s">
        <v>50</v>
      </c>
      <c r="D182" s="84"/>
      <c r="E182" s="90" t="s">
        <v>51</v>
      </c>
    </row>
    <row r="183" ht="24.75" customHeight="1" spans="1:5">
      <c r="A183" s="56" t="str">
        <f>"Balance Brought Forward From "&amp;IF(Main!B2,TEXT(EDATE(Main!B3,2)-1,"mmmm yyyy"),TEXT(Main!B3+(Main!B5-Main!B3)*2+1,"mmmm yyyy"))</f>
        <v>Balance Brought Forward From March 2025</v>
      </c>
      <c r="B183" s="57"/>
      <c r="C183" s="221"/>
      <c r="D183" s="221"/>
      <c r="E183" s="92">
        <f>E176</f>
        <v>941.71</v>
      </c>
    </row>
    <row r="184" ht="24.75" customHeight="1" spans="1:5">
      <c r="A184" s="59" t="s">
        <v>70</v>
      </c>
      <c r="B184" s="60"/>
      <c r="C184" s="85" t="s">
        <v>91</v>
      </c>
      <c r="D184" s="86"/>
      <c r="E184" s="91"/>
    </row>
    <row r="185" ht="24.75" customHeight="1" spans="1:8">
      <c r="A185" s="63"/>
      <c r="B185" s="64"/>
      <c r="C185" s="74"/>
      <c r="D185" s="74"/>
      <c r="E185" s="37">
        <v>0</v>
      </c>
      <c r="F185" s="14"/>
      <c r="G185" s="14"/>
      <c r="H185" s="14"/>
    </row>
    <row r="186" ht="24.75" customHeight="1" spans="1:8">
      <c r="A186" s="63"/>
      <c r="B186" s="64"/>
      <c r="C186" s="65"/>
      <c r="D186" s="66"/>
      <c r="E186" s="37">
        <v>0</v>
      </c>
      <c r="F186" s="14"/>
      <c r="G186" s="14"/>
      <c r="H186" s="14"/>
    </row>
    <row r="187" ht="24.75" customHeight="1" spans="1:8">
      <c r="A187" s="63"/>
      <c r="B187" s="64"/>
      <c r="C187" s="65"/>
      <c r="D187" s="66"/>
      <c r="E187" s="37">
        <v>0</v>
      </c>
      <c r="F187" s="14"/>
      <c r="G187" s="14"/>
      <c r="H187" s="14"/>
    </row>
    <row r="188" ht="24.75" customHeight="1" spans="1:8">
      <c r="A188" s="63"/>
      <c r="B188" s="64"/>
      <c r="C188" s="65"/>
      <c r="D188" s="66"/>
      <c r="E188" s="37">
        <v>0</v>
      </c>
      <c r="F188" s="14"/>
      <c r="G188" s="14"/>
      <c r="H188" s="14"/>
    </row>
    <row r="189" ht="24.75" customHeight="1" spans="1:8">
      <c r="A189" s="63"/>
      <c r="B189" s="64"/>
      <c r="C189" s="65"/>
      <c r="D189" s="66"/>
      <c r="E189" s="37">
        <v>0</v>
      </c>
      <c r="F189" s="14"/>
      <c r="G189" s="14"/>
      <c r="H189" s="14"/>
    </row>
    <row r="190" ht="24.75" customHeight="1" spans="1:8">
      <c r="A190" s="63"/>
      <c r="B190" s="64"/>
      <c r="C190" s="65"/>
      <c r="D190" s="66"/>
      <c r="E190" s="37">
        <v>0</v>
      </c>
      <c r="F190" s="14"/>
      <c r="G190" s="14"/>
      <c r="H190" s="14"/>
    </row>
    <row r="191" ht="24.75" customHeight="1" spans="1:8">
      <c r="A191" s="63"/>
      <c r="B191" s="64"/>
      <c r="C191" s="65"/>
      <c r="D191" s="66"/>
      <c r="E191" s="37">
        <v>0</v>
      </c>
      <c r="F191" s="14"/>
      <c r="G191" s="14"/>
      <c r="H191" s="14"/>
    </row>
    <row r="192" ht="24.75" customHeight="1" spans="1:8">
      <c r="A192" s="63"/>
      <c r="B192" s="64"/>
      <c r="C192" s="65"/>
      <c r="D192" s="66"/>
      <c r="E192" s="37">
        <v>0</v>
      </c>
      <c r="F192" s="14"/>
      <c r="G192" s="14"/>
      <c r="H192" s="14"/>
    </row>
    <row r="193" ht="24.75" customHeight="1" spans="1:8">
      <c r="A193" s="63"/>
      <c r="B193" s="64"/>
      <c r="C193" s="65"/>
      <c r="D193" s="66"/>
      <c r="E193" s="37">
        <v>0</v>
      </c>
      <c r="F193" s="14"/>
      <c r="G193" s="14"/>
      <c r="H193" s="14"/>
    </row>
    <row r="194" ht="24.75" customHeight="1" spans="1:8">
      <c r="A194" s="63"/>
      <c r="B194" s="64"/>
      <c r="C194" s="65"/>
      <c r="D194" s="66"/>
      <c r="E194" s="37">
        <v>0</v>
      </c>
      <c r="F194" s="14"/>
      <c r="G194" s="14"/>
      <c r="H194" s="14"/>
    </row>
    <row r="195" ht="24.75" customHeight="1" spans="1:5">
      <c r="A195" s="63"/>
      <c r="B195" s="64"/>
      <c r="C195" s="67" t="s">
        <v>92</v>
      </c>
      <c r="D195" s="62"/>
      <c r="E195" s="72"/>
    </row>
    <row r="196" ht="24.75" customHeight="1" spans="1:5">
      <c r="A196" s="63"/>
      <c r="B196" s="64"/>
      <c r="C196" s="74"/>
      <c r="D196" s="74"/>
      <c r="E196" s="87">
        <v>0</v>
      </c>
    </row>
    <row r="197" ht="24.75" customHeight="1" spans="1:5">
      <c r="A197" s="63"/>
      <c r="B197" s="64"/>
      <c r="C197" s="73"/>
      <c r="D197" s="73"/>
      <c r="E197" s="87">
        <v>0</v>
      </c>
    </row>
    <row r="198" ht="24.75" customHeight="1" spans="1:5">
      <c r="A198" s="63"/>
      <c r="B198" s="64"/>
      <c r="C198" s="74"/>
      <c r="D198" s="74"/>
      <c r="E198" s="87">
        <v>0</v>
      </c>
    </row>
    <row r="199" ht="30" customHeight="1" spans="1:5">
      <c r="A199" s="63"/>
      <c r="B199" s="64"/>
      <c r="C199" s="114"/>
      <c r="D199" s="66"/>
      <c r="E199" s="88">
        <v>0</v>
      </c>
    </row>
    <row r="200" ht="24.75" customHeight="1" spans="1:5">
      <c r="A200" s="63"/>
      <c r="B200" s="64"/>
      <c r="C200" s="65"/>
      <c r="D200" s="66"/>
      <c r="E200" s="88">
        <v>0</v>
      </c>
    </row>
    <row r="201" ht="24.75" customHeight="1" spans="1:5">
      <c r="A201" s="75"/>
      <c r="B201" s="76"/>
      <c r="C201" s="65"/>
      <c r="D201" s="66"/>
      <c r="E201" s="88">
        <v>0</v>
      </c>
    </row>
    <row r="202" ht="24.75" customHeight="1" spans="1:5">
      <c r="A202" s="56" t="s">
        <v>93</v>
      </c>
      <c r="B202" s="77"/>
      <c r="C202" s="78"/>
      <c r="D202" s="79"/>
      <c r="E202" s="88">
        <f>C110</f>
        <v>400</v>
      </c>
    </row>
    <row r="203" ht="24.75" customHeight="1" spans="1:5">
      <c r="A203" s="80"/>
      <c r="B203" s="81"/>
      <c r="C203" s="82" t="s">
        <v>94</v>
      </c>
      <c r="D203" s="82"/>
      <c r="E203" s="92">
        <f>(F54+E183)-(SUM(E185:E194)+SUM(E196:E202))</f>
        <v>941.71</v>
      </c>
    </row>
    <row r="204" ht="24.75" customHeight="1"/>
  </sheetData>
  <sheetProtection formatCells="0" formatColumns="0" formatRows="0"/>
  <mergeCells count="171">
    <mergeCell ref="A1:F1"/>
    <mergeCell ref="I1:J1"/>
    <mergeCell ref="M1:N1"/>
    <mergeCell ref="A2:C2"/>
    <mergeCell ref="D2:F2"/>
    <mergeCell ref="A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A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A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A58:C58"/>
    <mergeCell ref="A60:C60"/>
    <mergeCell ref="A70:C70"/>
    <mergeCell ref="A81:C81"/>
    <mergeCell ref="A90:C90"/>
    <mergeCell ref="A100:C100"/>
    <mergeCell ref="A111:C111"/>
    <mergeCell ref="A128:E128"/>
    <mergeCell ref="A129:B129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A148:B148"/>
    <mergeCell ref="C148:D148"/>
    <mergeCell ref="A149:B149"/>
    <mergeCell ref="C149:D149"/>
    <mergeCell ref="A154:E154"/>
    <mergeCell ref="A155:B155"/>
    <mergeCell ref="C155:D155"/>
    <mergeCell ref="A156:B156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A175:B175"/>
    <mergeCell ref="C175:D175"/>
    <mergeCell ref="A176:B176"/>
    <mergeCell ref="C176:D176"/>
    <mergeCell ref="A181:E181"/>
    <mergeCell ref="A182:B182"/>
    <mergeCell ref="C182:D182"/>
    <mergeCell ref="A183:B183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A202:B202"/>
    <mergeCell ref="C202:D202"/>
    <mergeCell ref="A203:B203"/>
    <mergeCell ref="C203:D203"/>
    <mergeCell ref="A3:A16"/>
    <mergeCell ref="D3:D16"/>
    <mergeCell ref="A130:B147"/>
    <mergeCell ref="A157:B174"/>
    <mergeCell ref="A184:B201"/>
  </mergeCells>
  <conditionalFormatting sqref="C89">
    <cfRule type="cellIs" dxfId="0" priority="87" operator="equal">
      <formula>0</formula>
    </cfRule>
    <cfRule type="cellIs" dxfId="1" priority="86" operator="greaterThan">
      <formula>0</formula>
    </cfRule>
  </conditionalFormatting>
  <conditionalFormatting sqref="C91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C104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C105">
    <cfRule type="cellIs" dxfId="0" priority="32" operator="equal">
      <formula>0</formula>
    </cfRule>
    <cfRule type="cellIs" dxfId="1" priority="31" operator="greaterThan">
      <formula>0</formula>
    </cfRule>
  </conditionalFormatting>
  <conditionalFormatting sqref="C122">
    <cfRule type="cellIs" dxfId="0" priority="61" operator="equal">
      <formula>0</formula>
    </cfRule>
    <cfRule type="cellIs" dxfId="1" priority="60" operator="greaterThan">
      <formula>0</formula>
    </cfRule>
  </conditionalFormatting>
  <conditionalFormatting sqref="C123">
    <cfRule type="cellIs" dxfId="1" priority="27" operator="lessThan">
      <formula>0</formula>
    </cfRule>
    <cfRule type="cellIs" dxfId="2" priority="26" operator="equal">
      <formula>0</formula>
    </cfRule>
  </conditionalFormatting>
  <conditionalFormatting sqref="E149">
    <cfRule type="cellIs" dxfId="3" priority="71" operator="greaterThanOrEqual">
      <formula>0</formula>
    </cfRule>
    <cfRule type="cellIs" dxfId="4" priority="70" operator="lessThan">
      <formula>0</formula>
    </cfRule>
  </conditionalFormatting>
  <conditionalFormatting sqref="E156">
    <cfRule type="cellIs" dxfId="3" priority="50" operator="greaterThanOrEqual">
      <formula>0</formula>
    </cfRule>
    <cfRule type="cellIs" dxfId="4" priority="49" operator="lessThan">
      <formula>0</formula>
    </cfRule>
  </conditionalFormatting>
  <conditionalFormatting sqref="E158">
    <cfRule type="cellIs" dxfId="5" priority="11" operator="equal">
      <formula>0</formula>
    </cfRule>
  </conditionalFormatting>
  <conditionalFormatting sqref="E176">
    <cfRule type="cellIs" dxfId="3" priority="54" operator="greaterThanOrEqual">
      <formula>0</formula>
    </cfRule>
    <cfRule type="cellIs" dxfId="4" priority="53" operator="lessThan">
      <formula>0</formula>
    </cfRule>
  </conditionalFormatting>
  <conditionalFormatting sqref="E183">
    <cfRule type="cellIs" dxfId="3" priority="44" operator="greaterThanOrEqual">
      <formula>0</formula>
    </cfRule>
    <cfRule type="cellIs" dxfId="4" priority="43" operator="lessThan">
      <formula>0</formula>
    </cfRule>
  </conditionalFormatting>
  <conditionalFormatting sqref="E196">
    <cfRule type="cellIs" dxfId="2" priority="6" operator="equal">
      <formula>0</formula>
    </cfRule>
    <cfRule type="cellIs" dxfId="1" priority="5" operator="greaterThan">
      <formula>0</formula>
    </cfRule>
  </conditionalFormatting>
  <conditionalFormatting sqref="E197">
    <cfRule type="cellIs" dxfId="2" priority="4" operator="equal">
      <formula>0</formula>
    </cfRule>
    <cfRule type="cellIs" dxfId="1" priority="3" operator="greaterThan">
      <formula>0</formula>
    </cfRule>
  </conditionalFormatting>
  <conditionalFormatting sqref="E198">
    <cfRule type="cellIs" dxfId="2" priority="2" operator="equal">
      <formula>0</formula>
    </cfRule>
    <cfRule type="cellIs" dxfId="1" priority="1" operator="greaterThan">
      <formula>0</formula>
    </cfRule>
  </conditionalFormatting>
  <conditionalFormatting sqref="E203">
    <cfRule type="cellIs" dxfId="3" priority="46" operator="greaterThanOrEqual">
      <formula>0</formula>
    </cfRule>
    <cfRule type="cellIs" dxfId="4" priority="45" operator="lessThan">
      <formula>0</formula>
    </cfRule>
  </conditionalFormatting>
  <conditionalFormatting sqref="C61:C64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71:C74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75:C80">
    <cfRule type="cellIs" dxfId="0" priority="91" operator="equal">
      <formula>0</formula>
    </cfRule>
    <cfRule type="cellIs" dxfId="1" priority="90" operator="greaterThan">
      <formula>0</formula>
    </cfRule>
  </conditionalFormatting>
  <conditionalFormatting sqref="C82:C83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84:C88">
    <cfRule type="cellIs" dxfId="0" priority="69" operator="equal">
      <formula>0</formula>
    </cfRule>
    <cfRule type="cellIs" dxfId="1" priority="68" operator="greaterThan">
      <formula>0</formula>
    </cfRule>
  </conditionalFormatting>
  <conditionalFormatting sqref="C94:C98">
    <cfRule type="cellIs" dxfId="0" priority="67" operator="equal">
      <formula>0</formula>
    </cfRule>
    <cfRule type="cellIs" dxfId="1" priority="66" operator="greaterThan">
      <formula>0</formula>
    </cfRule>
  </conditionalFormatting>
  <conditionalFormatting sqref="C101:C103">
    <cfRule type="cellIs" dxfId="0" priority="17" operator="equal">
      <formula>0</formula>
    </cfRule>
    <cfRule type="cellIs" dxfId="1" priority="16" operator="greaterThan">
      <formula>0</formula>
    </cfRule>
  </conditionalFormatting>
  <conditionalFormatting sqref="C106:C108">
    <cfRule type="cellIs" dxfId="0" priority="65" operator="equal">
      <formula>0</formula>
    </cfRule>
    <cfRule type="cellIs" dxfId="1" priority="64" operator="greaterThan">
      <formula>0</formula>
    </cfRule>
  </conditionalFormatting>
  <conditionalFormatting sqref="C112:C117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118:C121">
    <cfRule type="cellIs" dxfId="0" priority="42" operator="equal">
      <formula>0</formula>
    </cfRule>
    <cfRule type="cellIs" dxfId="1" priority="41" operator="greaterThan">
      <formula>0</formula>
    </cfRule>
  </conditionalFormatting>
  <conditionalFormatting sqref="E131:E140">
    <cfRule type="cellIs" dxfId="0" priority="40" operator="equal">
      <formula>0</formula>
    </cfRule>
    <cfRule type="cellIs" dxfId="1" priority="39" operator="greaterThan">
      <formula>0</formula>
    </cfRule>
  </conditionalFormatting>
  <conditionalFormatting sqref="E160:E167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E169:E172">
    <cfRule type="cellIs" dxfId="2" priority="10" operator="equal">
      <formula>0</formula>
    </cfRule>
    <cfRule type="cellIs" dxfId="1" priority="9" operator="greaterThan">
      <formula>0</formula>
    </cfRule>
  </conditionalFormatting>
  <conditionalFormatting sqref="E185:E186">
    <cfRule type="cellIs" dxfId="0" priority="8" operator="equal">
      <formula>0</formula>
    </cfRule>
    <cfRule type="cellIs" dxfId="1" priority="7" operator="greaterThan">
      <formula>0</formula>
    </cfRule>
  </conditionalFormatting>
  <conditionalFormatting sqref="E187:E194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J3:J50">
    <cfRule type="cellIs" dxfId="2" priority="34" operator="greaterThanOrEqual">
      <formula>0</formula>
    </cfRule>
  </conditionalFormatting>
  <conditionalFormatting sqref="N3:N18">
    <cfRule type="cellIs" dxfId="2" priority="33" operator="greaterThanOrEqual">
      <formula>0</formula>
    </cfRule>
  </conditionalFormatting>
  <conditionalFormatting sqref="C65:C69 C99 C92:C93 C109:C110">
    <cfRule type="cellIs" dxfId="0" priority="93" operator="equal">
      <formula>0</formula>
    </cfRule>
    <cfRule type="cellIs" dxfId="1" priority="92" operator="greaterThan">
      <formula>0</formula>
    </cfRule>
  </conditionalFormatting>
  <conditionalFormatting sqref="E130 E141:E148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E157 E168 E173:E175">
    <cfRule type="cellIs" dxfId="2" priority="56" operator="equal">
      <formula>0</formula>
    </cfRule>
    <cfRule type="cellIs" dxfId="1" priority="55" operator="greaterThan">
      <formula>0</formula>
    </cfRule>
  </conditionalFormatting>
  <conditionalFormatting sqref="E184 E195 E199:E202">
    <cfRule type="cellIs" dxfId="2" priority="48" operator="equal">
      <formula>0</formula>
    </cfRule>
    <cfRule type="cellIs" dxfId="1" priority="47" operator="greaterThan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F23" sqref="B23:G23"/>
    </sheetView>
  </sheetViews>
  <sheetFormatPr defaultColWidth="9" defaultRowHeight="17.6"/>
  <cols>
    <col min="1" max="1" width="25" style="41" customWidth="1"/>
    <col min="2" max="2" width="29.5069444444444" style="41" customWidth="1"/>
    <col min="3" max="3" width="24.875" style="41" customWidth="1"/>
    <col min="4" max="4" width="20.625" style="41" customWidth="1"/>
    <col min="5" max="5" width="27.625" style="41" customWidth="1"/>
    <col min="6" max="6" width="20.625" style="41" customWidth="1"/>
    <col min="7" max="7" width="9" style="41"/>
    <col min="8" max="9" width="20.625" style="41" customWidth="1"/>
    <col min="10" max="16384" width="9" style="41"/>
  </cols>
  <sheetData>
    <row r="1" ht="28.5" customHeight="1" spans="1:7">
      <c r="A1" s="1" t="str">
        <f>"Forecasts For the Year "&amp;IF(Main!B2,TEXT(EDATE(Main!B3,3),"mmmm yyyy"),TEXT(Main!B3+((Main!B5-Main!B3)*3+3),"mmmm yyyy"))&amp;" to "&amp;IF(Main!B2,TEXT(EDATE(Main!B3,6)-1,"mmmm yyyy"),TEXT(Main!B3+((Main!B5-Main!B3)*6+5),"mmmm yyyy"))</f>
        <v>Forecasts For the Year April 2025 to July 2025</v>
      </c>
      <c r="B1" s="1"/>
      <c r="C1" s="1"/>
      <c r="D1" s="1"/>
      <c r="E1" s="1"/>
      <c r="F1" s="1"/>
      <c r="G1" s="1"/>
    </row>
    <row r="2" ht="28.5" customHeight="1" spans="1:7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</row>
    <row r="3" ht="42" customHeight="1" spans="1:7">
      <c r="A3" s="5"/>
      <c r="B3" s="6" t="s">
        <v>96</v>
      </c>
      <c r="C3" s="7">
        <f ca="1">E190</f>
        <v>434.21</v>
      </c>
      <c r="D3" s="7"/>
      <c r="E3" s="7"/>
      <c r="F3" s="7"/>
      <c r="G3" s="7"/>
    </row>
    <row r="4" spans="1:9">
      <c r="A4" s="8" t="s">
        <v>48</v>
      </c>
      <c r="B4" s="9"/>
      <c r="C4" s="10">
        <f ca="1">SUM(C2:G3)</f>
        <v>512.430000000001</v>
      </c>
      <c r="D4" s="10"/>
      <c r="E4" s="10"/>
      <c r="F4" s="10"/>
      <c r="G4" s="10"/>
      <c r="H4" s="14"/>
      <c r="I4" s="48"/>
    </row>
    <row r="5" spans="1:9">
      <c r="A5" s="11" t="s">
        <v>97</v>
      </c>
      <c r="B5" s="11"/>
      <c r="C5" s="12">
        <f ca="1">C108</f>
        <v>-5383</v>
      </c>
      <c r="D5" s="13"/>
      <c r="E5" s="13"/>
      <c r="F5" s="13"/>
      <c r="G5" s="13"/>
      <c r="H5" s="14"/>
      <c r="I5" s="48"/>
    </row>
    <row r="6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IF(Main!B2,TEXT(EDATE(Main!B3,3),"dd mmmm yyyy"),TEXT(Main!B3+((Main!B5-Main!B3)*3+3),"dd mmmm yyyy"))&amp;" - "&amp;IF(Main!B2,TEXT(EDATE(Main!B3,4)-1,"dd mmmm yyyy"),TEXT(Main!B3+((Main!B5-Main!B3)*4+3),"dd mmmm yyyy"))&amp;" / "&amp;" (Revenue / Deferred Debts Or Expenses)"</f>
        <v>20 April 2025 - 19 May 2025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32"/>
      <c r="B10" s="133" t="s">
        <v>98</v>
      </c>
      <c r="C10" s="134"/>
      <c r="D10" s="135" t="s">
        <v>99</v>
      </c>
      <c r="E10" s="141"/>
      <c r="F10" s="43">
        <v>0</v>
      </c>
      <c r="G10" s="44"/>
      <c r="H10" s="14"/>
      <c r="I10" s="48"/>
    </row>
    <row r="11" ht="24.75" customHeight="1" spans="1:9">
      <c r="A11" s="132"/>
      <c r="B11" s="22" t="s">
        <v>53</v>
      </c>
      <c r="C11" s="23"/>
      <c r="D11" s="74" t="s">
        <v>54</v>
      </c>
      <c r="E11" s="74"/>
      <c r="F11" s="43">
        <v>400</v>
      </c>
      <c r="G11" s="44"/>
      <c r="H11" s="14"/>
      <c r="I11" s="48"/>
    </row>
    <row r="12" ht="47" customHeight="1" spans="1:9">
      <c r="A12" s="132"/>
      <c r="B12" s="97" t="s">
        <v>81</v>
      </c>
      <c r="C12" s="98"/>
      <c r="D12" s="97" t="s">
        <v>100</v>
      </c>
      <c r="E12" s="142"/>
      <c r="F12" s="43">
        <v>670</v>
      </c>
      <c r="G12" s="44"/>
      <c r="H12" s="14"/>
      <c r="I12" s="48"/>
    </row>
    <row r="13" ht="24.75" customHeight="1" spans="1:9">
      <c r="A13" s="132"/>
      <c r="B13" s="136"/>
      <c r="C13" s="137"/>
      <c r="D13" s="123"/>
      <c r="E13" s="1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1070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IF(Main!B2,TEXT(EDATE(Main!B3,4),"dd mmmm yyyy"),TEXT(Main!B3+((Main!B5-Main!B3)*4+4),"dd mmmm yyyy"))&amp;" - "&amp;IF(Main!B2,TEXT(EDATE(Main!B3,5)-1,"dd mmmm yyyy"),TEXT(Main!B3+((Main!B5-Main!B3)*5+4),"dd mmmm yyyy"))&amp;" / "&amp;" (Revenue / Deferred Debts Or Expenses)"</f>
        <v>20 May 2025 - 19 June 2025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" customHeight="1" spans="1:9">
      <c r="A22" s="132"/>
      <c r="B22" s="138" t="s">
        <v>98</v>
      </c>
      <c r="C22" s="134"/>
      <c r="D22" s="133" t="s">
        <v>99</v>
      </c>
      <c r="E22" s="141"/>
      <c r="F22" s="143">
        <v>2435</v>
      </c>
      <c r="G22" s="144"/>
      <c r="H22" s="14"/>
      <c r="I22" s="48"/>
    </row>
    <row r="23" ht="26.25" customHeight="1" spans="1:9">
      <c r="A23" s="132"/>
      <c r="B23" s="97" t="s">
        <v>98</v>
      </c>
      <c r="C23" s="98"/>
      <c r="D23" s="99" t="s">
        <v>101</v>
      </c>
      <c r="E23" s="100"/>
      <c r="F23" s="7">
        <v>1083</v>
      </c>
      <c r="G23" s="7"/>
      <c r="H23" s="14"/>
      <c r="I23" s="48"/>
    </row>
    <row r="24" ht="24.75" customHeight="1" spans="1:9">
      <c r="A24" s="132"/>
      <c r="B24" s="97" t="s">
        <v>102</v>
      </c>
      <c r="C24" s="98"/>
      <c r="D24" s="123" t="s">
        <v>103</v>
      </c>
      <c r="E24" s="142"/>
      <c r="F24" s="104">
        <v>68</v>
      </c>
      <c r="G24" s="105"/>
      <c r="H24" s="14"/>
      <c r="I24" s="48"/>
    </row>
    <row r="25" ht="24.75" customHeight="1" spans="1:9">
      <c r="A25" s="132"/>
      <c r="B25" s="97" t="s">
        <v>104</v>
      </c>
      <c r="C25" s="98"/>
      <c r="D25" s="123" t="s">
        <v>105</v>
      </c>
      <c r="E25" s="142"/>
      <c r="F25" s="43">
        <v>50</v>
      </c>
      <c r="G25" s="44"/>
      <c r="H25" s="14"/>
      <c r="I25" s="48"/>
    </row>
    <row r="26" ht="24.75" customHeight="1" spans="1:9">
      <c r="A26" s="132"/>
      <c r="B26" s="97"/>
      <c r="C26" s="98"/>
      <c r="D26" s="123"/>
      <c r="E26" s="115"/>
      <c r="F26" s="145">
        <v>0</v>
      </c>
      <c r="G26" s="44"/>
      <c r="H26" s="14"/>
      <c r="I26" s="48"/>
    </row>
    <row r="27" ht="32.1" customHeight="1" spans="1:9">
      <c r="A27" s="132"/>
      <c r="B27" s="136"/>
      <c r="C27" s="137"/>
      <c r="D27" s="139"/>
      <c r="E27" s="146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3636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IF(Main!B2,TEXT(EDATE(Main!B3,5),"dd mmmm yyyy"),TEXT(Main!B3+((Main!B5-Main!B3)*5+5),"dd mmmm yyyy"))&amp;" - "&amp;IF(Main!B2,TEXT(EDATE(Main!B3,6)-1,"dd mmmm yyyy"),TEXT(Main!B3+((Main!B5-Main!B3)*6+5),"dd mmmm yyyy"))&amp;" / "&amp;" (Revenue / Deferred Debts Or Expenses)"</f>
        <v>20 June 2025 - 19 July 2025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32"/>
      <c r="B34" s="133" t="s">
        <v>98</v>
      </c>
      <c r="C34" s="134"/>
      <c r="D34" s="135"/>
      <c r="E34" s="141"/>
      <c r="F34" s="143">
        <v>2435</v>
      </c>
      <c r="G34" s="144"/>
      <c r="H34" s="14"/>
      <c r="I34" s="48"/>
    </row>
    <row r="35" ht="24.75" customHeight="1" spans="1:9">
      <c r="A35" s="132"/>
      <c r="B35" s="97" t="s">
        <v>104</v>
      </c>
      <c r="C35" s="98"/>
      <c r="D35" s="123" t="s">
        <v>105</v>
      </c>
      <c r="E35" s="147"/>
      <c r="F35" s="7">
        <v>50</v>
      </c>
      <c r="G35" s="7"/>
      <c r="H35" s="14"/>
      <c r="I35" s="48"/>
    </row>
    <row r="36" ht="24.75" customHeight="1" spans="1:9">
      <c r="A36" s="132"/>
      <c r="B36" s="97"/>
      <c r="C36" s="98"/>
      <c r="D36" s="123"/>
      <c r="E36" s="147"/>
      <c r="F36" s="7">
        <v>0</v>
      </c>
      <c r="G36" s="7"/>
      <c r="H36" s="14"/>
      <c r="I36" s="49"/>
    </row>
    <row r="37" ht="24.75" customHeight="1" spans="1:9">
      <c r="A37" s="132"/>
      <c r="B37" s="97"/>
      <c r="C37" s="98"/>
      <c r="D37" s="123"/>
      <c r="E37" s="147"/>
      <c r="F37" s="7">
        <v>0</v>
      </c>
      <c r="G37" s="7"/>
      <c r="H37" s="14"/>
      <c r="I37" s="48"/>
    </row>
    <row r="38" ht="24.75" customHeight="1" spans="1:9">
      <c r="A38" s="132"/>
      <c r="B38" s="97"/>
      <c r="C38" s="98"/>
      <c r="D38" s="123"/>
      <c r="E38" s="142"/>
      <c r="F38" s="104">
        <v>0</v>
      </c>
      <c r="G38" s="105"/>
      <c r="H38" s="14"/>
      <c r="I38" s="48"/>
    </row>
    <row r="39" ht="84" customHeight="1" spans="1:9">
      <c r="A39" s="19"/>
      <c r="B39" s="22"/>
      <c r="C39" s="23"/>
      <c r="D39" s="22"/>
      <c r="E39" s="23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2485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spans="1:9">
      <c r="A42" s="14"/>
      <c r="B42" s="14"/>
      <c r="C42" s="14"/>
      <c r="D42" s="14"/>
      <c r="E42" s="14"/>
      <c r="F42" s="14"/>
      <c r="G42" s="14"/>
      <c r="H42" s="14"/>
      <c r="I42" s="48"/>
    </row>
    <row r="43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18" customHeight="1" spans="1:9">
      <c r="A44" s="29" t="str">
        <f>"Fixed Expense For the Year "&amp;IF(Main!B2,TEXT(EDATE(Main!B3,3),"mmmm yyyy"),TEXT(Main!B3+((Main!B5-Main!B3)*3+3),"mmmm yyyy"))&amp;" to "&amp;IF(Main!B2,TEXT(EDATE(Main!B3,6)-1,"mmmm yyyy"),TEXT(Main!B3+((Main!B5-Main!B3)*6+5),"mmmm yyyy"))</f>
        <v>Fixed Expense For the Year April 2025 to July 2025</v>
      </c>
      <c r="B44" s="30"/>
      <c r="C44" s="31"/>
      <c r="D44" s="14"/>
      <c r="E44" s="14"/>
      <c r="F44" s="14"/>
      <c r="G44" s="14"/>
      <c r="H44" s="14"/>
      <c r="I44" s="48"/>
    </row>
    <row r="45" ht="2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4"/>
      <c r="E46" s="14"/>
      <c r="F46" s="14"/>
      <c r="G46" s="14"/>
      <c r="H46" s="14"/>
      <c r="I46" s="48"/>
    </row>
    <row r="47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140">
        <v>78</v>
      </c>
      <c r="D47" s="14"/>
      <c r="E47" s="14"/>
      <c r="F47" s="14"/>
      <c r="G47" s="14"/>
      <c r="H47" s="14"/>
      <c r="I47" s="48"/>
    </row>
    <row r="48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140">
        <v>149</v>
      </c>
      <c r="D48" s="14"/>
      <c r="E48" s="14"/>
      <c r="F48" s="14"/>
      <c r="G48" s="14"/>
      <c r="H48" s="14"/>
      <c r="I48" s="48"/>
    </row>
    <row r="49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140">
        <v>0</v>
      </c>
      <c r="D49" s="14"/>
      <c r="E49" s="14"/>
      <c r="F49" s="14"/>
      <c r="G49" s="14"/>
      <c r="H49" s="14"/>
      <c r="I49" s="48"/>
    </row>
    <row r="50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140">
        <v>0</v>
      </c>
      <c r="D50" s="14"/>
      <c r="E50" s="14"/>
      <c r="F50" s="14"/>
      <c r="G50" s="14"/>
      <c r="H50" s="14"/>
      <c r="I50" s="48"/>
    </row>
    <row r="5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50</v>
      </c>
      <c r="D51" s="14"/>
      <c r="E51" s="14"/>
      <c r="F51" s="14"/>
      <c r="G51" s="14"/>
      <c r="H51" s="14"/>
      <c r="I51" s="48"/>
    </row>
    <row r="52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spans="1:9">
      <c r="A55" s="39"/>
      <c r="B55" s="40" t="s">
        <v>61</v>
      </c>
      <c r="C55" s="37">
        <f>SUM(C47:C54)</f>
        <v>277</v>
      </c>
      <c r="D55" s="14"/>
      <c r="E55" s="14"/>
      <c r="F55" s="14"/>
      <c r="G55" s="14"/>
      <c r="H55" s="14"/>
      <c r="I55" s="48"/>
    </row>
    <row r="56" spans="1:9">
      <c r="A56" s="93" t="str" cm="1">
        <f ca="1" t="array" ref="A56">IF((INDIRECT("'"&amp;INDIRECT("Main!B9")&amp;"'!A70"))=0,"",(INDIRECT("'"&amp;INDIRECT("Main!B9")&amp;"'!A70")))</f>
        <v>Credit Card Installments/Government Installments</v>
      </c>
      <c r="B56" s="94"/>
      <c r="C56" s="95"/>
      <c r="D56" s="14"/>
      <c r="E56" s="14"/>
      <c r="F56" s="14"/>
      <c r="G56" s="14"/>
      <c r="H56" s="14"/>
      <c r="I56" s="48"/>
    </row>
    <row r="57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spans="1:9">
      <c r="A67" s="93" t="str" cm="1">
        <f ca="1" t="array" ref="A67">IF((INDIRECT("'"&amp;INDIRECT("Main!B9")&amp;"'!A81"))=0,"",(INDIRECT("'"&amp;INDIRECT("Main!B9")&amp;"'!A81")))</f>
        <v>Donation</v>
      </c>
      <c r="B67" s="94"/>
      <c r="C67" s="95"/>
      <c r="D67" s="14"/>
      <c r="E67" s="14"/>
      <c r="F67" s="14"/>
      <c r="G67" s="14"/>
      <c r="H67" s="14"/>
      <c r="I67" s="48"/>
    </row>
    <row r="68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spans="1:9">
      <c r="A76" s="93" t="str" cm="1">
        <f ca="1" t="array" ref="A76">IF((INDIRECT("'"&amp;INDIRECT("Main!B9")&amp;"'!A90"))=0,"",(INDIRECT("'"&amp;INDIRECT("Main!B9")&amp;"'!A90")))</f>
        <v>Insurance (Personal / Properties / Medical)</v>
      </c>
      <c r="B76" s="94"/>
      <c r="C76" s="95"/>
      <c r="D76" s="14"/>
      <c r="E76" s="14"/>
      <c r="F76" s="14"/>
      <c r="G76" s="14"/>
      <c r="H76" s="14"/>
      <c r="I76" s="48"/>
    </row>
    <row r="77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spans="1:9">
      <c r="A86" s="93" t="str" cm="1">
        <f ca="1" t="array" ref="A86">IF((INDIRECT("'"&amp;INDIRECT("Main!B9")&amp;"'!A100"))=0,"",(INDIRECT("'"&amp;INDIRECT("Main!B9")&amp;"'!A100")))</f>
        <v>Other Expenses</v>
      </c>
      <c r="B86" s="94"/>
      <c r="C86" s="95"/>
      <c r="D86" s="14"/>
      <c r="E86" s="14"/>
      <c r="F86" s="14"/>
      <c r="G86" s="14"/>
      <c r="H86" s="14"/>
      <c r="I86" s="48"/>
    </row>
    <row r="87" ht="20.2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87">
        <v>0</v>
      </c>
      <c r="D87" s="14"/>
      <c r="E87" s="14"/>
      <c r="F87" s="14"/>
      <c r="G87" s="14"/>
      <c r="H87" s="14"/>
      <c r="I87" s="48"/>
    </row>
    <row r="88" ht="50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8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0.2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87">
        <v>0</v>
      </c>
      <c r="D90" s="14"/>
      <c r="E90" s="68"/>
      <c r="F90" s="14"/>
      <c r="G90" s="14"/>
      <c r="H90" s="14"/>
      <c r="I90" s="48"/>
    </row>
    <row r="91" ht="20.2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0.2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0.2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0.2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spans="1:9">
      <c r="A96" s="50"/>
      <c r="B96" s="40" t="s">
        <v>79</v>
      </c>
      <c r="C96" s="37">
        <f>C55+C66+C75+C85+C95</f>
        <v>419.99</v>
      </c>
      <c r="D96" s="14"/>
      <c r="E96" s="14"/>
      <c r="F96" s="14"/>
      <c r="G96" s="14"/>
      <c r="H96" s="14"/>
      <c r="I96" s="48"/>
    </row>
    <row r="97" spans="1:9">
      <c r="A97" s="93" t="str" cm="1">
        <f ca="1" t="array" ref="A97">IF((INDIRECT("'"&amp;INDIRECT("Main!B9")&amp;"'!A111"))=0,"",(INDIRECT("'"&amp;INDIRECT("Main!B9")&amp;"'!A111")))</f>
        <v>Debts</v>
      </c>
      <c r="B97" s="94"/>
      <c r="C97" s="95"/>
      <c r="D97" s="14"/>
      <c r="E97" s="14"/>
      <c r="F97" s="14"/>
      <c r="G97" s="14"/>
      <c r="H97" s="14"/>
      <c r="I97" s="48"/>
    </row>
    <row r="98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106" cm="1">
        <f ca="1" t="array" ref="C98">(((INDIRECT("'"&amp;INDIRECT("Main!B9")&amp;"'!E131")+INDIRECT("'"&amp;INDIRECT("Main!B9")&amp;"'!E158")+INDIRECT("'"&amp;INDIRECT("Main!B9")&amp;"'!E185")))+SUM(E118+E145+E172))-INDIRECT("'"&amp;INDIRECT("Main!B9")&amp;"'!C112")</f>
        <v>-4300</v>
      </c>
      <c r="D98" s="14"/>
      <c r="E98" s="96"/>
      <c r="F98" s="14"/>
      <c r="G98" s="14"/>
      <c r="H98" s="14"/>
      <c r="I98" s="48"/>
    </row>
    <row r="99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106" cm="1">
        <f ca="1" t="array" ref="C99">(((INDIRECT("'"&amp;INDIRECT("Main!B9")&amp;"'!E132")+INDIRECT("'"&amp;INDIRECT("Main!B9")&amp;"'!E159")+INDIRECT("'"&amp;INDIRECT("Main!B9")&amp;"'!E186")))+SUM(E119+E146+E173))-INDIRECT("'"&amp;INDIRECT("Main!B9")&amp;"'!C113")</f>
        <v>0</v>
      </c>
      <c r="D99" s="14"/>
      <c r="E99" s="14"/>
      <c r="F99" s="14"/>
      <c r="G99" s="14"/>
      <c r="H99" s="14"/>
      <c r="I99" s="48"/>
    </row>
    <row r="100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106">
        <v>0</v>
      </c>
      <c r="D100" s="14"/>
      <c r="E100" s="14"/>
      <c r="F100" s="14"/>
      <c r="G100" s="14"/>
      <c r="H100" s="14"/>
      <c r="I100" s="48"/>
    </row>
    <row r="101" ht="21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106" cm="1">
        <f ca="1" t="array" ref="C101">(((INDIRECT("'"&amp;INDIRECT("Main!B9")&amp;"'!E134")+INDIRECT("'"&amp;INDIRECT("Main!B9")&amp;"'!E161")+INDIRECT("'"&amp;INDIRECT("Main!B9")&amp;"'!E188")))+SUM(E121+E148+E175))-INDIRECT("'"&amp;INDIRECT("Main!B9")&amp;"'!C115")</f>
        <v>0</v>
      </c>
      <c r="D101" s="14"/>
      <c r="E101" s="14"/>
      <c r="F101" s="14"/>
      <c r="G101" s="14"/>
      <c r="H101" s="14"/>
      <c r="I101" s="48"/>
    </row>
    <row r="102" ht="21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106" cm="1">
        <f ca="1" t="array" ref="C102">(((INDIRECT("'"&amp;INDIRECT("Main!B9")&amp;"'!E135")+INDIRECT("'"&amp;INDIRECT("Main!B9")&amp;"'!E162")+INDIRECT("'"&amp;INDIRECT("Main!B9")&amp;"'!E189")))+SUM(E122+E149+E176))-INDIRECT("'"&amp;INDIRECT("Main!B9")&amp;"'!C116")</f>
        <v>0</v>
      </c>
      <c r="D102" s="14"/>
      <c r="E102" s="148"/>
      <c r="F102" s="14"/>
      <c r="G102" s="14"/>
      <c r="H102" s="14"/>
      <c r="I102" s="48"/>
    </row>
    <row r="103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106" cm="1">
        <f ca="1" t="array" ref="C103">(((INDIRECT("'"&amp;INDIRECT("Main!B9")&amp;"'!E136")+INDIRECT("'"&amp;INDIRECT("Main!B9")&amp;"'!E163")+INDIRECT("'"&amp;INDIRECT("Main!B9")&amp;"'!E190")))+SUM(E123+E150+E177))-INDIRECT("'"&amp;INDIRECT("Main!B9")&amp;"'!C117")</f>
        <v>-1083</v>
      </c>
      <c r="D103" s="14"/>
      <c r="E103" s="14"/>
      <c r="F103" s="14"/>
      <c r="G103" s="14"/>
      <c r="H103" s="14"/>
      <c r="I103" s="48"/>
    </row>
    <row r="104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106" cm="1">
        <f ca="1" t="array" ref="C104">(((INDIRECT("'"&amp;INDIRECT("Main!B9")&amp;"'!E137")+INDIRECT("'"&amp;INDIRECT("Main!B9")&amp;"'!E164")+INDIRECT("'"&amp;INDIRECT("Main!B9")&amp;"'!E191")))+SUM(E124+E151+E178))-INDIRECT("'"&amp;INDIRECT("Main!B9")&amp;"'!C118")</f>
        <v>0</v>
      </c>
      <c r="D104" s="14"/>
      <c r="E104" s="14"/>
      <c r="F104" s="14"/>
      <c r="G104" s="14"/>
      <c r="H104" s="14"/>
      <c r="I104" s="48"/>
    </row>
    <row r="105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106" cm="1">
        <f ca="1" t="array" ref="C105">(((INDIRECT("'"&amp;INDIRECT("Main!B9")&amp;"'!E138")+INDIRECT("'"&amp;INDIRECT("Main!B9")&amp;"'!E165")+INDIRECT("'"&amp;INDIRECT("Main!B9")&amp;"'!E192")))+SUM(E125+E152+E179))-INDIRECT("'"&amp;INDIRECT("Main!B9")&amp;"'!C119")</f>
        <v>0</v>
      </c>
      <c r="D105" s="14"/>
      <c r="E105" s="14"/>
      <c r="F105" s="14"/>
      <c r="G105" s="14"/>
      <c r="H105" s="14"/>
      <c r="I105" s="48"/>
    </row>
    <row r="106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106" cm="1">
        <f ca="1" t="array" ref="C106">(((INDIRECT("'"&amp;INDIRECT("Main!B9")&amp;"'!E139")+INDIRECT("'"&amp;INDIRECT("Main!B9")&amp;"'!E166")+INDIRECT("'"&amp;INDIRECT("Main!B9")&amp;"'!E193")))+SUM(E126+E153+E180))-INDIRECT("'"&amp;INDIRECT("Main!B9")&amp;"'!C120")</f>
        <v>0</v>
      </c>
      <c r="D106" s="14"/>
      <c r="E106" s="14"/>
      <c r="F106" s="14"/>
      <c r="G106" s="14"/>
      <c r="H106" s="14"/>
      <c r="I106" s="48"/>
    </row>
    <row r="107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106" cm="1">
        <f ca="1" t="array" ref="C107">(((INDIRECT("'"&amp;INDIRECT("Main!B9")&amp;"'!E140")+INDIRECT("'"&amp;INDIRECT("Main!B9")&amp;"'!E167")+INDIRECT("'"&amp;INDIRECT("Main!B9")&amp;"'!E194")))+SUM(E127+E154+E181))-INDIRECT("'"&amp;INDIRECT("Main!B9")&amp;"'!C121")</f>
        <v>0</v>
      </c>
      <c r="D107" s="14"/>
      <c r="E107" s="14"/>
      <c r="F107" s="14"/>
      <c r="G107" s="14"/>
      <c r="H107" s="14"/>
      <c r="I107" s="48"/>
    </row>
    <row r="108" spans="1:9">
      <c r="A108" s="50"/>
      <c r="B108" s="40" t="s">
        <v>88</v>
      </c>
      <c r="C108" s="106">
        <f ca="1">SUM(C98:C107)</f>
        <v>-5383</v>
      </c>
      <c r="D108" s="14"/>
      <c r="E108" s="14"/>
      <c r="F108" s="14"/>
      <c r="G108" s="14"/>
      <c r="H108" s="14"/>
      <c r="I108" s="48"/>
    </row>
    <row r="109" spans="1:9">
      <c r="A109" s="50"/>
      <c r="B109" s="40" t="s">
        <v>89</v>
      </c>
      <c r="C109" s="106">
        <f ca="1">C108-C96</f>
        <v>-5802.99</v>
      </c>
      <c r="D109" s="14"/>
      <c r="E109" s="14"/>
      <c r="F109" s="14"/>
      <c r="G109" s="14"/>
      <c r="H109" s="14"/>
      <c r="I109" s="48"/>
    </row>
    <row r="110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"&amp;IF(Main!B2,TEXT(EDATE(Main!B3,3),"mmmm dd yyyy"),TEXT(Main!B3+((Main!B5-Main!B3)*3+3),"mmmm dd yyyy"))&amp;" to "&amp;IF(Main!B2,TEXT(EDATE(Main!B3,4)-1,"mmmm dd yyyy"),TEXT(Main!B3+((Main!B5-Main!B3)*4+3),"mmmm dd yyyy"))</f>
        <v>Debts Or Credits For the Comming April 20 2025 to May 19 2025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"&amp;IF(Main!B2,TEXT(EDATE(Main!B3,3)-1,"mmmm yyyy"),TEXT(Main!B3+((Main!B5-Main!B3)*3+3),"mmmm yyyy"))</f>
        <v>Balance Brought Forward From April 2025</v>
      </c>
      <c r="B116" s="57"/>
      <c r="C116" s="58"/>
      <c r="D116" s="58"/>
      <c r="E116" s="89" cm="1">
        <f ca="1" t="array" ref="E116">INDIRECT("'"&amp;INDIRECT("Main!B9")&amp;"'!E203")</f>
        <v>941.71</v>
      </c>
      <c r="F116" s="14"/>
      <c r="G116" s="14"/>
      <c r="H116" s="68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9.2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9.2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9.2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9.2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40.5" customHeight="1" spans="1:9">
      <c r="A129" s="63"/>
      <c r="B129" s="64"/>
      <c r="C129" s="73" t="s">
        <v>106</v>
      </c>
      <c r="D129" s="74"/>
      <c r="E129" s="87">
        <v>910</v>
      </c>
      <c r="F129" s="14"/>
      <c r="G129" s="14"/>
      <c r="H129" s="14"/>
      <c r="I129" s="48"/>
    </row>
    <row r="130" ht="153" customHeight="1" spans="1:9">
      <c r="A130" s="63"/>
      <c r="B130" s="64"/>
      <c r="C130" s="73" t="s">
        <v>107</v>
      </c>
      <c r="D130" s="74"/>
      <c r="E130" s="87">
        <v>603.5</v>
      </c>
      <c r="F130" s="14"/>
      <c r="G130" s="14"/>
      <c r="H130" s="14"/>
      <c r="I130" s="48"/>
    </row>
    <row r="131" ht="24.75" customHeight="1" spans="1:9">
      <c r="A131" s="63"/>
      <c r="B131" s="64"/>
      <c r="C131" s="74"/>
      <c r="D131" s="74"/>
      <c r="E131" s="87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74"/>
      <c r="D132" s="74"/>
      <c r="E132" s="87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125"/>
      <c r="D133" s="125"/>
      <c r="E133" s="87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419.99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78.22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"&amp;IF(Main!B2,TEXT(EDATE(Main!B3,4),"mmmm dd yyyy"),TEXT(Main!B3+((Main!B5-Main!B3)*4+4),"dd mmmm yyyy"))&amp;" to "&amp;IF(Main!B2,TEXT(EDATE(Main!B3,5)-1,"mmmm dd yyyy"),TEXT(Main!B3+((Main!B5-Main!B3)*5+4),"mmmm dd yyyy"))</f>
        <v>Debts Or Credits For the Comming May 20 2025 to June 19 2025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"&amp;IF(Main!B2,TEXT(EDATE(Main!B3,4)-1,"mmmm yyyy"),TEXT(Main!B3+((Main!B5-Main!B3)*4+3),"mmmm yyyy"))</f>
        <v>Balance Brought Forward From May 2025</v>
      </c>
      <c r="B143" s="57"/>
      <c r="C143" s="58"/>
      <c r="D143" s="58"/>
      <c r="E143" s="89">
        <f ca="1">E136</f>
        <v>78.22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 t="s">
        <v>108</v>
      </c>
      <c r="D145" s="66"/>
      <c r="E145" s="37">
        <v>870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53" customHeight="1" spans="1:9">
      <c r="A151" s="63"/>
      <c r="B151" s="64"/>
      <c r="C151" s="114" t="s">
        <v>109</v>
      </c>
      <c r="D151" s="149"/>
      <c r="E151" s="37">
        <v>676.03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65" customHeight="1" spans="1:9">
      <c r="A156" s="63"/>
      <c r="B156" s="64"/>
      <c r="C156" s="73" t="s">
        <v>110</v>
      </c>
      <c r="D156" s="74"/>
      <c r="E156" s="87">
        <v>469</v>
      </c>
      <c r="F156" s="14"/>
      <c r="G156" s="14"/>
      <c r="H156" s="14"/>
      <c r="I156" s="48"/>
    </row>
    <row r="157" ht="24.75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24.75" customHeight="1" spans="1:9">
      <c r="A158" s="63"/>
      <c r="B158" s="64"/>
      <c r="C158" s="74"/>
      <c r="D158" s="74"/>
      <c r="E158" s="87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74"/>
      <c r="D159" s="74"/>
      <c r="E159" s="87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125"/>
      <c r="D160" s="125"/>
      <c r="E160" s="87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419.99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479.2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"&amp;IF(Main!B2,TEXT(EDATE(Main!B3,5),"mmmm dd yyyy"),TEXT(Main!B3+((Main!B5-Main!B3)*5+5),"mmmm dd yyyy"))&amp;" to "&amp;IF(Main!B2,TEXT(EDATE(Main!B3,6)-1,"mmmm dd yyyy"),TEXT(Main!B3+((Main!B5-Main!B3)*6+5),"mmmm dd yyyy"))</f>
        <v>Debts Or Credits For the Comming June 20 2025 to July 19 2025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">
        <v>112</v>
      </c>
      <c r="B170" s="57"/>
      <c r="C170" s="58"/>
      <c r="D170" s="58"/>
      <c r="E170" s="92">
        <f ca="1">E163</f>
        <v>479.2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74" t="s">
        <v>113</v>
      </c>
      <c r="D172" s="74"/>
      <c r="E172" s="37">
        <v>800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74"/>
      <c r="D174" s="74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51" customHeight="1" spans="1:9">
      <c r="A183" s="63"/>
      <c r="B183" s="64"/>
      <c r="C183" s="73" t="s">
        <v>106</v>
      </c>
      <c r="D183" s="74"/>
      <c r="E183" s="87">
        <v>910</v>
      </c>
      <c r="F183" s="14"/>
      <c r="G183" s="14"/>
      <c r="H183" s="14"/>
      <c r="I183" s="48"/>
    </row>
    <row r="184" ht="24.75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74"/>
      <c r="D185" s="74"/>
      <c r="E185" s="87">
        <v>0</v>
      </c>
      <c r="F185" s="14"/>
      <c r="G185" s="14"/>
      <c r="H185" s="14"/>
      <c r="I185" s="48"/>
    </row>
    <row r="186" ht="117.95" customHeight="1" spans="1:9">
      <c r="A186" s="63"/>
      <c r="B186" s="64"/>
      <c r="C186" s="73"/>
      <c r="D186" s="73"/>
      <c r="E186" s="87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73"/>
      <c r="D187" s="73"/>
      <c r="E187" s="87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150"/>
      <c r="D188" s="151"/>
      <c r="E188" s="87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419.99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434.21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3" s="41" customFormat="1" ht="24.75" customHeight="1"/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40" operator="greaterThanOrEqual">
      <formula>0</formula>
    </cfRule>
    <cfRule type="cellIs" dxfId="1" priority="39" operator="lessThan">
      <formula>0</formula>
    </cfRule>
  </conditionalFormatting>
  <conditionalFormatting sqref="C75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7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91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108">
    <cfRule type="cellIs" dxfId="0" priority="56" operator="greaterThanOrEqual">
      <formula>0</formula>
    </cfRule>
    <cfRule type="cellIs" dxfId="1" priority="55" operator="lessThan">
      <formula>0</formula>
    </cfRule>
  </conditionalFormatting>
  <conditionalFormatting sqref="C109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E116">
    <cfRule type="cellIs" dxfId="3" priority="30" operator="greaterThanOrEqual">
      <formula>0</formula>
    </cfRule>
    <cfRule type="cellIs" dxfId="4" priority="29" operator="lessThan">
      <formula>0</formula>
    </cfRule>
  </conditionalFormatting>
  <conditionalFormatting sqref="E118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E129">
    <cfRule type="cellIs" dxfId="5" priority="21" operator="equal">
      <formula>0</formula>
    </cfRule>
  </conditionalFormatting>
  <conditionalFormatting sqref="E130">
    <cfRule type="cellIs" dxfId="5" priority="20" operator="equal">
      <formula>0</formula>
    </cfRule>
  </conditionalFormatting>
  <conditionalFormatting sqref="E136">
    <cfRule type="cellIs" dxfId="3" priority="64" operator="greaterThanOrEqual">
      <formula>0</formula>
    </cfRule>
    <cfRule type="cellIs" dxfId="4" priority="63" operator="lessThan">
      <formula>0</formula>
    </cfRule>
  </conditionalFormatting>
  <conditionalFormatting sqref="E143">
    <cfRule type="cellIs" dxfId="3" priority="48" operator="greaterThanOrEqual">
      <formula>0</formula>
    </cfRule>
    <cfRule type="cellIs" dxfId="4" priority="47" operator="lessThan">
      <formula>0</formula>
    </cfRule>
  </conditionalFormatting>
  <conditionalFormatting sqref="E147">
    <cfRule type="cellIs" dxfId="0" priority="9" operator="equal">
      <formula>0</formula>
    </cfRule>
    <cfRule type="cellIs" dxfId="1" priority="8" operator="greaterThan">
      <formula>0</formula>
    </cfRule>
  </conditionalFormatting>
  <conditionalFormatting sqref="E163">
    <cfRule type="cellIs" dxfId="3" priority="50" operator="greaterThanOrEqual">
      <formula>0</formula>
    </cfRule>
    <cfRule type="cellIs" dxfId="4" priority="49" operator="lessThan">
      <formula>0</formula>
    </cfRule>
  </conditionalFormatting>
  <conditionalFormatting sqref="E170">
    <cfRule type="cellIs" dxfId="3" priority="42" operator="greaterThanOrEqual">
      <formula>0</formula>
    </cfRule>
    <cfRule type="cellIs" dxfId="4" priority="41" operator="lessThan">
      <formula>0</formula>
    </cfRule>
  </conditionalFormatting>
  <conditionalFormatting sqref="E172">
    <cfRule type="cellIs" dxfId="0" priority="5" operator="equal">
      <formula>0</formula>
    </cfRule>
    <cfRule type="cellIs" dxfId="1" priority="4" operator="greaterThan">
      <formula>0</formula>
    </cfRule>
  </conditionalFormatting>
  <conditionalFormatting sqref="E174">
    <cfRule type="cellIs" dxfId="0" priority="3" operator="equal">
      <formula>0</formula>
    </cfRule>
    <cfRule type="cellIs" dxfId="1" priority="2" operator="greaterThan">
      <formula>0</formula>
    </cfRule>
  </conditionalFormatting>
  <conditionalFormatting sqref="E190">
    <cfRule type="cellIs" dxfId="3" priority="44" operator="greaterThanOrEqual">
      <formula>0</formula>
    </cfRule>
    <cfRule type="cellIs" dxfId="4" priority="43" operator="lessThan">
      <formula>0</formula>
    </cfRule>
  </conditionalFormatting>
  <conditionalFormatting sqref="C47:C50">
    <cfRule type="cellIs" dxfId="0" priority="12" operator="equal">
      <formula>0</formula>
    </cfRule>
    <cfRule type="cellIs" dxfId="1" priority="11" operator="greaterThan">
      <formula>0</formula>
    </cfRule>
  </conditionalFormatting>
  <conditionalFormatting sqref="C57:C66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68:C69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70:C74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80:C8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87:C90">
    <cfRule type="cellIs" dxfId="5" priority="10" operator="equal">
      <formula>0</formula>
    </cfRule>
  </conditionalFormatting>
  <conditionalFormatting sqref="C92:C9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98:C107">
    <cfRule type="cellIs" dxfId="1" priority="38" operator="lessThan">
      <formula>0</formula>
    </cfRule>
    <cfRule type="cellIs" dxfId="2" priority="37" operator="greaterThanOrEqual">
      <formula>0</formula>
    </cfRule>
  </conditionalFormatting>
  <conditionalFormatting sqref="E119:E127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E131:E133">
    <cfRule type="cellIs" dxfId="5" priority="19" operator="equal">
      <formula>0</formula>
    </cfRule>
  </conditionalFormatting>
  <conditionalFormatting sqref="E156:E157">
    <cfRule type="cellIs" dxfId="5" priority="7" operator="equal">
      <formula>0</formula>
    </cfRule>
  </conditionalFormatting>
  <conditionalFormatting sqref="E158:E160">
    <cfRule type="cellIs" dxfId="5" priority="6" operator="equal">
      <formula>0</formula>
    </cfRule>
  </conditionalFormatting>
  <conditionalFormatting sqref="E183:E188">
    <cfRule type="cellIs" dxfId="5" priority="1" operator="equal">
      <formula>0</formula>
    </cfRule>
  </conditionalFormatting>
  <conditionalFormatting sqref="C51:C55 C85 C78:C79 C95:C96">
    <cfRule type="cellIs" dxfId="0" priority="78" operator="equal">
      <formula>0</formula>
    </cfRule>
  </conditionalFormatting>
  <conditionalFormatting sqref="C51:C55 C85 C78:C79 C95:C96 E144 E155 E161:E162">
    <cfRule type="cellIs" dxfId="1" priority="77" operator="greaterThan">
      <formula>0</formula>
    </cfRule>
  </conditionalFormatting>
  <conditionalFormatting sqref="E117 E128 E134:E13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E144 E155 E161:E162">
    <cfRule type="cellIs" dxfId="2" priority="52" operator="equal">
      <formula>0</formula>
    </cfRule>
  </conditionalFormatting>
  <conditionalFormatting sqref="E145:E146 E148:E154">
    <cfRule type="cellIs" dxfId="0" priority="34" operator="equal">
      <formula>0</formula>
    </cfRule>
    <cfRule type="cellIs" dxfId="1" priority="33" operator="greaterThan">
      <formula>0</formula>
    </cfRule>
  </conditionalFormatting>
  <conditionalFormatting sqref="E171 E182 E189">
    <cfRule type="cellIs" dxfId="2" priority="46" operator="equal">
      <formula>0</formula>
    </cfRule>
    <cfRule type="cellIs" dxfId="1" priority="45" operator="greaterThan">
      <formula>0</formula>
    </cfRule>
  </conditionalFormatting>
  <conditionalFormatting sqref="E173 E175:E181">
    <cfRule type="cellIs" dxfId="0" priority="32" operator="equal">
      <formula>0</formula>
    </cfRule>
    <cfRule type="cellIs" dxfId="1" priority="31" operator="greaterThan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"/>
  <sheetViews>
    <sheetView topLeftCell="A93" workbookViewId="0">
      <selection activeCell="C156" sqref="C156:D156"/>
    </sheetView>
  </sheetViews>
  <sheetFormatPr defaultColWidth="9" defaultRowHeight="17.6"/>
  <cols>
    <col min="1" max="1" width="20.625" style="41" customWidth="1"/>
    <col min="2" max="2" width="26.9583333333333" style="41" customWidth="1"/>
    <col min="3" max="3" width="24.125" style="41" customWidth="1"/>
    <col min="4" max="7" width="20.625" style="41" customWidth="1"/>
    <col min="8" max="8" width="15.625" style="41" customWidth="1"/>
    <col min="9" max="16384" width="9" style="41"/>
  </cols>
  <sheetData>
    <row r="1" ht="30" customHeight="1" spans="1:7">
      <c r="A1" s="1" t="str">
        <f>"Forecasts For the Year "&amp;IF(Main!B2,TEXT(EDATE(Main!B3,6),"mmmm yyyy"),TEXT(Main!B3+((Main!B5-Main!B3)*6+6),"mmmm yyyy"))&amp;" to "&amp;IF(Main!B2,TEXT(EDATE(Main!B3,9)-1,"mmmm yyyy"),TEXT(Main!B3+((Main!B5-Main!B3)*9+8),"mmmm yyyy"))</f>
        <v>Forecasts For the Year July 2025 to October 2025</v>
      </c>
      <c r="B1" s="1"/>
      <c r="C1" s="1"/>
      <c r="D1" s="1"/>
      <c r="E1" s="1"/>
      <c r="F1" s="1"/>
      <c r="G1" s="1"/>
    </row>
    <row r="2" ht="30" customHeight="1" spans="1:7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</row>
    <row r="3" ht="30" customHeight="1" spans="1:7">
      <c r="A3" s="5"/>
      <c r="B3" s="6" t="s">
        <v>96</v>
      </c>
      <c r="C3" s="7">
        <f ca="1">E190</f>
        <v>431.240000000001</v>
      </c>
      <c r="D3" s="7"/>
      <c r="E3" s="7"/>
      <c r="F3" s="7"/>
      <c r="G3" s="7"/>
    </row>
    <row r="4" ht="30" customHeight="1" spans="1:9">
      <c r="A4" s="8" t="s">
        <v>48</v>
      </c>
      <c r="B4" s="9"/>
      <c r="C4" s="10">
        <f ca="1">SUM(C2:G3)</f>
        <v>509.460000000001</v>
      </c>
      <c r="D4" s="10"/>
      <c r="E4" s="10"/>
      <c r="F4" s="10"/>
      <c r="G4" s="10"/>
      <c r="H4" s="14"/>
      <c r="I4" s="48"/>
    </row>
    <row r="5" ht="30" customHeight="1" spans="1:9">
      <c r="A5" s="11" t="s">
        <v>97</v>
      </c>
      <c r="B5" s="11"/>
      <c r="C5" s="12">
        <f ca="1">C108</f>
        <v>-2983</v>
      </c>
      <c r="D5" s="13"/>
      <c r="E5" s="13"/>
      <c r="F5" s="13"/>
      <c r="G5" s="13"/>
      <c r="H5" s="14"/>
      <c r="I5" s="48"/>
    </row>
    <row r="6" ht="30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30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30" customHeight="1" spans="1:9">
      <c r="A8" s="15" t="str">
        <f>IF(Main!B2,TEXT(EDATE(Main!B3,6),"dd mmmm yyyy"),TEXT(Main!B3+((Main!B5-Main!B3)*6+6),"dd mmmm yyyy"))&amp;" - "&amp;IF(Main!B2,TEXT(EDATE(Main!B3,7)-1,"dd mmmm yyyy"),TEXT(Main!B3+((Main!B5-Main!B3)*7+6),"dd mmmm yyyy"))&amp;" / "&amp;" (Revenue / Deferred Debts Or Expenses)"</f>
        <v>20 July 2025 - 19 August 2025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30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30" customHeight="1" spans="1:9">
      <c r="A10" s="101"/>
      <c r="B10" s="20" t="s">
        <v>98</v>
      </c>
      <c r="C10" s="20"/>
      <c r="D10" s="115" t="s">
        <v>99</v>
      </c>
      <c r="E10" s="123"/>
      <c r="F10" s="7">
        <v>2435</v>
      </c>
      <c r="G10" s="7"/>
      <c r="H10" s="14"/>
      <c r="I10" s="48"/>
    </row>
    <row r="11" ht="30" customHeight="1" spans="1:9">
      <c r="A11" s="101"/>
      <c r="B11" s="20"/>
      <c r="C11" s="20"/>
      <c r="D11" s="115"/>
      <c r="E11" s="123"/>
      <c r="F11" s="7">
        <v>0</v>
      </c>
      <c r="G11" s="7"/>
      <c r="H11" s="14"/>
      <c r="I11" s="48"/>
    </row>
    <row r="12" ht="30" customHeight="1" spans="1:9">
      <c r="A12" s="101"/>
      <c r="B12" s="20"/>
      <c r="C12" s="20"/>
      <c r="D12" s="115"/>
      <c r="E12" s="123"/>
      <c r="F12" s="7">
        <v>0</v>
      </c>
      <c r="G12" s="7"/>
      <c r="H12" s="14"/>
      <c r="I12" s="48"/>
    </row>
    <row r="13" ht="30" customHeight="1" spans="1:9">
      <c r="A13" s="101"/>
      <c r="B13" s="20"/>
      <c r="C13" s="20"/>
      <c r="D13" s="115"/>
      <c r="E13" s="123"/>
      <c r="F13" s="7">
        <v>0</v>
      </c>
      <c r="G13" s="7"/>
      <c r="H13" s="14"/>
      <c r="I13" s="48"/>
    </row>
    <row r="14" ht="30" customHeight="1" spans="1:9">
      <c r="A14" s="101"/>
      <c r="B14" s="20"/>
      <c r="C14" s="20"/>
      <c r="D14" s="115"/>
      <c r="E14" s="123"/>
      <c r="F14" s="7">
        <v>0</v>
      </c>
      <c r="G14" s="7"/>
      <c r="H14" s="14"/>
      <c r="I14" s="48"/>
    </row>
    <row r="15" ht="30" customHeight="1" spans="1:9">
      <c r="A15" s="101"/>
      <c r="B15" s="20"/>
      <c r="C15" s="20"/>
      <c r="D15" s="115"/>
      <c r="E15" s="123"/>
      <c r="F15" s="7">
        <v>0</v>
      </c>
      <c r="G15" s="7"/>
      <c r="H15" s="14"/>
      <c r="I15" s="48"/>
    </row>
    <row r="16" ht="30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30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30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30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30" customHeight="1" spans="1:9">
      <c r="A20" s="15" t="str">
        <f>IF(Main!B2,TEXT(EDATE(Main!B3,7),"dd mmmm yyyy"),TEXT(Main!B3+((Main!B5-Main!B3)*7+7),"dd mmmm yyyy"))&amp;" - "&amp;IF(Main!B2,TEXT(EDATE(Main!B3,8)-1,"dd mmmm yyyy"),TEXT(Main!B3+((Main!B5-Main!B3)*8+7),"dd mmmm yyyy"))&amp;" / "&amp;" (Revenue / Deferred Debts Or Expenses)"</f>
        <v>20 August 2025 - 19 September 2025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30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30" customHeight="1" spans="1:9">
      <c r="A22" s="101"/>
      <c r="B22" s="20" t="s">
        <v>98</v>
      </c>
      <c r="C22" s="20"/>
      <c r="D22" s="115" t="s">
        <v>99</v>
      </c>
      <c r="E22" s="123"/>
      <c r="F22" s="7">
        <v>2435</v>
      </c>
      <c r="G22" s="7"/>
      <c r="H22" s="14"/>
      <c r="I22" s="48"/>
    </row>
    <row r="23" ht="30" customHeight="1" spans="1:9">
      <c r="A23" s="101"/>
      <c r="B23" s="20"/>
      <c r="C23" s="110"/>
      <c r="D23" s="21"/>
      <c r="E23" s="111"/>
      <c r="F23" s="7">
        <v>0</v>
      </c>
      <c r="G23" s="7"/>
      <c r="H23" s="14"/>
      <c r="I23" s="48"/>
    </row>
    <row r="24" ht="27" customHeight="1" spans="1:9">
      <c r="A24" s="19"/>
      <c r="B24" s="22"/>
      <c r="C24" s="23"/>
      <c r="D24" s="22"/>
      <c r="E24" s="23"/>
      <c r="F24" s="43">
        <v>0</v>
      </c>
      <c r="G24" s="44"/>
      <c r="H24" s="14"/>
      <c r="I24" s="48"/>
    </row>
    <row r="25" ht="29.25" customHeight="1" spans="1:9">
      <c r="A25" s="101"/>
      <c r="B25" s="20"/>
      <c r="C25" s="110"/>
      <c r="D25" s="20"/>
      <c r="E25" s="110"/>
      <c r="F25" s="7">
        <v>0</v>
      </c>
      <c r="G25" s="7"/>
      <c r="H25" s="14"/>
      <c r="I25" s="48"/>
    </row>
    <row r="26" ht="30" customHeight="1" spans="1:9">
      <c r="A26" s="101"/>
      <c r="B26" s="20"/>
      <c r="C26" s="110"/>
      <c r="D26" s="21"/>
      <c r="E26" s="111"/>
      <c r="F26" s="7">
        <v>0</v>
      </c>
      <c r="G26" s="7"/>
      <c r="H26" s="14"/>
      <c r="I26" s="48"/>
    </row>
    <row r="27" ht="30" customHeight="1" spans="1:9">
      <c r="A27" s="101"/>
      <c r="B27" s="20"/>
      <c r="C27" s="110"/>
      <c r="D27" s="20"/>
      <c r="E27" s="110"/>
      <c r="F27" s="7">
        <v>0</v>
      </c>
      <c r="G27" s="7"/>
      <c r="H27" s="14"/>
      <c r="I27" s="48"/>
    </row>
    <row r="28" ht="30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30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30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30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30" customHeight="1" spans="1:9">
      <c r="A32" s="15" t="str">
        <f>IF(Main!B2,TEXT(EDATE(Main!B3,8),"dd mmmm yyyy"),TEXT(Main!B3+((Main!B5-Main!B3)*8+8),"dd mmmm yyyy"))&amp;" - "&amp;IF(Main!B2,TEXT(EDATE(Main!B3,9)-1,"dd mmmm yyyy"),TEXT(Main!B3+((Main!B5-Main!B3)*9+8),"dd mmmm yyyy"))&amp;" / "&amp;" (Revenue / Deferred Debts Or Expenses)"</f>
        <v>20 September 2025 - 19 October 2025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30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30" customHeight="1" spans="1:9">
      <c r="A34" s="101"/>
      <c r="B34" s="20" t="s">
        <v>98</v>
      </c>
      <c r="C34" s="20"/>
      <c r="D34" s="115" t="s">
        <v>99</v>
      </c>
      <c r="E34" s="123"/>
      <c r="F34" s="7">
        <v>2435</v>
      </c>
      <c r="G34" s="7"/>
      <c r="H34" s="14"/>
      <c r="I34" s="48"/>
    </row>
    <row r="35" ht="30" customHeight="1" spans="1:9">
      <c r="A35" s="101"/>
      <c r="B35" s="116"/>
      <c r="C35" s="117"/>
      <c r="D35" s="21"/>
      <c r="E35" s="111"/>
      <c r="F35" s="7">
        <v>0</v>
      </c>
      <c r="G35" s="7"/>
      <c r="H35" s="14"/>
      <c r="I35" s="48"/>
    </row>
    <row r="36" ht="30" customHeight="1" spans="1:9">
      <c r="A36" s="101"/>
      <c r="B36" s="116"/>
      <c r="C36" s="117"/>
      <c r="D36" s="21"/>
      <c r="E36" s="111"/>
      <c r="F36" s="7">
        <v>0</v>
      </c>
      <c r="G36" s="7"/>
      <c r="H36" s="14"/>
      <c r="I36" s="49"/>
    </row>
    <row r="37" ht="24" customHeight="1" spans="1:9">
      <c r="A37" s="118"/>
      <c r="B37" s="119"/>
      <c r="C37" s="120"/>
      <c r="D37" s="119"/>
      <c r="E37" s="120"/>
      <c r="F37" s="43">
        <v>0</v>
      </c>
      <c r="G37" s="44"/>
      <c r="H37" s="14"/>
      <c r="I37" s="48"/>
    </row>
    <row r="38" ht="30" customHeight="1" spans="1:9">
      <c r="A38" s="101"/>
      <c r="B38" s="116"/>
      <c r="C38" s="117"/>
      <c r="D38" s="116"/>
      <c r="E38" s="117"/>
      <c r="F38" s="7">
        <v>0</v>
      </c>
      <c r="G38" s="7"/>
      <c r="H38" s="14"/>
      <c r="I38" s="48"/>
    </row>
    <row r="39" ht="30" customHeight="1" spans="1:9">
      <c r="A39" s="101"/>
      <c r="B39" s="121"/>
      <c r="C39" s="122"/>
      <c r="D39" s="121"/>
      <c r="E39" s="122"/>
      <c r="F39" s="7">
        <v>0</v>
      </c>
      <c r="G39" s="7"/>
      <c r="H39" s="14"/>
      <c r="I39" s="48"/>
    </row>
    <row r="40" ht="30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30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30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30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30" customHeight="1" spans="1:9">
      <c r="A44" s="29" t="str">
        <f>"Fixed Expense For the Year "&amp;IF(Main!B2,TEXT(EDATE(Main!B3,6),"mmmm yyyy"),TEXT(Main!B3+((Main!B5-Main!B3)*6+6),"mmmm yyyy"))&amp;" to "&amp;IF(Main!B2,TEXT(EDATE(Main!B3,9)-1,"mmmm yyyy"),TEXT(Main!B3+((Main!B5-Main!B3)*9+8),"mmmm yyyy"))</f>
        <v>Fixed Expense For the Year July 2025 to October 2025</v>
      </c>
      <c r="B44" s="30"/>
      <c r="C44" s="31"/>
      <c r="D44" s="14"/>
      <c r="E44" s="14"/>
      <c r="F44" s="14"/>
      <c r="G44" s="14"/>
      <c r="H44" s="14"/>
      <c r="I44" s="48"/>
    </row>
    <row r="45" ht="30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30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30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30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30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30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4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30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30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30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30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30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30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30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30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30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30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30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30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30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30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30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30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50.2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30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30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30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30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30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30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30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30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30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30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30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30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30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30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30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30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30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30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30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87">
        <v>0</v>
      </c>
      <c r="D87" s="14"/>
      <c r="E87" s="14"/>
      <c r="F87" s="14"/>
      <c r="G87" s="14"/>
      <c r="H87" s="14"/>
      <c r="I87" s="48"/>
    </row>
    <row r="88" ht="47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8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30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30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87">
        <v>0</v>
      </c>
      <c r="D90" s="14"/>
      <c r="E90" s="68"/>
      <c r="F90" s="14"/>
      <c r="G90" s="14"/>
      <c r="H90" s="14"/>
      <c r="I90" s="48"/>
    </row>
    <row r="91" ht="44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30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30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30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30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30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30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30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INDIRECT("'"&amp;INDIRECT("Main!B12")&amp;"'!C98")+SUM(E118+E145+E172)</f>
        <v>-1900</v>
      </c>
      <c r="D98" s="14"/>
      <c r="E98" s="96"/>
      <c r="F98" s="14"/>
      <c r="G98" s="14"/>
      <c r="H98" s="14"/>
      <c r="I98" s="48"/>
    </row>
    <row r="99" ht="30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INDIRECT("'"&amp;INDIRECT("Main!B12")&amp;"'!C99")+SUM(E119+E146+E173)</f>
        <v>0</v>
      </c>
      <c r="D99" s="14"/>
      <c r="E99" s="14"/>
      <c r="F99" s="14"/>
      <c r="G99" s="14"/>
      <c r="H99" s="14"/>
      <c r="I99" s="48"/>
    </row>
    <row r="100" ht="30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124" cm="1">
        <f ca="1" t="array" ref="C100">INDIRECT("'"&amp;INDIRECT("Main!B12")&amp;"'!C100")+SUM(E120+E147+E174)</f>
        <v>0</v>
      </c>
      <c r="D100" s="14"/>
      <c r="E100" s="14"/>
      <c r="F100" s="14"/>
      <c r="G100" s="14"/>
      <c r="H100" s="14"/>
      <c r="I100" s="48"/>
    </row>
    <row r="101" ht="30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INDIRECT("'"&amp;INDIRECT("Main!B12")&amp;"'!C101")+SUM(E121+E148+E175)</f>
        <v>0</v>
      </c>
      <c r="D101" s="14"/>
      <c r="E101" s="14"/>
      <c r="F101" s="14"/>
      <c r="G101" s="14"/>
      <c r="H101" s="14"/>
      <c r="I101" s="48"/>
    </row>
    <row r="102" ht="30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INDIRECT("'"&amp;INDIRECT("Main!B12")&amp;"'!C102")+SUM(E122+E149+E176)</f>
        <v>0</v>
      </c>
      <c r="D102" s="14"/>
      <c r="E102" s="14"/>
      <c r="F102" s="14"/>
      <c r="G102" s="14"/>
      <c r="H102" s="14"/>
      <c r="I102" s="48"/>
    </row>
    <row r="103" ht="30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INDIRECT("'"&amp;INDIRECT("Main!B12")&amp;"'!C103")+SUM(E123+E150+E177)</f>
        <v>-1083</v>
      </c>
      <c r="D103" s="14"/>
      <c r="E103" s="14"/>
      <c r="F103" s="14"/>
      <c r="G103" s="14"/>
      <c r="H103" s="14"/>
      <c r="I103" s="48"/>
    </row>
    <row r="104" ht="30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INDIRECT("'"&amp;INDIRECT("Main!B12")&amp;"'!C104")+SUM(E124+E151+E178)</f>
        <v>0</v>
      </c>
      <c r="D104" s="14"/>
      <c r="E104" s="14"/>
      <c r="F104" s="14"/>
      <c r="G104" s="14"/>
      <c r="H104" s="14"/>
      <c r="I104" s="48"/>
    </row>
    <row r="105" ht="30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INDIRECT("'"&amp;INDIRECT("Main!B12")&amp;"'!C105")+SUM(E125+E152+E179)</f>
        <v>0</v>
      </c>
      <c r="D105" s="14"/>
      <c r="E105" s="14"/>
      <c r="F105" s="14"/>
      <c r="G105" s="14"/>
      <c r="H105" s="14"/>
      <c r="I105" s="48"/>
    </row>
    <row r="106" ht="30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INDIRECT("'"&amp;INDIRECT("Main!B12")&amp;"'!C106")+SUM(E126+E153+E180)</f>
        <v>0</v>
      </c>
      <c r="D106" s="14"/>
      <c r="E106" s="14"/>
      <c r="F106" s="14"/>
      <c r="G106" s="14"/>
      <c r="H106" s="14"/>
      <c r="I106" s="48"/>
    </row>
    <row r="107" ht="30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INDIRECT("'"&amp;INDIRECT("Main!B12")&amp;"'!C107")+SUM(E127+E154+E181)</f>
        <v>0</v>
      </c>
      <c r="D107" s="14"/>
      <c r="E107" s="14"/>
      <c r="F107" s="14"/>
      <c r="G107" s="14"/>
      <c r="H107" s="14"/>
      <c r="I107" s="48"/>
    </row>
    <row r="108" ht="30" customHeight="1" spans="1:9">
      <c r="A108" s="50"/>
      <c r="B108" s="40" t="s">
        <v>88</v>
      </c>
      <c r="C108" s="37">
        <f ca="1">SUM(C98:C107)</f>
        <v>-2983</v>
      </c>
      <c r="D108" s="14"/>
      <c r="E108" s="14"/>
      <c r="F108" s="14"/>
      <c r="G108" s="14"/>
      <c r="H108" s="14"/>
      <c r="I108" s="48"/>
    </row>
    <row r="109" ht="30" customHeight="1" spans="1:9">
      <c r="A109" s="50"/>
      <c r="B109" s="40" t="s">
        <v>89</v>
      </c>
      <c r="C109" s="37">
        <f ca="1">C108-C96</f>
        <v>-3352.99</v>
      </c>
      <c r="D109" s="14"/>
      <c r="E109" s="14"/>
      <c r="F109" s="14"/>
      <c r="G109" s="14"/>
      <c r="H109" s="14"/>
      <c r="I109" s="48"/>
    </row>
    <row r="110" ht="30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30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30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30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30" customHeight="1" spans="1:9">
      <c r="A114" s="53" t="str">
        <f>"Debts Or Credits For the Comming "&amp;IF(Main!B2,TEXT(EDATE(Main!B3,6),"mmmm dd yyyy"),TEXT(Main!B3+((Main!B5-Main!B3)*6+6),"mmmm dd yyyy"))&amp;" to "&amp;IF(Main!B2,TEXT(EDATE(Main!B3,7)-1,"mmmm dd yyyy"),TEXT(Main!B3+((Main!B5-Main!B3)*7+6),"mmmm dd yyyy"))</f>
        <v>Debts Or Credits For the Comming July 20 2025 to August 19 2025</v>
      </c>
      <c r="B114" s="54"/>
      <c r="C114" s="54"/>
      <c r="D114" s="54"/>
      <c r="E114" s="55"/>
      <c r="F114" s="14"/>
      <c r="G114" s="14"/>
      <c r="H114" s="14"/>
      <c r="I114" s="48"/>
    </row>
    <row r="115" ht="30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30" customHeight="1" spans="1:9">
      <c r="A116" s="56" t="str">
        <f>"Balance Brought Forward From "&amp;IF(Main!B2,TEXT(EDATE(Main!B3,6)-1,"mmmm yyyy"),TEXT(Main!B3+((Main!B5-Main!B3)*6+5),"mmmm yyyy"))</f>
        <v>Balance Brought Forward From July 2025</v>
      </c>
      <c r="B116" s="57"/>
      <c r="C116" s="58"/>
      <c r="D116" s="58"/>
      <c r="E116" s="89" cm="1">
        <f ca="1" t="array" ref="E116">INDIRECT("'"&amp;INDIRECT("Main!B12")&amp;"'!E190")</f>
        <v>434.21</v>
      </c>
      <c r="F116" s="14"/>
      <c r="G116" s="14"/>
      <c r="H116" s="14"/>
      <c r="I116" s="48"/>
    </row>
    <row r="117" ht="30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30" customHeight="1" spans="1:9">
      <c r="A118" s="63"/>
      <c r="B118" s="64"/>
      <c r="C118" s="74" t="s">
        <v>113</v>
      </c>
      <c r="D118" s="74"/>
      <c r="E118" s="37">
        <v>800</v>
      </c>
      <c r="F118" s="14"/>
      <c r="G118" s="14"/>
      <c r="H118" s="14"/>
      <c r="I118" s="48"/>
    </row>
    <row r="119" ht="30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30" customHeight="1" spans="1:9">
      <c r="A120" s="63"/>
      <c r="B120" s="64"/>
      <c r="C120" s="74"/>
      <c r="D120" s="74"/>
      <c r="E120" s="87">
        <v>0</v>
      </c>
      <c r="F120" s="14"/>
      <c r="G120" s="14"/>
      <c r="H120" s="14"/>
      <c r="I120" s="48"/>
    </row>
    <row r="121" ht="30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30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30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30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30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30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30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30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3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30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30" customHeight="1" spans="1:9">
      <c r="A131" s="63"/>
      <c r="B131" s="64"/>
      <c r="C131" s="74"/>
      <c r="D131" s="74"/>
      <c r="E131" s="87">
        <v>0</v>
      </c>
      <c r="F131" s="14"/>
      <c r="G131" s="14"/>
      <c r="H131" s="14"/>
      <c r="I131" s="48"/>
    </row>
    <row r="132" ht="30" customHeight="1" spans="1:9">
      <c r="A132" s="63"/>
      <c r="B132" s="64"/>
      <c r="C132" s="125"/>
      <c r="D132" s="125"/>
      <c r="E132" s="87">
        <v>0</v>
      </c>
      <c r="F132" s="14"/>
      <c r="G132" s="14"/>
      <c r="H132" s="14"/>
      <c r="I132" s="48"/>
    </row>
    <row r="133" ht="30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30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30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30" customHeight="1" spans="1:9">
      <c r="A136" s="80"/>
      <c r="B136" s="81"/>
      <c r="C136" s="82" t="s">
        <v>94</v>
      </c>
      <c r="D136" s="82"/>
      <c r="E136" s="89">
        <f ca="1">(F16+E116)-(SUM(E118:E127)+SUM(E129:E135))</f>
        <v>480.220000000001</v>
      </c>
      <c r="F136" s="14"/>
      <c r="G136" s="14"/>
      <c r="H136" s="14"/>
      <c r="I136" s="48"/>
    </row>
    <row r="137" ht="30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30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30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30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30" customHeight="1" spans="1:9">
      <c r="A141" s="53" t="str">
        <f>"Debts Or Credits For the Comming "&amp;IF(Main!B2,TEXT(EDATE(Main!B3,7),"mmmm dd yyyy"),TEXT(Main!B3+((Main!B5-Main!B3)*7+7),"dd mmmm yyyy"))&amp;" to "&amp;IF(Main!B2,TEXT(EDATE(Main!B3,8)-1,"mmmm dd yyyy"),TEXT(Main!B3+((Main!B5-Main!B3)*8+7),"mmmm dd yyyy"))</f>
        <v>Debts Or Credits For the Comming August 20 2025 to September 19 2025</v>
      </c>
      <c r="B141" s="54"/>
      <c r="C141" s="54"/>
      <c r="D141" s="54"/>
      <c r="E141" s="55"/>
      <c r="F141" s="14"/>
      <c r="G141" s="14"/>
      <c r="H141" s="14"/>
      <c r="I141" s="48"/>
    </row>
    <row r="142" ht="30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30" customHeight="1" spans="1:9">
      <c r="A143" s="56" t="str">
        <f>"Balance Brought Forward From "&amp;IF(Main!B2,TEXT(EDATE(Main!B3,7)-1,"mmmm yyyy"),TEXT(Main!B3+((Main!B5-Main!B3)*7+6),"mmmm yyyy"))</f>
        <v>Balance Brought Forward From August 2025</v>
      </c>
      <c r="B143" s="57"/>
      <c r="C143" s="58"/>
      <c r="D143" s="58"/>
      <c r="E143" s="89">
        <f ca="1">E136</f>
        <v>480.220000000001</v>
      </c>
      <c r="F143" s="14"/>
      <c r="G143" s="14"/>
      <c r="H143" s="14"/>
      <c r="I143" s="48"/>
    </row>
    <row r="144" ht="30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30" customHeight="1" spans="1:9">
      <c r="A145" s="63"/>
      <c r="B145" s="64"/>
      <c r="C145" s="74" t="s">
        <v>113</v>
      </c>
      <c r="D145" s="74"/>
      <c r="E145" s="37">
        <v>800</v>
      </c>
      <c r="F145" s="14"/>
      <c r="G145" s="14"/>
      <c r="H145" s="14"/>
      <c r="I145" s="48"/>
    </row>
    <row r="146" ht="30" customHeight="1" spans="1:9">
      <c r="A146" s="63"/>
      <c r="B146" s="64"/>
      <c r="C146" s="65"/>
      <c r="D146" s="66"/>
      <c r="E146" s="131">
        <v>0</v>
      </c>
      <c r="F146" s="14"/>
      <c r="G146" s="14"/>
      <c r="H146" s="14"/>
      <c r="I146" s="48"/>
    </row>
    <row r="147" ht="30" customHeight="1" spans="1:9">
      <c r="A147" s="63"/>
      <c r="B147" s="64"/>
      <c r="C147" s="74"/>
      <c r="D147" s="74"/>
      <c r="E147" s="87">
        <v>0</v>
      </c>
      <c r="F147" s="14"/>
      <c r="G147" s="14"/>
      <c r="H147" s="14"/>
      <c r="I147" s="48"/>
    </row>
    <row r="148" ht="30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30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30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30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30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30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30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30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72" customHeight="1" spans="1:9">
      <c r="A156" s="63"/>
      <c r="B156" s="64"/>
      <c r="C156" s="73" t="s">
        <v>116</v>
      </c>
      <c r="D156" s="74"/>
      <c r="E156" s="87">
        <v>960</v>
      </c>
      <c r="F156" s="14"/>
      <c r="G156" s="14"/>
      <c r="H156" s="14"/>
      <c r="I156" s="48"/>
    </row>
    <row r="157" ht="30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30" customHeight="1" spans="1:9">
      <c r="A158" s="63"/>
      <c r="B158" s="64"/>
      <c r="C158" s="126"/>
      <c r="D158" s="126"/>
      <c r="E158" s="87">
        <v>0</v>
      </c>
      <c r="F158" s="14"/>
      <c r="G158" s="14"/>
      <c r="H158" s="14"/>
      <c r="I158" s="48"/>
    </row>
    <row r="159" ht="30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30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30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30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30" customHeight="1" spans="1:9">
      <c r="A163" s="80"/>
      <c r="B163" s="81"/>
      <c r="C163" s="82" t="s">
        <v>94</v>
      </c>
      <c r="D163" s="82"/>
      <c r="E163" s="92">
        <f ca="1">(F28+E143)-(SUM(E145:E154)+SUM(E156:E162))</f>
        <v>385.230000000001</v>
      </c>
      <c r="F163" s="14"/>
      <c r="G163" s="14"/>
      <c r="H163" s="14"/>
      <c r="I163" s="48"/>
    </row>
    <row r="164" ht="30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30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30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30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30" customHeight="1" spans="1:9">
      <c r="A168" s="53" t="str">
        <f>"Debts Or Credits For the Comming "&amp;IF(Main!B2,TEXT(EDATE(Main!B3,8),"mmmm dd yyyy"),TEXT(Main!B3+((Main!B5-Main!B3)*8+8),"mmmm dd yyyy"))&amp;" to "&amp;IF(Main!B2,TEXT(EDATE(Main!B3,9)-1,"mmmm dd yyyy"),TEXT(Main!B3+((Main!B5-Main!B3)*9+8),"mmmm dd yyyy"))</f>
        <v>Debts Or Credits For the Comming September 20 2025 to October 19 2025</v>
      </c>
      <c r="B168" s="54"/>
      <c r="C168" s="54"/>
      <c r="D168" s="54"/>
      <c r="E168" s="55"/>
      <c r="F168" s="14"/>
      <c r="G168" s="14"/>
      <c r="H168" s="14"/>
      <c r="I168" s="48"/>
    </row>
    <row r="169" ht="30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30" customHeight="1" spans="1:9">
      <c r="A170" s="56" t="str">
        <f>"Balance Brought Forward From "&amp;IF(Main!B2,TEXT(EDATE(Main!B3,8)-1,"mmmm yyyy"),TEXT(Main!B3+((Main!B5-Main!B3)*8+7),"mmmm yyyy"))</f>
        <v>Balance Brought Forward From September 2025</v>
      </c>
      <c r="B170" s="57"/>
      <c r="C170" s="58"/>
      <c r="D170" s="58"/>
      <c r="E170" s="92">
        <f ca="1">E163</f>
        <v>385.230000000001</v>
      </c>
      <c r="F170" s="14"/>
      <c r="G170" s="14"/>
      <c r="H170" s="14"/>
      <c r="I170" s="48"/>
    </row>
    <row r="171" ht="30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30" customHeight="1" spans="1:9">
      <c r="A172" s="63"/>
      <c r="B172" s="64"/>
      <c r="C172" s="74" t="s">
        <v>113</v>
      </c>
      <c r="D172" s="74"/>
      <c r="E172" s="37">
        <v>800</v>
      </c>
      <c r="F172" s="14"/>
      <c r="G172" s="14"/>
      <c r="H172" s="14"/>
      <c r="I172" s="48"/>
    </row>
    <row r="173" ht="30" customHeight="1" spans="1:9">
      <c r="A173" s="63"/>
      <c r="B173" s="64"/>
      <c r="C173" s="127"/>
      <c r="D173" s="128"/>
      <c r="E173" s="131">
        <v>0</v>
      </c>
      <c r="F173" s="14"/>
      <c r="G173" s="14"/>
      <c r="H173" s="14"/>
      <c r="I173" s="48"/>
    </row>
    <row r="174" ht="30" customHeight="1" spans="1:9">
      <c r="A174" s="63"/>
      <c r="B174" s="64"/>
      <c r="C174" s="129"/>
      <c r="D174" s="129"/>
      <c r="E174" s="87">
        <v>0</v>
      </c>
      <c r="F174" s="14"/>
      <c r="G174" s="14"/>
      <c r="H174" s="14"/>
      <c r="I174" s="48"/>
    </row>
    <row r="175" ht="30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30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30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30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30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30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30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30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45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30.75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30.75" customHeight="1" spans="1:9">
      <c r="A185" s="63"/>
      <c r="B185" s="64"/>
      <c r="C185" s="129"/>
      <c r="D185" s="129"/>
      <c r="E185" s="87">
        <v>0</v>
      </c>
      <c r="F185" s="14"/>
      <c r="G185" s="14"/>
      <c r="H185" s="14"/>
      <c r="I185" s="48"/>
    </row>
    <row r="186" ht="30" customHeight="1" spans="1:9">
      <c r="A186" s="63"/>
      <c r="B186" s="64"/>
      <c r="C186" s="129"/>
      <c r="D186" s="129"/>
      <c r="E186" s="87">
        <v>0</v>
      </c>
      <c r="F186" s="14"/>
      <c r="G186" s="14"/>
      <c r="H186" s="14"/>
      <c r="I186" s="48"/>
    </row>
    <row r="187" ht="30" customHeight="1" spans="1:9">
      <c r="A187" s="63"/>
      <c r="B187" s="64"/>
      <c r="C187" s="130"/>
      <c r="D187" s="129"/>
      <c r="E187" s="87">
        <v>0</v>
      </c>
      <c r="F187" s="14"/>
      <c r="G187" s="14"/>
      <c r="H187" s="14"/>
      <c r="I187" s="48"/>
    </row>
    <row r="188" ht="30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30" customHeight="1" spans="1:9">
      <c r="A190" s="80"/>
      <c r="B190" s="81"/>
      <c r="C190" s="82" t="s">
        <v>94</v>
      </c>
      <c r="D190" s="82"/>
      <c r="E190" s="92">
        <f ca="1">(F40+E170)-(SUM(E172:E181)+SUM(E183:E189))</f>
        <v>431.240000000001</v>
      </c>
      <c r="F190" s="14"/>
      <c r="G190" s="14"/>
      <c r="H190" s="14"/>
      <c r="I190" s="48"/>
    </row>
    <row r="191" ht="30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30" customHeight="1"/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44:B161"/>
    <mergeCell ref="A171:B188"/>
    <mergeCell ref="A117:B134"/>
  </mergeCells>
  <conditionalFormatting sqref="C5">
    <cfRule type="cellIs" dxfId="0" priority="52" operator="greaterThanOrEqual">
      <formula>0</formula>
    </cfRule>
    <cfRule type="cellIs" dxfId="1" priority="51" operator="lessThan">
      <formula>0</formula>
    </cfRule>
  </conditionalFormatting>
  <conditionalFormatting sqref="C75">
    <cfRule type="cellIs" dxfId="0" priority="95" operator="equal">
      <formula>0</formula>
    </cfRule>
    <cfRule type="cellIs" dxfId="1" priority="94" operator="greaterThan">
      <formula>0</formula>
    </cfRule>
  </conditionalFormatting>
  <conditionalFormatting sqref="C77">
    <cfRule type="cellIs" dxfId="0" priority="93" operator="equal">
      <formula>0</formula>
    </cfRule>
    <cfRule type="cellIs" dxfId="1" priority="92" operator="greaterThan">
      <formula>0</formula>
    </cfRule>
  </conditionalFormatting>
  <conditionalFormatting sqref="C108">
    <cfRule type="cellIs" dxfId="0" priority="54" operator="greaterThanOrEqual">
      <formula>0</formula>
    </cfRule>
    <cfRule type="cellIs" dxfId="1" priority="53" operator="lessThan">
      <formula>0</formula>
    </cfRule>
  </conditionalFormatting>
  <conditionalFormatting sqref="C109">
    <cfRule type="cellIs" dxfId="0" priority="50" operator="greaterThanOrEqual">
      <formula>0</formula>
    </cfRule>
    <cfRule type="cellIs" dxfId="1" priority="49" operator="lessThan">
      <formula>0</formula>
    </cfRule>
  </conditionalFormatting>
  <conditionalFormatting sqref="E116">
    <cfRule type="cellIs" dxfId="3" priority="56" operator="greaterThanOrEqual">
      <formula>0</formula>
    </cfRule>
    <cfRule type="cellIs" dxfId="4" priority="55" operator="lessThan">
      <formula>0</formula>
    </cfRule>
  </conditionalFormatting>
  <conditionalFormatting sqref="E118">
    <cfRule type="cellIs" dxfId="0" priority="10" operator="equal">
      <formula>0</formula>
    </cfRule>
    <cfRule type="cellIs" dxfId="1" priority="9" operator="greaterThan">
      <formula>0</formula>
    </cfRule>
  </conditionalFormatting>
  <conditionalFormatting sqref="E120">
    <cfRule type="cellIs" dxfId="6" priority="44" operator="equal">
      <formula>0</formula>
    </cfRule>
    <cfRule type="cellIs" dxfId="5" priority="43" operator="equal">
      <formula>0</formula>
    </cfRule>
  </conditionalFormatting>
  <conditionalFormatting sqref="E136">
    <cfRule type="cellIs" dxfId="3" priority="87" operator="greaterThanOrEqual">
      <formula>0</formula>
    </cfRule>
    <cfRule type="cellIs" dxfId="4" priority="86" operator="lessThan">
      <formula>0</formula>
    </cfRule>
  </conditionalFormatting>
  <conditionalFormatting sqref="E143">
    <cfRule type="cellIs" dxfId="3" priority="74" operator="greaterThanOrEqual">
      <formula>0</formula>
    </cfRule>
    <cfRule type="cellIs" dxfId="4" priority="73" operator="lessThan">
      <formula>0</formula>
    </cfRule>
  </conditionalFormatting>
  <conditionalFormatting sqref="E145">
    <cfRule type="cellIs" dxfId="0" priority="7" operator="equal">
      <formula>0</formula>
    </cfRule>
    <cfRule type="cellIs" dxfId="1" priority="6" operator="greaterThan">
      <formula>0</formula>
    </cfRule>
  </conditionalFormatting>
  <conditionalFormatting sqref="E146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E147">
    <cfRule type="cellIs" dxfId="6" priority="34" operator="equal">
      <formula>0</formula>
    </cfRule>
    <cfRule type="cellIs" dxfId="5" priority="33" operator="equal">
      <formula>0</formula>
    </cfRule>
  </conditionalFormatting>
  <conditionalFormatting sqref="E156">
    <cfRule type="cellIs" dxfId="5" priority="4" operator="equal">
      <formula>0</formula>
    </cfRule>
  </conditionalFormatting>
  <conditionalFormatting sqref="E157">
    <cfRule type="cellIs" dxfId="5" priority="5" operator="equal">
      <formula>0</formula>
    </cfRule>
  </conditionalFormatting>
  <conditionalFormatting sqref="E158">
    <cfRule type="cellIs" dxfId="6" priority="28" operator="equal">
      <formula>0</formula>
    </cfRule>
    <cfRule type="cellIs" dxfId="5" priority="27" operator="equal">
      <formula>0</formula>
    </cfRule>
  </conditionalFormatting>
  <conditionalFormatting sqref="E163">
    <cfRule type="cellIs" dxfId="3" priority="76" operator="greaterThanOrEqual">
      <formula>0</formula>
    </cfRule>
    <cfRule type="cellIs" dxfId="4" priority="75" operator="lessThan">
      <formula>0</formula>
    </cfRule>
  </conditionalFormatting>
  <conditionalFormatting sqref="E170">
    <cfRule type="cellIs" dxfId="3" priority="68" operator="greaterThanOrEqual">
      <formula>0</formula>
    </cfRule>
    <cfRule type="cellIs" dxfId="4" priority="67" operator="lessThan">
      <formula>0</formula>
    </cfRule>
  </conditionalFormatting>
  <conditionalFormatting sqref="E172">
    <cfRule type="cellIs" dxfId="0" priority="3" operator="equal">
      <formula>0</formula>
    </cfRule>
    <cfRule type="cellIs" dxfId="1" priority="2" operator="greaterThan">
      <formula>0</formula>
    </cfRule>
  </conditionalFormatting>
  <conditionalFormatting sqref="E173">
    <cfRule type="cellIs" dxfId="0" priority="26" operator="equal">
      <formula>0</formula>
    </cfRule>
    <cfRule type="cellIs" dxfId="1" priority="25" operator="greaterThan">
      <formula>0</formula>
    </cfRule>
  </conditionalFormatting>
  <conditionalFormatting sqref="E174">
    <cfRule type="cellIs" dxfId="6" priority="22" operator="equal">
      <formula>0</formula>
    </cfRule>
    <cfRule type="cellIs" dxfId="5" priority="21" operator="equal">
      <formula>0</formula>
    </cfRule>
  </conditionalFormatting>
  <conditionalFormatting sqref="E185">
    <cfRule type="cellIs" dxfId="6" priority="16" operator="equal">
      <formula>0</formula>
    </cfRule>
    <cfRule type="cellIs" dxfId="5" priority="15" operator="equal">
      <formula>0</formula>
    </cfRule>
  </conditionalFormatting>
  <conditionalFormatting sqref="E186">
    <cfRule type="cellIs" dxfId="6" priority="14" operator="equal">
      <formula>0</formula>
    </cfRule>
    <cfRule type="cellIs" dxfId="5" priority="13" operator="equal">
      <formula>0</formula>
    </cfRule>
  </conditionalFormatting>
  <conditionalFormatting sqref="E187">
    <cfRule type="cellIs" dxfId="6" priority="12" operator="equal">
      <formula>0</formula>
    </cfRule>
    <cfRule type="cellIs" dxfId="5" priority="11" operator="equal">
      <formula>0</formula>
    </cfRule>
  </conditionalFormatting>
  <conditionalFormatting sqref="E190">
    <cfRule type="cellIs" dxfId="3" priority="70" operator="greaterThanOrEqual">
      <formula>0</formula>
    </cfRule>
    <cfRule type="cellIs" dxfId="4" priority="69" operator="lessThan">
      <formula>0</formula>
    </cfRule>
  </conditionalFormatting>
  <conditionalFormatting sqref="C57:C66">
    <cfRule type="cellIs" dxfId="0" priority="99" operator="equal">
      <formula>0</formula>
    </cfRule>
    <cfRule type="cellIs" dxfId="1" priority="98" operator="greaterThan">
      <formula>0</formula>
    </cfRule>
  </conditionalFormatting>
  <conditionalFormatting sqref="C68:C69">
    <cfRule type="cellIs" dxfId="0" priority="97" operator="equal">
      <formula>0</formula>
    </cfRule>
    <cfRule type="cellIs" dxfId="1" priority="96" operator="greaterThan">
      <formula>0</formula>
    </cfRule>
  </conditionalFormatting>
  <conditionalFormatting sqref="C70:C74">
    <cfRule type="cellIs" dxfId="0" priority="85" operator="equal">
      <formula>0</formula>
    </cfRule>
    <cfRule type="cellIs" dxfId="1" priority="84" operator="greaterThan">
      <formula>0</formula>
    </cfRule>
  </conditionalFormatting>
  <conditionalFormatting sqref="C80:C84">
    <cfRule type="cellIs" dxfId="0" priority="83" operator="equal">
      <formula>0</formula>
    </cfRule>
    <cfRule type="cellIs" dxfId="1" priority="82" operator="greaterThan">
      <formula>0</formula>
    </cfRule>
  </conditionalFormatting>
  <conditionalFormatting sqref="C87:C90">
    <cfRule type="cellIs" dxfId="5" priority="48" operator="equal">
      <formula>0</formula>
    </cfRule>
    <cfRule type="cellIs" dxfId="6" priority="47" operator="equal">
      <formula>0</formula>
    </cfRule>
  </conditionalFormatting>
  <conditionalFormatting sqref="C91:C94">
    <cfRule type="cellIs" dxfId="0" priority="81" operator="equal">
      <formula>0</formula>
    </cfRule>
    <cfRule type="cellIs" dxfId="1" priority="80" operator="greaterThan">
      <formula>0</formula>
    </cfRule>
  </conditionalFormatting>
  <conditionalFormatting sqref="C98:C107">
    <cfRule type="cellIs" dxfId="1" priority="64" operator="lessThan">
      <formula>0</formula>
    </cfRule>
    <cfRule type="cellIs" dxfId="2" priority="63" operator="greaterThanOrEqual">
      <formula>0</formula>
    </cfRule>
  </conditionalFormatting>
  <conditionalFormatting sqref="E129:E130">
    <cfRule type="cellIs" dxfId="5" priority="8" operator="equal">
      <formula>0</formula>
    </cfRule>
  </conditionalFormatting>
  <conditionalFormatting sqref="E131:E132">
    <cfRule type="cellIs" dxfId="6" priority="40" operator="equal">
      <formula>0</formula>
    </cfRule>
    <cfRule type="cellIs" dxfId="5" priority="39" operator="equal">
      <formula>0</formula>
    </cfRule>
  </conditionalFormatting>
  <conditionalFormatting sqref="E148:E15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E175:E181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78:C79 C95:C96">
    <cfRule type="cellIs" dxfId="0" priority="101" operator="equal">
      <formula>0</formula>
    </cfRule>
  </conditionalFormatting>
  <conditionalFormatting sqref="C47:C55 C85 C78:C79 C95:C96 E144 E155 E159:E162">
    <cfRule type="cellIs" dxfId="1" priority="100" operator="greaterThan">
      <formula>0</formula>
    </cfRule>
  </conditionalFormatting>
  <conditionalFormatting sqref="E117 E128 E133:E135">
    <cfRule type="cellIs" dxfId="0" priority="89" operator="equal">
      <formula>0</formula>
    </cfRule>
    <cfRule type="cellIs" dxfId="1" priority="88" operator="greaterThan">
      <formula>0</formula>
    </cfRule>
  </conditionalFormatting>
  <conditionalFormatting sqref="E119 E121:E127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E144 E155 E159:E162">
    <cfRule type="cellIs" dxfId="2" priority="77" operator="equal">
      <formula>0</formula>
    </cfRule>
  </conditionalFormatting>
  <conditionalFormatting sqref="E171 E182 E188:E189">
    <cfRule type="cellIs" dxfId="2" priority="72" operator="equal">
      <formula>0</formula>
    </cfRule>
    <cfRule type="cellIs" dxfId="1" priority="71" operator="greaterThan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59" workbookViewId="0">
      <selection activeCell="C103" sqref="C103"/>
    </sheetView>
  </sheetViews>
  <sheetFormatPr defaultColWidth="9" defaultRowHeight="17.6"/>
  <cols>
    <col min="1" max="1" width="20.625" customWidth="1"/>
    <col min="2" max="2" width="24.25" customWidth="1"/>
    <col min="3" max="3" width="28.125" customWidth="1"/>
    <col min="4" max="7" width="20.625" customWidth="1"/>
  </cols>
  <sheetData>
    <row r="1" ht="24.75" customHeight="1" spans="1:9">
      <c r="A1" s="1" t="str">
        <f>"Forecasts For the Year "&amp;IF(Main!B2,TEXT(EDATE(Main!B3,9),"mmmm yyyy"),TEXT(Main!B3+((Main!B5-Main!B3)*9+9),"mmmm yyyy"))&amp;" to "&amp;IF(Main!B2,TEXT(EDATE(Main!B3,12)-1,"mmmm yyyy"),TEXT(Main!B3+((Main!B5-Main!B3)*12+11),"mmmm yyyy"))</f>
        <v>Forecasts For the Year October 2025 to January 2026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307.270000000002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385.490000000002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-683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IF(Main!B2,TEXT(EDATE(Main!B3,9),"dd mmmm yyyy"),TEXT(Main!B3+((Main!B5-Main!B3)*9+9),"dd mmmm yyyy"))&amp;" - "&amp;IF(Main!B2,TEXT(EDATE(Main!B3,10)-1,"dd mmmm yyyy"),TEXT(Main!B3+((Main!B5-Main!B3)*10+9),"dd mmmm yyyy"))&amp;" / "&amp;" (Revenue / Deferred Debts Or Expenses)"</f>
        <v>20 October 2025 - 19 November 2025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110"/>
      <c r="D10" s="21" t="s">
        <v>99</v>
      </c>
      <c r="E10" s="111"/>
      <c r="F10" s="7">
        <v>2435</v>
      </c>
      <c r="G10" s="7"/>
      <c r="H10" s="14"/>
      <c r="I10" s="48"/>
    </row>
    <row r="11" ht="24.75" customHeight="1" spans="1:9">
      <c r="A11" s="101"/>
      <c r="B11" s="20"/>
      <c r="C11" s="110"/>
      <c r="D11" s="21"/>
      <c r="E11" s="111"/>
      <c r="F11" s="7">
        <v>0</v>
      </c>
      <c r="G11" s="7"/>
      <c r="H11" s="14"/>
      <c r="I11" s="48"/>
    </row>
    <row r="12" ht="24" customHeight="1" spans="1:9">
      <c r="A12" s="19"/>
      <c r="B12" s="22"/>
      <c r="C12" s="23"/>
      <c r="D12" s="22"/>
      <c r="E12" s="23"/>
      <c r="F12" s="43">
        <v>0</v>
      </c>
      <c r="G12" s="44"/>
      <c r="H12" s="14"/>
      <c r="I12" s="48"/>
    </row>
    <row r="13" ht="25.5" customHeight="1" spans="1:9">
      <c r="A13" s="19"/>
      <c r="B13" s="22"/>
      <c r="C13" s="23"/>
      <c r="D13" s="22"/>
      <c r="E13" s="23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IF(Main!B2,TEXT(EDATE(Main!B3,10),"dd mmmm yyyy"),TEXT(Main!B3+((Main!B5-Main!B3)*10+10),"dd mmmm yyyy"))&amp;" - "&amp;IF(Main!B2,TEXT(EDATE(Main!B3,11)-1,"dd mmmm yyyy"),TEXT(Main!B3+((Main!B5-Main!B3)*11+10),"dd mmmm yyyy"))&amp;" / "&amp;" (Revenue / Deferred Debts Or Expenses)"</f>
        <v>20 November 2025 - 19 December 2025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01"/>
      <c r="B25" s="20"/>
      <c r="C25" s="20"/>
      <c r="D25" s="21"/>
      <c r="E25" s="21"/>
      <c r="F25" s="7">
        <v>0</v>
      </c>
      <c r="G25" s="7"/>
      <c r="H25" s="14"/>
      <c r="I25" s="48"/>
    </row>
    <row r="26" ht="24.75" customHeight="1" spans="1:9">
      <c r="A26" s="19"/>
      <c r="B26" s="102"/>
      <c r="C26" s="103"/>
      <c r="D26" s="102"/>
      <c r="E26" s="103"/>
      <c r="F26" s="104">
        <v>0</v>
      </c>
      <c r="G26" s="105"/>
      <c r="H26" s="14"/>
      <c r="I26" s="48"/>
    </row>
    <row r="27" ht="24.75" customHeight="1" spans="1:9">
      <c r="A27" s="19"/>
      <c r="B27" s="22"/>
      <c r="C27" s="23"/>
      <c r="D27" s="22"/>
      <c r="E27" s="23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IF(Main!B2,TEXT(EDATE(Main!B3,11),"dd mmmm yyyy"),TEXT(Main!B3+((Main!B5-Main!B3)*11+11),"dd mmmm yyyy"))&amp;" - "&amp;IF(Main!B2,TEXT(EDATE(Main!B3,12)-1,"dd mmmm yyyy"),TEXT(Main!B3+((Main!B5-Main!B3)*12+11),"dd mmmm yyyy"))&amp;" / "&amp;" (Revenue / Deferred Debts Or Expenses)"</f>
        <v>20 December 2025 - 19 January 2026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111" t="s">
        <v>99</v>
      </c>
      <c r="E34" s="112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111"/>
      <c r="E35" s="112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111"/>
      <c r="E36" s="112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2"/>
      <c r="E37" s="23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"&amp;IF(Main!B2,TEXT(EDATE(Main!B3,9),"mmmm yyyy"),TEXT(Main!B3+((Main!B5-Main!B3)*9+9),"mmmm yyyy"))&amp;" to "&amp;IF(Main!B2,TEXT(EDATE(Main!B3,12)-1,"mmmm yyyy"),TEXT(Main!B3+((Main!B5-Main!B3)*12+11),"mmmm yyyy"))</f>
        <v>Fixed Expense For the Year October 2025 to January 2026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8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8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INDIRECT("'"&amp;INDIRECT("Main!B15")&amp;"'!C98")+SUM(E118+E145+E172)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INDIRECT("'"&amp;INDIRECT("Main!B15")&amp;"'!C99")+SUM(E119+E146+E173)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INDIRECT("'"&amp;INDIRECT("Main!B15")&amp;"'!C100")+SUM(E120+E147+E174)</f>
        <v>0</v>
      </c>
      <c r="D100" s="14"/>
      <c r="E100" s="14"/>
      <c r="F100" s="14"/>
      <c r="G100" s="14"/>
      <c r="H100" s="14"/>
      <c r="I100" s="48"/>
    </row>
    <row r="101" ht="43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INDIRECT("'"&amp;INDIRECT("Main!B15")&amp;"'!C101")+SUM(E121+E148+E175)</f>
        <v>0</v>
      </c>
      <c r="D101" s="14"/>
      <c r="E101" s="14"/>
      <c r="F101" s="14"/>
      <c r="G101" s="14"/>
      <c r="H101" s="14"/>
      <c r="I101" s="48"/>
    </row>
    <row r="102" ht="46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INDIRECT("'"&amp;INDIRECT("Main!B15")&amp;"'!C102")+SUM(E122+E149+E176)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INDIRECT("'"&amp;INDIRECT("Main!B15")&amp;"'!C103")+SUM(E123+E150+E177)</f>
        <v>-683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INDIRECT("'"&amp;INDIRECT("Main!B15")&amp;"'!C104")+SUM(E124+E151+E178)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INDIRECT("'"&amp;INDIRECT("Main!B15")&amp;"'!C105")+SUM(E125+E152+E179)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INDIRECT("'"&amp;INDIRECT("Main!B15")&amp;"'!C106")+SUM(E126+E153+E180)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INDIRECT("'"&amp;INDIRECT("Main!B15")&amp;"'!C107")+SUM(E127+E154+E181)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-683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-1052.99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"&amp;IF(Main!B2,TEXT(EDATE(Main!B3,9),"mmmm dd yyyy"),TEXT(Main!B3+((Main!B5-Main!B3)*9+9),"mmmm dd yyyy"))&amp;" to "&amp;IF(Main!B2,TEXT(EDATE(Main!B3,10)-1,"mmmm dd yyyy"),TEXT(Main!B3+((Main!B5-Main!B3)*10+9),"mmmm dd yyyy"))</f>
        <v>Debts Or Credits For the Comming October 20 2025 to November 19 2025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"&amp;IF(Main!B2,TEXT(EDATE(Main!B3,9)-1,"mmmm yyyy"),TEXT(Main!B3+((Main!B5-Main!B3)*9+8),"mmmm yyyy"))</f>
        <v>Balance Brought Forward From October 2025</v>
      </c>
      <c r="B116" s="57"/>
      <c r="C116" s="58"/>
      <c r="D116" s="58"/>
      <c r="E116" s="71" cm="1">
        <f ca="1" t="array" ref="E116">INDIRECT("'"&amp;INDIRECT("Main!B15")&amp;"'!E190")</f>
        <v>431.240000000001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74" t="s">
        <v>113</v>
      </c>
      <c r="D118" s="74"/>
      <c r="E118" s="37">
        <v>800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73"/>
      <c r="D120" s="73"/>
      <c r="E120" s="113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47" customHeight="1" spans="1:9">
      <c r="A129" s="63"/>
      <c r="B129" s="64"/>
      <c r="C129" s="73" t="s">
        <v>106</v>
      </c>
      <c r="D129" s="74"/>
      <c r="E129" s="87">
        <v>910</v>
      </c>
      <c r="F129" s="14"/>
      <c r="G129" s="14"/>
      <c r="H129" s="14"/>
      <c r="I129" s="48"/>
    </row>
    <row r="130" ht="24.75" customHeight="1" spans="1:9">
      <c r="A130" s="63"/>
      <c r="B130" s="64"/>
      <c r="C130" s="74" t="s">
        <v>114</v>
      </c>
      <c r="D130" s="74"/>
      <c r="E130" s="87">
        <v>400</v>
      </c>
      <c r="F130" s="14"/>
      <c r="G130" s="14"/>
      <c r="H130" s="14"/>
      <c r="I130" s="48"/>
    </row>
    <row r="131" ht="25.5" customHeight="1" spans="1:9">
      <c r="A131" s="63"/>
      <c r="B131" s="64"/>
      <c r="C131" s="97"/>
      <c r="D131" s="98"/>
      <c r="E131" s="113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386.250000000001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"&amp;IF(Main!B2,TEXT(EDATE(Main!B3,10),"mmmm dd yyyy"),TEXT(Main!B3+((Main!B5-Main!B3)*10+10),"dd mmmm yyyy"))&amp;" to "&amp;IF(Main!B2,TEXT(EDATE(Main!B3,11)-1,"mmmm dd yyyy"),TEXT(Main!B3+((Main!B5-Main!B3)*11+10),"mmmm dd yyyy"))</f>
        <v>Debts Or Credits For the Comming November 20 2025 to December 19 2025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"&amp;IF(Main!B2,TEXT(EDATE(Main!B3,10)-1,"mmmm yyyy"),TEXT(Main!B3+((Main!B5-Main!B3)*10+9),"mmmm yyyy"))</f>
        <v>Balance Brought Forward From November 2025</v>
      </c>
      <c r="B143" s="57"/>
      <c r="C143" s="58"/>
      <c r="D143" s="58"/>
      <c r="E143" s="89">
        <f ca="1">E136</f>
        <v>386.250000000001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74" t="s">
        <v>113</v>
      </c>
      <c r="D145" s="74"/>
      <c r="E145" s="37">
        <v>800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67" customHeight="1" spans="1:9">
      <c r="A156" s="63"/>
      <c r="B156" s="64"/>
      <c r="C156" s="73" t="s">
        <v>110</v>
      </c>
      <c r="D156" s="74"/>
      <c r="E156" s="87">
        <v>469</v>
      </c>
      <c r="F156" s="14"/>
      <c r="G156" s="14"/>
      <c r="H156" s="14"/>
      <c r="I156" s="48"/>
    </row>
    <row r="157" ht="27.75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31.5" customHeight="1" spans="1:9">
      <c r="A158" s="63"/>
      <c r="B158" s="64"/>
      <c r="C158" s="114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382.260000000002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"&amp;IF(Main!B2,TEXT(EDATE(Main!B3,11),"mmmm dd yyyy"),TEXT(Main!B3+((Main!B5-Main!B3)*11+11),"mmmm dd yyyy"))&amp;" to "&amp;IF(Main!B2,TEXT(EDATE(Main!B3,12)-1,"mmmm dd yyyy"),TEXT(Main!B3+((Main!B5-Main!B3)*12+11),"mmmm dd yyyy"))</f>
        <v>Debts Or Credits For the Comming December 20 2025 to January 19 2026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"&amp;IF(Main!B2,TEXT(EDATE(Main!B3,11)-1,"mmmm yyyy"),TEXT(Main!B3+((Main!B5-Main!B3)*11+10),"mmmm yyyy"))</f>
        <v>Balance Brought Forward From December 2025</v>
      </c>
      <c r="B170" s="57"/>
      <c r="C170" s="58"/>
      <c r="D170" s="58"/>
      <c r="E170" s="92">
        <f ca="1">E163</f>
        <v>382.260000000002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74" t="s">
        <v>117</v>
      </c>
      <c r="D172" s="74"/>
      <c r="E172" s="37">
        <v>300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 t="s">
        <v>118</v>
      </c>
      <c r="D177" s="66"/>
      <c r="E177" s="37">
        <v>400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45" customHeight="1" spans="1:9">
      <c r="A183" s="63"/>
      <c r="B183" s="64"/>
      <c r="C183" s="73" t="s">
        <v>119</v>
      </c>
      <c r="D183" s="74"/>
      <c r="E183" s="87">
        <v>1040</v>
      </c>
      <c r="F183" s="14"/>
      <c r="G183" s="14"/>
      <c r="H183" s="14"/>
      <c r="I183" s="48"/>
    </row>
    <row r="184" ht="28.5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307.270000000002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43" operator="greaterThanOrEqual">
      <formula>0</formula>
    </cfRule>
    <cfRule type="cellIs" dxfId="1" priority="42" operator="lessThan">
      <formula>0</formula>
    </cfRule>
  </conditionalFormatting>
  <conditionalFormatting sqref="C75">
    <cfRule type="cellIs" dxfId="0" priority="88" operator="equal">
      <formula>0</formula>
    </cfRule>
    <cfRule type="cellIs" dxfId="1" priority="87" operator="greaterThan">
      <formula>0</formula>
    </cfRule>
  </conditionalFormatting>
  <conditionalFormatting sqref="C77">
    <cfRule type="cellIs" dxfId="0" priority="86" operator="equal">
      <formula>0</formula>
    </cfRule>
    <cfRule type="cellIs" dxfId="1" priority="85" operator="greaterThan">
      <formula>0</formula>
    </cfRule>
  </conditionalFormatting>
  <conditionalFormatting sqref="C90">
    <cfRule type="cellIs" dxfId="6" priority="39" operator="equal">
      <formula>0</formula>
    </cfRule>
  </conditionalFormatting>
  <conditionalFormatting sqref="C91">
    <cfRule type="cellIs" dxfId="0" priority="45" operator="equal">
      <formula>0</formula>
    </cfRule>
    <cfRule type="cellIs" dxfId="1" priority="44" operator="greaterThan">
      <formula>0</formula>
    </cfRule>
  </conditionalFormatting>
  <conditionalFormatting sqref="C108">
    <cfRule type="cellIs" dxfId="0" priority="41" operator="greaterThanOrEqual">
      <formula>0</formula>
    </cfRule>
    <cfRule type="cellIs" dxfId="1" priority="40" operator="lessThan">
      <formula>0</formula>
    </cfRule>
  </conditionalFormatting>
  <conditionalFormatting sqref="C109">
    <cfRule type="cellIs" dxfId="0" priority="72" operator="greaterThanOrEqual">
      <formula>0</formula>
    </cfRule>
    <cfRule type="cellIs" dxfId="1" priority="71" operator="lessThan">
      <formula>0</formula>
    </cfRule>
  </conditionalFormatting>
  <conditionalFormatting sqref="E116">
    <cfRule type="cellIs" dxfId="3" priority="49" operator="greaterThanOrEqual">
      <formula>0</formula>
    </cfRule>
    <cfRule type="cellIs" dxfId="4" priority="48" operator="lessThan">
      <formula>0</formula>
    </cfRule>
  </conditionalFormatting>
  <conditionalFormatting sqref="E118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E119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20">
    <cfRule type="cellIs" dxfId="5" priority="34" operator="equal">
      <formula>0</formula>
    </cfRule>
  </conditionalFormatting>
  <conditionalFormatting sqref="E129">
    <cfRule type="cellIs" dxfId="5" priority="12" operator="equal">
      <formula>0</formula>
    </cfRule>
  </conditionalFormatting>
  <conditionalFormatting sqref="E130">
    <cfRule type="cellIs" dxfId="5" priority="13" operator="equal">
      <formula>0</formula>
    </cfRule>
  </conditionalFormatting>
  <conditionalFormatting sqref="E131">
    <cfRule type="cellIs" dxfId="6" priority="30" operator="equal">
      <formula>0</formula>
    </cfRule>
    <cfRule type="cellIs" dxfId="5" priority="29" operator="equal">
      <formula>0</formula>
    </cfRule>
  </conditionalFormatting>
  <conditionalFormatting sqref="E136">
    <cfRule type="cellIs" dxfId="3" priority="80" operator="greaterThanOrEqual">
      <formula>0</formula>
    </cfRule>
    <cfRule type="cellIs" dxfId="4" priority="79" operator="lessThan">
      <formula>0</formula>
    </cfRule>
  </conditionalFormatting>
  <conditionalFormatting sqref="E143">
    <cfRule type="cellIs" dxfId="3" priority="67" operator="greaterThanOrEqual">
      <formula>0</formula>
    </cfRule>
    <cfRule type="cellIs" dxfId="4" priority="66" operator="lessThan">
      <formula>0</formula>
    </cfRule>
  </conditionalFormatting>
  <conditionalFormatting sqref="E145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E158">
    <cfRule type="cellIs" dxfId="1" priority="27" operator="greaterThan">
      <formula>0</formula>
    </cfRule>
    <cfRule type="cellIs" dxfId="2" priority="26" operator="equal">
      <formula>0</formula>
    </cfRule>
  </conditionalFormatting>
  <conditionalFormatting sqref="E163">
    <cfRule type="cellIs" dxfId="3" priority="69" operator="greaterThanOrEqual">
      <formula>0</formula>
    </cfRule>
    <cfRule type="cellIs" dxfId="4" priority="68" operator="lessThan">
      <formula>0</formula>
    </cfRule>
  </conditionalFormatting>
  <conditionalFormatting sqref="E170">
    <cfRule type="cellIs" dxfId="3" priority="61" operator="greaterThanOrEqual">
      <formula>0</formula>
    </cfRule>
    <cfRule type="cellIs" dxfId="4" priority="60" operator="lessThan">
      <formula>0</formula>
    </cfRule>
  </conditionalFormatting>
  <conditionalFormatting sqref="E172">
    <cfRule type="cellIs" dxfId="0" priority="2" operator="equal">
      <formula>0</formula>
    </cfRule>
    <cfRule type="cellIs" dxfId="1" priority="1" operator="greaterThan">
      <formula>0</formula>
    </cfRule>
  </conditionalFormatting>
  <conditionalFormatting sqref="E177">
    <cfRule type="cellIs" dxfId="0" priority="4" operator="equal">
      <formula>0</formula>
    </cfRule>
    <cfRule type="cellIs" dxfId="1" priority="3" operator="greaterThan">
      <formula>0</formula>
    </cfRule>
  </conditionalFormatting>
  <conditionalFormatting sqref="E183">
    <cfRule type="cellIs" dxfId="5" priority="5" operator="equal">
      <formula>0</formula>
    </cfRule>
  </conditionalFormatting>
  <conditionalFormatting sqref="E184">
    <cfRule type="cellIs" dxfId="5" priority="6" operator="equal">
      <formula>0</formula>
    </cfRule>
  </conditionalFormatting>
  <conditionalFormatting sqref="E190">
    <cfRule type="cellIs" dxfId="3" priority="63" operator="greaterThanOrEqual">
      <formula>0</formula>
    </cfRule>
    <cfRule type="cellIs" dxfId="4" priority="62" operator="lessThan">
      <formula>0</formula>
    </cfRule>
  </conditionalFormatting>
  <conditionalFormatting sqref="C57:C66">
    <cfRule type="cellIs" dxfId="0" priority="92" operator="equal">
      <formula>0</formula>
    </cfRule>
    <cfRule type="cellIs" dxfId="1" priority="91" operator="greaterThan">
      <formula>0</formula>
    </cfRule>
  </conditionalFormatting>
  <conditionalFormatting sqref="C68:C69">
    <cfRule type="cellIs" dxfId="0" priority="90" operator="equal">
      <formula>0</formula>
    </cfRule>
    <cfRule type="cellIs" dxfId="1" priority="89" operator="greaterThan">
      <formula>0</formula>
    </cfRule>
  </conditionalFormatting>
  <conditionalFormatting sqref="C70:C74">
    <cfRule type="cellIs" dxfId="0" priority="78" operator="equal">
      <formula>0</formula>
    </cfRule>
    <cfRule type="cellIs" dxfId="1" priority="77" operator="greaterThan">
      <formula>0</formula>
    </cfRule>
  </conditionalFormatting>
  <conditionalFormatting sqref="C78:C79">
    <cfRule type="cellIs" dxfId="0" priority="47" operator="equal">
      <formula>0</formula>
    </cfRule>
    <cfRule type="cellIs" dxfId="1" priority="46" operator="greaterThan">
      <formula>0</formula>
    </cfRule>
  </conditionalFormatting>
  <conditionalFormatting sqref="C80:C84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87:C90">
    <cfRule type="cellIs" dxfId="5" priority="38" operator="equal">
      <formula>0</formula>
    </cfRule>
  </conditionalFormatting>
  <conditionalFormatting sqref="C92:C94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98:C107">
    <cfRule type="cellIs" dxfId="1" priority="57" operator="lessThan">
      <formula>0</formula>
    </cfRule>
    <cfRule type="cellIs" dxfId="2" priority="56" operator="greaterThanOrEqual">
      <formula>0</formula>
    </cfRule>
  </conditionalFormatting>
  <conditionalFormatting sqref="E121:E127">
    <cfRule type="cellIs" dxfId="0" priority="55" operator="equal">
      <formula>0</formula>
    </cfRule>
    <cfRule type="cellIs" dxfId="1" priority="54" operator="greaterThan">
      <formula>0</formula>
    </cfRule>
  </conditionalFormatting>
  <conditionalFormatting sqref="E146:E154">
    <cfRule type="cellIs" dxfId="0" priority="53" operator="equal">
      <formula>0</formula>
    </cfRule>
    <cfRule type="cellIs" dxfId="1" priority="52" operator="greaterThan">
      <formula>0</formula>
    </cfRule>
  </conditionalFormatting>
  <conditionalFormatting sqref="E156:E157">
    <cfRule type="cellIs" dxfId="5" priority="9" operator="equal">
      <formula>0</formula>
    </cfRule>
  </conditionalFormatting>
  <conditionalFormatting sqref="E173:E174">
    <cfRule type="cellIs" dxfId="0" priority="22" operator="equal">
      <formula>0</formula>
    </cfRule>
    <cfRule type="cellIs" dxfId="1" priority="21" operator="greaterThan">
      <formula>0</formula>
    </cfRule>
  </conditionalFormatting>
  <conditionalFormatting sqref="C47:C55 C85 C95:C96">
    <cfRule type="cellIs" dxfId="0" priority="94" operator="equal">
      <formula>0</formula>
    </cfRule>
  </conditionalFormatting>
  <conditionalFormatting sqref="C47:C55 C85 C95:C96 E144 E155 E159:E162">
    <cfRule type="cellIs" dxfId="1" priority="93" operator="greaterThan">
      <formula>0</formula>
    </cfRule>
  </conditionalFormatting>
  <conditionalFormatting sqref="E117 E128 E132:E135">
    <cfRule type="cellIs" dxfId="0" priority="82" operator="equal">
      <formula>0</formula>
    </cfRule>
    <cfRule type="cellIs" dxfId="1" priority="81" operator="greaterThan">
      <formula>0</formula>
    </cfRule>
  </conditionalFormatting>
  <conditionalFormatting sqref="E144 E155 E159:E162">
    <cfRule type="cellIs" dxfId="2" priority="70" operator="equal">
      <formula>0</formula>
    </cfRule>
  </conditionalFormatting>
  <conditionalFormatting sqref="E171 E182 E185:E189">
    <cfRule type="cellIs" dxfId="2" priority="65" operator="equal">
      <formula>0</formula>
    </cfRule>
    <cfRule type="cellIs" dxfId="1" priority="64" operator="greaterThan">
      <formula>0</formula>
    </cfRule>
  </conditionalFormatting>
  <conditionalFormatting sqref="E175:E176 E178:E181">
    <cfRule type="cellIs" dxfId="0" priority="51" operator="equal">
      <formula>0</formula>
    </cfRule>
    <cfRule type="cellIs" dxfId="1" priority="50" operator="greater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6" workbookViewId="0">
      <selection activeCell="F10" sqref="B10:G10"/>
    </sheetView>
  </sheetViews>
  <sheetFormatPr defaultColWidth="9" defaultRowHeight="17.6"/>
  <cols>
    <col min="1" max="1" width="20.625" customWidth="1"/>
    <col min="2" max="2" width="29.125" customWidth="1"/>
    <col min="3" max="3" width="27.875" customWidth="1"/>
    <col min="4" max="6" width="20.625" customWidth="1"/>
    <col min="8" max="8" width="20.625" customWidth="1"/>
  </cols>
  <sheetData>
    <row r="1" ht="24.75" customHeight="1" spans="1:9">
      <c r="A1" s="1" t="str">
        <f>"Forecasts For the Year "&amp;IF(Main!B2,TEXT(EDATE(Main!B3,12),"mmmm yyyy"),TEXT(Main!B3+((Main!B5-Main!B3)*12+12),"mmmm yyyy"))&amp;" to "&amp;IF(Main!B2,TEXT(EDATE(Main!B3,15)-1,"mmmm yyyy"),TEXT(Main!B3+((Main!B5-Main!B3)*15+14),"mmmm yyyy"))</f>
        <v>Forecasts For the Year January 2026 to April 2026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1731.3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1809.52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IF(Main!B2,TEXT(EDATE(Main!B3,12),"dd mmmm yyyy"),TEXT(Main!B3+((Main!B5-Main!B3)*12+12),"dd mmmm yyyy"))&amp;" - "&amp;IF(Main!B2,TEXT(EDATE(Main!B3,13)-1,"dd mmmm yyyy"),TEXT(Main!B3+((Main!B5-Main!B3)*13+12),"dd mmmm yyyy"))&amp;" / "&amp;" (Revenue / Deferred Debts Or Expenses)"</f>
        <v>20 January 2026 - 19 February 2026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01"/>
      <c r="B13" s="20"/>
      <c r="C13" s="20"/>
      <c r="D13" s="21"/>
      <c r="E13" s="21"/>
      <c r="F13" s="7">
        <v>0</v>
      </c>
      <c r="G13" s="7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IF(Main!B2,TEXT(EDATE(Main!B3,13),"dd mmmm yyyy"),TEXT(Main!B3+((Main!B5-Main!B3)*13+13),"dd mmmm yyyy"))&amp;" - "&amp;IF(Main!B2,TEXT(EDATE(Main!B3,14)-1,"dd mmmm yyyy"),TEXT(Main!B3+((Main!B5-Main!B3)*14+13),"dd mmmm yyyy"))&amp;" / "&amp;" (Revenue / Deferred Debts Or Expenses)"</f>
        <v>20 February 2026 - 19 March 2026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107"/>
      <c r="C24" s="107"/>
      <c r="D24" s="108"/>
      <c r="E24" s="108"/>
      <c r="F24" s="109">
        <v>0</v>
      </c>
      <c r="G24" s="109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IF(Main!B2,TEXT(EDATE(Main!B3,14),"dd mmmm yyyy"),TEXT(Main!B3+((Main!B5-Main!B3)*14+14),"dd mmmm yyyy"))&amp;" - "&amp;IF(Main!B2,TEXT(EDATE(Main!B3,15)-1,"dd mmmm yyyy"),TEXT(Main!B3+((Main!B5-Main!B3)*15+14),"dd mmmm yyyy"))&amp;" / "&amp;" (Revenue / Deferred Debts Or Expenses)"</f>
        <v>20 March 2026 - 19 April 2026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"&amp;IF(Main!B2,TEXT(EDATE(Main!B3,12),"mmmm yyyy"),TEXT(Main!B3+((Main!B5-Main!B3)*12+12),"mmmm yyyy"))&amp;" to "&amp;IF(Main!B2,TEXT(EDATE(Main!B3,15)-1,"mmmm yyyy"),TEXT(Main!B3+((Main!B5-Main!B3)*15+14),"mmmm yyyy"))</f>
        <v>Fixed Expense For the Year January 2026 to April 2026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INDIRECT("'"&amp;INDIRECT("Main!B18")&amp;"'!C98")+SUM(E118+E145+E172)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INDIRECT("'"&amp;INDIRECT("Main!B18")&amp;"'!C99")+SUM(E119+E146+E173)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INDIRECT("'"&amp;INDIRECT("Main!B18")&amp;"'!C100")+SUM(E120+E147+E174)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INDIRECT("'"&amp;INDIRECT("Main!B18")&amp;"'!C101")+SUM(E121+E148+E175)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INDIRECT("'"&amp;INDIRECT("Main!B18")&amp;"'!C102")+SUM(E122+E149+E176)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INDIRECT("'"&amp;INDIRECT("Main!B18")&amp;"'!C103")+SUM(E123+E150+E177)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INDIRECT("'"&amp;INDIRECT("Main!B18")&amp;"'!C104")+SUM(E124+E151+E178)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INDIRECT("'"&amp;INDIRECT("Main!B18")&amp;"'!C105")+SUM(E125+E152+E179)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INDIRECT("'"&amp;INDIRECT("Main!B18")&amp;"'!C106")+SUM(E126+E153+E180)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INDIRECT("'"&amp;INDIRECT("Main!B18")&amp;"'!C107")+SUM(E127+E154+E181)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"&amp;IF(Main!B2,TEXT(EDATE(Main!B3,12),"mmmm dd yyyy"),TEXT(Main!B3+((Main!B5-Main!B3)*12+12),"mmmm dd yyyy"))&amp;" to "&amp;IF(Main!B2,TEXT(EDATE(Main!B3,13)-1,"mmmm dd yyyy"),TEXT(Main!B3+((Main!B5-Main!B3)*13+12),"mmmm dd yyyy"))</f>
        <v>Debts Or Credits For the Comming January 20 2026 to February 19 2026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"&amp;IF(Main!B2,TEXT(EDATE(Main!B3,12)-1,"mmmm yyyy"),TEXT(Main!B3+((Main!B5-Main!B3)*12+11),"mmmm yyyy"))</f>
        <v>Balance Brought Forward From January 2026</v>
      </c>
      <c r="B116" s="57"/>
      <c r="C116" s="58"/>
      <c r="D116" s="58"/>
      <c r="E116" s="71" cm="1">
        <f ca="1" t="array" ref="E116">INDIRECT("'"&amp;INDIRECT("Main!B18")&amp;"'!E190")</f>
        <v>307.270000000002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74"/>
      <c r="D118" s="74"/>
      <c r="E118" s="8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 t="s">
        <v>120</v>
      </c>
      <c r="D123" s="66"/>
      <c r="E123" s="37">
        <v>683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49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30.75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470.280000000002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"&amp;IF(Main!B2,TEXT(EDATE(Main!B3,13),"mmmm dd yyyy"),TEXT(Main!B3+((Main!B5-Main!B3)*13+13),"dd mmmm yyyy"))&amp;" to "&amp;IF(Main!B2,TEXT(EDATE(Main!B3,14)-1,"mmmm dd yyyy"),TEXT(Main!B3+((Main!B5-Main!B3)*14+13),"mmmm dd yyyy"))</f>
        <v>Debts Or Credits For the Comming February 20 2026 to March 19 2026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"&amp;IF(Main!B2,TEXT(EDATE(Main!B3,13)-1,"mmmm yyyy"),TEXT(Main!B3+((Main!B5-Main!B3)*13+12),"mmmm yyyy"))</f>
        <v>Balance Brought Forward From February 2026</v>
      </c>
      <c r="B143" s="57"/>
      <c r="C143" s="58"/>
      <c r="D143" s="58"/>
      <c r="E143" s="89">
        <f ca="1">E136</f>
        <v>470.280000000002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74"/>
      <c r="D145" s="74"/>
      <c r="E145" s="8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62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30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885.290000000002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"&amp;IF(Main!B2,TEXT(EDATE(Main!B3,14),"mmmm dd yyyy"),TEXT(Main!B3+((Main!B5-Main!B3)*14+14),"mmmm dd yyyy"))&amp;" to "&amp;IF(Main!B2,TEXT(EDATE(Main!B3,15)-1,"mmmm dd yyyy"),TEXT(Main!B3+((Main!B5-Main!B3)*15+14),"mmmm dd yyyy"))</f>
        <v>Debts Or Credits For the Comming March 20 2026 to April 19 2026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"&amp;IF(Main!B2,TEXT(EDATE(Main!B3,14)-1,"mmmm yyyy"),TEXT(Main!B3+((Main!B5-Main!B3)*14+13),"mmmm yyyy"))</f>
        <v>Balance Brought Forward From March 2026</v>
      </c>
      <c r="B170" s="57"/>
      <c r="C170" s="58"/>
      <c r="D170" s="58"/>
      <c r="E170" s="92">
        <f ca="1">E163</f>
        <v>885.290000000002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74"/>
      <c r="D172" s="74"/>
      <c r="E172" s="8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62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29.25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1731.3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31" operator="greaterThanOrEqual">
      <formula>0</formula>
    </cfRule>
    <cfRule type="cellIs" dxfId="1" priority="30" operator="lessThan">
      <formula>0</formula>
    </cfRule>
  </conditionalFormatting>
  <conditionalFormatting sqref="C75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77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87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90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91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C108">
    <cfRule type="cellIs" dxfId="0" priority="29" operator="greaterThanOrEqual">
      <formula>0</formula>
    </cfRule>
    <cfRule type="cellIs" dxfId="1" priority="28" operator="lessThan">
      <formula>0</formula>
    </cfRule>
  </conditionalFormatting>
  <conditionalFormatting sqref="C109">
    <cfRule type="cellIs" dxfId="0" priority="27" operator="greaterThanOrEqual">
      <formula>0</formula>
    </cfRule>
    <cfRule type="cellIs" dxfId="1" priority="26" operator="lessThan">
      <formula>0</formula>
    </cfRule>
  </conditionalFormatting>
  <conditionalFormatting sqref="E116">
    <cfRule type="cellIs" dxfId="3" priority="37" operator="greaterThanOrEqual">
      <formula>0</formula>
    </cfRule>
    <cfRule type="cellIs" dxfId="4" priority="36" operator="lessThan">
      <formula>0</formula>
    </cfRule>
  </conditionalFormatting>
  <conditionalFormatting sqref="E118">
    <cfRule type="cellIs" dxfId="5" priority="19" operator="equal">
      <formula>0</formula>
    </cfRule>
  </conditionalFormatting>
  <conditionalFormatting sqref="E123">
    <cfRule type="cellIs" dxfId="0" priority="6" operator="equal">
      <formula>0</formula>
    </cfRule>
    <cfRule type="cellIs" dxfId="1" priority="5" operator="greaterThan">
      <formula>0</formula>
    </cfRule>
  </conditionalFormatting>
  <conditionalFormatting sqref="E136">
    <cfRule type="cellIs" dxfId="3" priority="68" operator="greaterThanOrEqual">
      <formula>0</formula>
    </cfRule>
    <cfRule type="cellIs" dxfId="4" priority="67" operator="lessThan">
      <formula>0</formula>
    </cfRule>
  </conditionalFormatting>
  <conditionalFormatting sqref="E143">
    <cfRule type="cellIs" dxfId="3" priority="55" operator="greaterThanOrEqual">
      <formula>0</formula>
    </cfRule>
    <cfRule type="cellIs" dxfId="4" priority="54" operator="lessThan">
      <formula>0</formula>
    </cfRule>
  </conditionalFormatting>
  <conditionalFormatting sqref="E145">
    <cfRule type="cellIs" dxfId="5" priority="15" operator="equal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57" operator="greaterThanOrEqual">
      <formula>0</formula>
    </cfRule>
    <cfRule type="cellIs" dxfId="4" priority="56" operator="lessThan">
      <formula>0</formula>
    </cfRule>
  </conditionalFormatting>
  <conditionalFormatting sqref="E170">
    <cfRule type="cellIs" dxfId="3" priority="49" operator="greaterThanOrEqual">
      <formula>0</formula>
    </cfRule>
    <cfRule type="cellIs" dxfId="4" priority="48" operator="lessThan">
      <formula>0</formula>
    </cfRule>
  </conditionalFormatting>
  <conditionalFormatting sqref="E172">
    <cfRule type="cellIs" dxfId="5" priority="11" operator="equal">
      <formula>0</formula>
    </cfRule>
  </conditionalFormatting>
  <conditionalFormatting sqref="E190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C57:C66">
    <cfRule type="cellIs" dxfId="0" priority="80" operator="equal">
      <formula>0</formula>
    </cfRule>
    <cfRule type="cellIs" dxfId="1" priority="79" operator="greaterThan">
      <formula>0</formula>
    </cfRule>
  </conditionalFormatting>
  <conditionalFormatting sqref="C68:C69">
    <cfRule type="cellIs" dxfId="0" priority="78" operator="equal">
      <formula>0</formula>
    </cfRule>
    <cfRule type="cellIs" dxfId="1" priority="77" operator="greaterThan">
      <formula>0</formula>
    </cfRule>
  </conditionalFormatting>
  <conditionalFormatting sqref="C70:C74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78:C79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C80:C84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88:C89">
    <cfRule type="cellIs" dxfId="5" priority="24" operator="equal">
      <formula>0</formula>
    </cfRule>
  </conditionalFormatting>
  <conditionalFormatting sqref="C92:C94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98:C107">
    <cfRule type="cellIs" dxfId="1" priority="45" operator="lessThan">
      <formula>0</formula>
    </cfRule>
    <cfRule type="cellIs" dxfId="2" priority="44" operator="greaterThanOrEqual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6:E154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E173:E181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82" operator="equal">
      <formula>0</formula>
    </cfRule>
  </conditionalFormatting>
  <conditionalFormatting sqref="C47:C55 C85 C95:C96 E144 E155 E158:E162">
    <cfRule type="cellIs" dxfId="1" priority="81" operator="greaterThan">
      <formula>0</formula>
    </cfRule>
  </conditionalFormatting>
  <conditionalFormatting sqref="E117 E128 E131:E135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E119:E122 E124:E127">
    <cfRule type="cellIs" dxfId="0" priority="43" operator="equal">
      <formula>0</formula>
    </cfRule>
    <cfRule type="cellIs" dxfId="1" priority="42" operator="greaterThan">
      <formula>0</formula>
    </cfRule>
  </conditionalFormatting>
  <conditionalFormatting sqref="E144 E155 E158:E162">
    <cfRule type="cellIs" dxfId="2" priority="58" operator="equal">
      <formula>0</formula>
    </cfRule>
  </conditionalFormatting>
  <conditionalFormatting sqref="E171 E182 E185:E189">
    <cfRule type="cellIs" dxfId="2" priority="53" operator="equal">
      <formula>0</formula>
    </cfRule>
    <cfRule type="cellIs" dxfId="1" priority="52" operator="greaterThan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D26" sqref="D26:E26"/>
    </sheetView>
  </sheetViews>
  <sheetFormatPr defaultColWidth="9" defaultRowHeight="17.6"/>
  <cols>
    <col min="1" max="1" width="20.625" customWidth="1"/>
    <col min="2" max="2" width="23.5" customWidth="1"/>
    <col min="3" max="8" width="20.625" customWidth="1"/>
  </cols>
  <sheetData>
    <row r="1" ht="24.75" customHeight="1" spans="1:9">
      <c r="A1" s="1" t="str">
        <f>"Forecasts For the Year "&amp;IF(Main!B2,TEXT(EDATE(Main!B3,15),"mmmm yyyy"),TEXT(Main!B3+((Main!B5-Main!B3)*15+15),"mmmm yyyy"))&amp;" to "&amp;IF(Main!B2,TEXT(EDATE(Main!B3,18)-1,"mmmm yyyy"),TEXT(Main!B3+((Main!B5-Main!B3)*18+17),"mmmm yyyy"))</f>
        <v>Forecasts For the Year April 2026 to July 2026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4700.33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4778.55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IF(Main!B2,TEXT(EDATE(Main!B3,15),"dd mmmm yyyy"),TEXT(Main!B3+((Main!B5-Main!B3)*15+15),"dd mmmm yyyy"))&amp;" - "&amp;IF(Main!B2,TEXT(EDATE(Main!B3,16)-1,"dd mmmm yyyy"),TEXT(Main!B3+((Main!B5-Main!B3)*16+15),"dd mmmm yyyy"))&amp;" / "&amp;" (Revenue / Deferred Debts Or Expenses)"</f>
        <v>20 April 2026 - 19 May 2026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IF(Main!B2,TEXT(EDATE(Main!B3,16),"dd mmmm yyyy"),TEXT(Main!B3+((Main!B5-Main!B3)*16+16),"dd mmmm yyyy"))&amp;" - "&amp;IF(Main!B2,TEXT(EDATE(Main!B3,17)-1,"dd mmmm yyyy"),TEXT(Main!B3+((Main!B5-Main!B3)*17+16),"dd mmmm yyyy"))&amp;" / "&amp;" (Revenue / Deferred Debts Or Expenses)"</f>
        <v>20 May 2026 - 19 June 2026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97" t="s">
        <v>98</v>
      </c>
      <c r="C23" s="98"/>
      <c r="D23" s="99" t="s">
        <v>101</v>
      </c>
      <c r="E23" s="100"/>
      <c r="F23" s="7">
        <v>1083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3518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IF(Main!B2,TEXT(EDATE(Main!B3,17),"dd mmmm yyyy"),TEXT(Main!B3+((Main!B5-Main!B3)*17+17),"dd mmmm yyyy"))&amp;" - "&amp;IF(Main!B2,TEXT(EDATE(Main!B3,18)-1,"dd mmmm yyyy"),TEXT(Main!B3+((Main!B5-Main!B3)*18+17),"dd mmmm yyyy"))&amp;" / "&amp;" (Revenue / Deferred Debts Or Expenses)"</f>
        <v>20 June 2026 - 19 July 2026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9"/>
      <c r="B36" s="22"/>
      <c r="C36" s="23"/>
      <c r="D36" s="24"/>
      <c r="E36" s="42"/>
      <c r="F36" s="43">
        <v>0</v>
      </c>
      <c r="G36" s="44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"&amp;IF(Main!B2,TEXT(EDATE(Main!B3,15),"mmmm yyyy"),TEXT(Main!B3+((Main!B5-Main!B3)*15+15),"mmmm yyyy"))&amp;" to "&amp;IF(Main!B2,TEXT(EDATE(Main!B3,18)-1,"mmmm yyyy"),TEXT(Main!B3+((Main!B5-Main!B3)*18+17),"mmmm yyyy"))</f>
        <v>Fixed Expense For the Year April 2026 to July 2026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8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8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106" cm="1">
        <f ca="1" t="array" ref="C98">INDIRECT("'"&amp;INDIRECT("Main!B21")&amp;"'!C98")+SUM(E118+E145+E172)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106" cm="1">
        <f ca="1" t="array" ref="C99">INDIRECT("'"&amp;INDIRECT("Main!B21")&amp;"'!C99")+SUM(E119+E146+E173)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106" cm="1">
        <f ca="1" t="array" ref="C100">INDIRECT("'"&amp;INDIRECT("Main!B21")&amp;"'!C100")+SUM(E120+E147+E174)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106" cm="1">
        <f ca="1" t="array" ref="C101">INDIRECT("'"&amp;INDIRECT("Main!B21")&amp;"'!C101")+SUM(E121+E148+E175)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106" cm="1">
        <f ca="1" t="array" ref="C102">INDIRECT("'"&amp;INDIRECT("Main!B21")&amp;"'!C102")+SUM(E122+E149+E176)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106" cm="1">
        <f ca="1" t="array" ref="C103">INDIRECT("'"&amp;INDIRECT("Main!B21")&amp;"'!C103")+SUM(E123+E150+E177)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106" cm="1">
        <f ca="1" t="array" ref="C104">INDIRECT("'"&amp;INDIRECT("Main!B21")&amp;"'!C104")+SUM(E124+E151+E178)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106" cm="1">
        <f ca="1" t="array" ref="C105">INDIRECT("'"&amp;INDIRECT("Main!B21")&amp;"'!C105")+SUM(E125+E152+E179)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106" cm="1">
        <f ca="1" t="array" ref="C106">INDIRECT("'"&amp;INDIRECT("Main!B21")&amp;"'!C106")+SUM(E126+E153+E180)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106" cm="1">
        <f ca="1" t="array" ref="C107">INDIRECT("'"&amp;INDIRECT("Main!B21")&amp;"'!C107")+SUM(E127+E154+E181)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106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106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"&amp;IF(Main!B2,TEXT(EDATE(Main!B3,15),"mmmm dd yyyy"),TEXT(Main!B3+((Main!B5-Main!B3)*15+15),"mmmm dd yyyy"))&amp;" to "&amp;IF(Main!B2,TEXT(EDATE(Main!B3,16)-1,"mmmm dd yyyy"),TEXT(Main!B3+((Main!B5-Main!B3)*16+15),"mmmm dd yyyy"))</f>
        <v>Debts Or Credits For the Comming April 20 2026 to May 19 2026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"&amp;IF(Main!B2,TEXT(EDATE(Main!B3,15)-1,"mmmm yyyy"),TEXT(Main!B3+((Main!B5-Main!B3)*15+14),"mmmm yyyy"))</f>
        <v>Balance Brought Forward From April 2026</v>
      </c>
      <c r="B116" s="57"/>
      <c r="C116" s="58"/>
      <c r="D116" s="58"/>
      <c r="E116" s="71" cm="1">
        <f ca="1" t="array" ref="E116">INDIRECT("'"&amp;INDIRECT("Main!B21")&amp;"'!E190")</f>
        <v>1731.3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74"/>
      <c r="D118" s="74"/>
      <c r="E118" s="8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8" customHeight="1" spans="1:9">
      <c r="A129" s="63"/>
      <c r="B129" s="64"/>
      <c r="C129" s="73" t="s">
        <v>122</v>
      </c>
      <c r="D129" s="74"/>
      <c r="E129" s="87">
        <v>1090</v>
      </c>
      <c r="F129" s="14"/>
      <c r="G129" s="14"/>
      <c r="H129" s="14"/>
      <c r="I129" s="48"/>
    </row>
    <row r="130" ht="30" customHeight="1" spans="1:9">
      <c r="A130" s="63"/>
      <c r="B130" s="64"/>
      <c r="C130" s="74" t="s">
        <v>114</v>
      </c>
      <c r="D130" s="74"/>
      <c r="E130" s="87">
        <v>400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2306.31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"&amp;IF(Main!B2,TEXT(EDATE(Main!B3,16),"mmmm dd yyyy"),TEXT(Main!B3+((Main!B5-Main!B3)*16+16),"dd mmmm yyyy"))&amp;" to "&amp;IF(Main!B2,TEXT(EDATE(Main!B3,17)-1,"mmmm dd yyyy"),TEXT(Main!B3+((Main!B5-Main!B3)*17+16),"mmmm dd yyyy"))</f>
        <v>Debts Or Credits For the Comming May 20 2026 to June 19 2026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"&amp;IF(Main!B2,TEXT(EDATE(Main!B3,16)-1,"mmmm yyyy"),TEXT(Main!B3+((Main!B5-Main!B3)*16+15),"mmmm yyyy"))</f>
        <v>Balance Brought Forward From May 2026</v>
      </c>
      <c r="B143" s="57"/>
      <c r="C143" s="58"/>
      <c r="D143" s="58"/>
      <c r="E143" s="89">
        <f ca="1">E136</f>
        <v>2306.31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74"/>
      <c r="D145" s="74"/>
      <c r="E145" s="8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84" customHeight="1" spans="1:9">
      <c r="A156" s="63"/>
      <c r="B156" s="64"/>
      <c r="C156" s="73" t="s">
        <v>123</v>
      </c>
      <c r="D156" s="74"/>
      <c r="E156" s="87">
        <v>579</v>
      </c>
      <c r="F156" s="14"/>
      <c r="G156" s="14"/>
      <c r="H156" s="14"/>
      <c r="I156" s="48"/>
    </row>
    <row r="157" ht="31.5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4075.32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"&amp;IF(Main!B2,TEXT(EDATE(Main!B3,17),"mmmm dd yyyy"),TEXT(Main!B3+((Main!B5-Main!B3)*17+17),"mmmm dd yyyy"))&amp;" to "&amp;IF(Main!B2,TEXT(EDATE(Main!B3,18)-1,"mmmm dd yyyy"),TEXT(Main!B3+((Main!B5-Main!B3)*18+17),"mmmm dd yyyy"))</f>
        <v>Debts Or Credits For the Comming June 20 2026 to July 19 2026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"&amp;IF(Main!B2,TEXT(EDATE(Main!B3,17)-1,"mmmm yyyy"),TEXT(Main!B3+((Main!B5-Main!B3)*17+16),"mmmm yyyy"))</f>
        <v>Balance Brought Forward From June 2026</v>
      </c>
      <c r="B170" s="57"/>
      <c r="C170" s="58"/>
      <c r="D170" s="58"/>
      <c r="E170" s="92">
        <f ca="1">E163</f>
        <v>4075.32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74"/>
      <c r="D172" s="74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30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55" customHeight="1" spans="1:9">
      <c r="A183" s="63"/>
      <c r="B183" s="64"/>
      <c r="C183" s="73" t="s">
        <v>119</v>
      </c>
      <c r="D183" s="74"/>
      <c r="E183" s="87">
        <v>1040</v>
      </c>
      <c r="F183" s="14"/>
      <c r="G183" s="14"/>
      <c r="H183" s="14"/>
      <c r="I183" s="48"/>
    </row>
    <row r="184" ht="29.25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4700.33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8" operator="greaterThanOrEqual">
      <formula>0</formula>
    </cfRule>
    <cfRule type="cellIs" dxfId="1" priority="27" operator="lessThan">
      <formula>0</formula>
    </cfRule>
  </conditionalFormatting>
  <conditionalFormatting sqref="C75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C77">
    <cfRule type="cellIs" dxfId="0" priority="71" operator="equal">
      <formula>0</formula>
    </cfRule>
    <cfRule type="cellIs" dxfId="1" priority="70" operator="greaterThan">
      <formula>0</formula>
    </cfRule>
  </conditionalFormatting>
  <conditionalFormatting sqref="C90">
    <cfRule type="cellIs" dxfId="6" priority="22" operator="equal">
      <formula>0</formula>
    </cfRule>
  </conditionalFormatting>
  <conditionalFormatting sqref="C91">
    <cfRule type="cellIs" dxfId="0" priority="30" operator="equal">
      <formula>0</formula>
    </cfRule>
    <cfRule type="cellIs" dxfId="1" priority="29" operator="greaterThan">
      <formula>0</formula>
    </cfRule>
  </conditionalFormatting>
  <conditionalFormatting sqref="C108">
    <cfRule type="cellIs" dxfId="0" priority="26" operator="greaterThanOrEqual">
      <formula>0</formula>
    </cfRule>
    <cfRule type="cellIs" dxfId="1" priority="25" operator="lessThan">
      <formula>0</formula>
    </cfRule>
  </conditionalFormatting>
  <conditionalFormatting sqref="C109">
    <cfRule type="cellIs" dxfId="0" priority="24" operator="greaterThanOrEqual">
      <formula>0</formula>
    </cfRule>
    <cfRule type="cellIs" dxfId="1" priority="23" operator="lessThan">
      <formula>0</formula>
    </cfRule>
  </conditionalFormatting>
  <conditionalFormatting sqref="E116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E118">
    <cfRule type="cellIs" dxfId="5" priority="20" operator="equal">
      <formula>0</formula>
    </cfRule>
  </conditionalFormatting>
  <conditionalFormatting sqref="E129">
    <cfRule type="cellIs" dxfId="5" priority="4" operator="equal">
      <formula>0</formula>
    </cfRule>
  </conditionalFormatting>
  <conditionalFormatting sqref="E130">
    <cfRule type="cellIs" dxfId="5" priority="5" operator="equal">
      <formula>0</formula>
    </cfRule>
  </conditionalFormatting>
  <conditionalFormatting sqref="E136">
    <cfRule type="cellIs" dxfId="3" priority="65" operator="greaterThanOrEqual">
      <formula>0</formula>
    </cfRule>
    <cfRule type="cellIs" dxfId="4" priority="64" operator="lessThan">
      <formula>0</formula>
    </cfRule>
  </conditionalFormatting>
  <conditionalFormatting sqref="E143">
    <cfRule type="cellIs" dxfId="3" priority="52" operator="greaterThanOrEqual">
      <formula>0</formula>
    </cfRule>
    <cfRule type="cellIs" dxfId="4" priority="51" operator="lessThan">
      <formula>0</formula>
    </cfRule>
  </conditionalFormatting>
  <conditionalFormatting sqref="E145">
    <cfRule type="cellIs" dxfId="5" priority="14" operator="equal">
      <formula>0</formula>
    </cfRule>
  </conditionalFormatting>
  <conditionalFormatting sqref="E163">
    <cfRule type="cellIs" dxfId="3" priority="54" operator="greaterThanOrEqual">
      <formula>0</formula>
    </cfRule>
    <cfRule type="cellIs" dxfId="4" priority="53" operator="lessThan">
      <formula>0</formula>
    </cfRule>
  </conditionalFormatting>
  <conditionalFormatting sqref="E170">
    <cfRule type="cellIs" dxfId="3" priority="46" operator="greaterThanOrEqual">
      <formula>0</formula>
    </cfRule>
    <cfRule type="cellIs" dxfId="4" priority="45" operator="lessThan">
      <formula>0</formula>
    </cfRule>
  </conditionalFormatting>
  <conditionalFormatting sqref="E183">
    <cfRule type="cellIs" dxfId="5" priority="1" operator="equal">
      <formula>0</formula>
    </cfRule>
  </conditionalFormatting>
  <conditionalFormatting sqref="E184">
    <cfRule type="cellIs" dxfId="5" priority="2" operator="equal">
      <formula>0</formula>
    </cfRule>
  </conditionalFormatting>
  <conditionalFormatting sqref="E190">
    <cfRule type="cellIs" dxfId="3" priority="48" operator="greaterThanOrEqual">
      <formula>0</formula>
    </cfRule>
    <cfRule type="cellIs" dxfId="4" priority="47" operator="lessThan">
      <formula>0</formula>
    </cfRule>
  </conditionalFormatting>
  <conditionalFormatting sqref="C57:C66">
    <cfRule type="cellIs" dxfId="0" priority="77" operator="equal">
      <formula>0</formula>
    </cfRule>
    <cfRule type="cellIs" dxfId="1" priority="76" operator="greaterThan">
      <formula>0</formula>
    </cfRule>
  </conditionalFormatting>
  <conditionalFormatting sqref="C68:C69">
    <cfRule type="cellIs" dxfId="0" priority="75" operator="equal">
      <formula>0</formula>
    </cfRule>
    <cfRule type="cellIs" dxfId="1" priority="74" operator="greaterThan">
      <formula>0</formula>
    </cfRule>
  </conditionalFormatting>
  <conditionalFormatting sqref="C70:C74">
    <cfRule type="cellIs" dxfId="0" priority="63" operator="equal">
      <formula>0</formula>
    </cfRule>
    <cfRule type="cellIs" dxfId="1" priority="62" operator="greaterThan">
      <formula>0</formula>
    </cfRule>
  </conditionalFormatting>
  <conditionalFormatting sqref="C78:C79">
    <cfRule type="cellIs" dxfId="0" priority="32" operator="equal">
      <formula>0</formula>
    </cfRule>
    <cfRule type="cellIs" dxfId="1" priority="31" operator="greaterThan">
      <formula>0</formula>
    </cfRule>
  </conditionalFormatting>
  <conditionalFormatting sqref="C80:C84">
    <cfRule type="cellIs" dxfId="0" priority="61" operator="equal">
      <formula>0</formula>
    </cfRule>
    <cfRule type="cellIs" dxfId="1" priority="60" operator="greaterThan">
      <formula>0</formula>
    </cfRule>
  </conditionalFormatting>
  <conditionalFormatting sqref="C87:C90">
    <cfRule type="cellIs" dxfId="5" priority="21" operator="equal">
      <formula>0</formula>
    </cfRule>
  </conditionalFormatting>
  <conditionalFormatting sqref="C92:C94">
    <cfRule type="cellIs" dxfId="0" priority="59" operator="equal">
      <formula>0</formula>
    </cfRule>
    <cfRule type="cellIs" dxfId="1" priority="58" operator="greaterThan">
      <formula>0</formula>
    </cfRule>
  </conditionalFormatting>
  <conditionalFormatting sqref="C98:C107">
    <cfRule type="cellIs" dxfId="1" priority="42" operator="lessThan">
      <formula>0</formula>
    </cfRule>
    <cfRule type="cellIs" dxfId="2" priority="41" operator="greaterThanOrEqual">
      <formula>0</formula>
    </cfRule>
  </conditionalFormatting>
  <conditionalFormatting sqref="E119:E127">
    <cfRule type="cellIs" dxfId="0" priority="40" operator="equal">
      <formula>0</formula>
    </cfRule>
    <cfRule type="cellIs" dxfId="1" priority="39" operator="greaterThan">
      <formula>0</formula>
    </cfRule>
  </conditionalFormatting>
  <conditionalFormatting sqref="E146:E150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E151:E154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E156:E157">
    <cfRule type="cellIs" dxfId="5" priority="3" operator="equal">
      <formula>0</formula>
    </cfRule>
  </conditionalFormatting>
  <conditionalFormatting sqref="E172:E177">
    <cfRule type="cellIs" dxfId="0" priority="10" operator="equal">
      <formula>0</formula>
    </cfRule>
    <cfRule type="cellIs" dxfId="1" priority="9" operator="greaterThan">
      <formula>0</formula>
    </cfRule>
  </conditionalFormatting>
  <conditionalFormatting sqref="E178:E181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C47:C55 C85 C95:C96">
    <cfRule type="cellIs" dxfId="0" priority="79" operator="equal">
      <formula>0</formula>
    </cfRule>
  </conditionalFormatting>
  <conditionalFormatting sqref="C47:C55 C85 C95:C96 E144 E155 E158:E162">
    <cfRule type="cellIs" dxfId="1" priority="78" operator="greaterThan">
      <formula>0</formula>
    </cfRule>
  </conditionalFormatting>
  <conditionalFormatting sqref="E117 E128 E131:E135">
    <cfRule type="cellIs" dxfId="0" priority="67" operator="equal">
      <formula>0</formula>
    </cfRule>
    <cfRule type="cellIs" dxfId="1" priority="66" operator="greaterThan">
      <formula>0</formula>
    </cfRule>
  </conditionalFormatting>
  <conditionalFormatting sqref="E144 E155 E158:E162">
    <cfRule type="cellIs" dxfId="2" priority="55" operator="equal">
      <formula>0</formula>
    </cfRule>
  </conditionalFormatting>
  <conditionalFormatting sqref="E171 E182 E185:E189">
    <cfRule type="cellIs" dxfId="2" priority="50" operator="equal">
      <formula>0</formula>
    </cfRule>
    <cfRule type="cellIs" dxfId="1" priority="49" operator="greaterThan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F164" sqref="F164"/>
    </sheetView>
  </sheetViews>
  <sheetFormatPr defaultColWidth="9" defaultRowHeight="17.6"/>
  <cols>
    <col min="1" max="2" width="20.625" customWidth="1"/>
    <col min="3" max="3" width="26.25" customWidth="1"/>
    <col min="4" max="8" width="20.625" customWidth="1"/>
  </cols>
  <sheetData>
    <row r="1" ht="24.75" customHeight="1" spans="1:9">
      <c r="A1" s="1" t="str">
        <f>"Forecasts For the Year "&amp;IF(Main!B2,TEXT(EDATE(Main!B3,18),"mmmm yyyy"),TEXT(Main!B3+((Main!B5-Main!B3)*18+18),"mmmm yyyy"))&amp;" to "&amp;IF(Main!B2,TEXT(EDATE(Main!B3,21)-1,"mmmm yyyy"),TEXT(Main!B3+((Main!B5-Main!B3)*21+20),"mmmm yyyy"))</f>
        <v>Forecasts For the Year July 2026 to October 2026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spans="1:9">
      <c r="A3" s="5"/>
      <c r="B3" s="6" t="s">
        <v>96</v>
      </c>
      <c r="C3" s="7">
        <f ca="1">E190</f>
        <v>6807.36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6885.58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IF(Main!B2,TEXT(EDATE(Main!B3,18),"dd mmmm yyyy"),TEXT(Main!B3+((Main!B5-Main!B3)*18+18),"dd mmmm yyyy"))&amp;" - "&amp;IF(Main!B2,TEXT(EDATE(Main!B3,19)-1,"dd mmmm yyyy"),TEXT(Main!B3+((Main!B5-Main!B3)*19+18),"dd mmmm yyyy"))&amp;" / "&amp;" (Revenue / Deferred Debts Or Expenses)"</f>
        <v>20 July 2026 - 19 August 2026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 t="s">
        <v>124</v>
      </c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IF(Main!B2,TEXT(EDATE(Main!B3,19),"dd mmmm yyyy"),TEXT(Main!B3+((Main!B5-Main!B3)*19+19),"dd mmmm yyyy"))&amp;" - "&amp;IF(Main!B2,TEXT(EDATE(Main!B3,20)-1,"dd mmmm yyyy"),TEXT(Main!B3+((Main!B5-Main!B3)*20+19),"dd mmmm yyyy"))&amp;" / "&amp;" (Revenue / Deferred Debts Or Expenses)"</f>
        <v>20 August 2026 - 19 September 2026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9"/>
      <c r="B24" s="22"/>
      <c r="C24" s="23"/>
      <c r="D24" s="24"/>
      <c r="E24" s="42"/>
      <c r="F24" s="43">
        <v>0</v>
      </c>
      <c r="G24" s="44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IF(Main!B2,TEXT(EDATE(Main!B3,20),"dd mmmm yyyy"),TEXT(Main!B3+((Main!B5-Main!B3)*20+20),"dd mmmm yyyy"))&amp;" - "&amp;IF(Main!B2,TEXT(EDATE(Main!B3,21)-1,"dd mmmm yyyy"),TEXT(Main!B3+((Main!B5-Main!B3)*21+20),"dd mmmm yyyy"))&amp;" / "&amp;" (Revenue / Deferred Debts Or Expenses)"</f>
        <v>20 September 2026 - 19 October 2026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102" t="s">
        <v>98</v>
      </c>
      <c r="C34" s="103"/>
      <c r="D34" s="102" t="s">
        <v>99</v>
      </c>
      <c r="E34" s="103"/>
      <c r="F34" s="104">
        <v>2435</v>
      </c>
      <c r="G34" s="105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"&amp;IF(Main!B2,TEXT(EDATE(Main!B3,18),"mmmm yyyy"),TEXT(Main!B3+((Main!B5-Main!B3)*18+18),"mmmm yyyy"))&amp;" to "&amp;IF(Main!B2,TEXT(EDATE(Main!B3,21)-1,"mmmm yyyy"),TEXT(Main!B3+((Main!B5-Main!B3)*21+20),"mmmm yyyy"))</f>
        <v>Fixed Expense For the Year July 2026 to October 2026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48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3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106" cm="1">
        <f ca="1" t="array" ref="C98">INDIRECT("'"&amp;INDIRECT("Main!B24")&amp;"'!C98")+SUM(E118+E145+E172)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106" cm="1">
        <f ca="1" t="array" ref="C99">INDIRECT("'"&amp;INDIRECT("Main!B24")&amp;"'!C99")+SUM(E119+E146+E173)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106" cm="1">
        <f ca="1" t="array" ref="C100">INDIRECT("'"&amp;INDIRECT("Main!B24")&amp;"'!C100")+SUM(E120+E147+E174)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106" cm="1">
        <f ca="1" t="array" ref="C101">INDIRECT("'"&amp;INDIRECT("Main!B24")&amp;"'!C101")+SUM(E121+E148+E175)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106" cm="1">
        <f ca="1" t="array" ref="C102">INDIRECT("'"&amp;INDIRECT("Main!B24")&amp;"'!C102")+SUM(E122+E149+E176)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106" cm="1">
        <f ca="1" t="array" ref="C103">INDIRECT("'"&amp;INDIRECT("Main!B24")&amp;"'!C103")+SUM(E123+E150+E177)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106" cm="1">
        <f ca="1" t="array" ref="C104">INDIRECT("'"&amp;INDIRECT("Main!B24")&amp;"'!C104")+SUM(E124+E151+E178)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106" cm="1">
        <f ca="1" t="array" ref="C105">INDIRECT("'"&amp;INDIRECT("Main!B24")&amp;"'!C105")+SUM(E125+E152+E179)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106" cm="1">
        <f ca="1" t="array" ref="C106">INDIRECT("'"&amp;INDIRECT("Main!B24")&amp;"'!C106")+SUM(E126+E153+E180)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106" cm="1">
        <f ca="1" t="array" ref="C107">INDIRECT("'"&amp;INDIRECT("Main!B24")&amp;"'!C107")+SUM(E127+E154+E181)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106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106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"&amp;IF(Main!B2,TEXT(EDATE(Main!B3,18),"mmmm dd yyyy"),TEXT(Main!B3+((Main!B5-Main!B3)*18+18),"mmmm dd yyyy"))&amp;" to "&amp;IF(Main!B2,TEXT(EDATE(Main!B3,19)-1,"mmmm dd yyyy"),TEXT(Main!B3+((Main!B5-Main!B3)*19+18),"mmmm dd yyyy"))</f>
        <v>Debts Or Credits For the Comming July 20 2026 to August 19 2026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"&amp;IF(Main!B2,TEXT(EDATE(Main!B3,18)-1,"mmmm yyyy"),TEXT(Main!B3+((Main!B5-Main!B3)*18+17),"mmmm yyyy"))</f>
        <v>Balance Brought Forward From July 2026</v>
      </c>
      <c r="B116" s="57"/>
      <c r="C116" s="58"/>
      <c r="D116" s="58"/>
      <c r="E116" s="71" cm="1">
        <f ca="1" t="array" ref="E116">INDIRECT("'"&amp;INDIRECT("Main!B24")&amp;"'!E190")</f>
        <v>4700.33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5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24.75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5546.34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"&amp;IF(Main!B2,TEXT(EDATE(Main!B3,19),"mmmm dd yyyy"),TEXT(Main!B3+((Main!B5-Main!B3)*19+19),"dd mmmm yyyy"))&amp;" to "&amp;IF(Main!B2,TEXT(EDATE(Main!B3,20)-1,"mmmm dd yyyy"),TEXT(Main!B3+((Main!B5-Main!B3)*20+19),"mmmm dd yyyy"))</f>
        <v>Debts Or Credits For the Comming August 20 2026 to September 19 2026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"&amp;IF(Main!B2,TEXT(EDATE(Main!B3,19)-1,"mmmm yyyy"),TEXT(Main!B3+((Main!B5-Main!B3)*19+18),"mmmm yyyy"))</f>
        <v>Balance Brought Forward From August 2026</v>
      </c>
      <c r="B143" s="57"/>
      <c r="C143" s="58"/>
      <c r="D143" s="58"/>
      <c r="E143" s="89">
        <f ca="1">E136</f>
        <v>5546.34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65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26.25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5961.35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"&amp;IF(Main!B2,TEXT(EDATE(Main!B3,20),"mmmm dd yyyy"),TEXT(Main!B3+((Main!B5-Main!B3)*20+20),"mmmm dd yyyy"))&amp;" to "&amp;IF(Main!B2,TEXT(EDATE(Main!B3,21)-1,"mmmm dd yyyy"),TEXT(Main!B3+((Main!B5-Main!B3)*21+20),"mmmm dd yyyy"))</f>
        <v>Debts Or Credits For the Comming September 20 2026 to October 19 2026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"&amp;IF(Main!B2,TEXT(EDATE(Main!B3,20)-1,"mmmm yyyy"),TEXT(Main!B3+((Main!B5-Main!B3)*20+19),"mmmm yyyy"))</f>
        <v>Balance Brought Forward From September 2026</v>
      </c>
      <c r="B170" s="57"/>
      <c r="C170" s="58"/>
      <c r="D170" s="58"/>
      <c r="E170" s="92">
        <f ca="1">E163</f>
        <v>5961.35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51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27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6807.36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C75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77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87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C90">
    <cfRule type="cellIs" dxfId="0" priority="17" operator="equal">
      <formula>0</formula>
    </cfRule>
    <cfRule type="cellIs" dxfId="1" priority="16" operator="greaterThan">
      <formula>0</formula>
    </cfRule>
  </conditionalFormatting>
  <conditionalFormatting sqref="C91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108">
    <cfRule type="cellIs" dxfId="0" priority="23" operator="greaterThanOrEqual">
      <formula>0</formula>
    </cfRule>
    <cfRule type="cellIs" dxfId="1" priority="22" operator="lessThan">
      <formula>0</formula>
    </cfRule>
  </conditionalFormatting>
  <conditionalFormatting sqref="C109">
    <cfRule type="cellIs" dxfId="0" priority="21" operator="greaterThanOrEqual">
      <formula>0</formula>
    </cfRule>
    <cfRule type="cellIs" dxfId="1" priority="20" operator="lessThan">
      <formula>0</formula>
    </cfRule>
  </conditionalFormatting>
  <conditionalFormatting sqref="E116">
    <cfRule type="cellIs" dxfId="3" priority="31" operator="greaterThanOrEqual">
      <formula>0</formula>
    </cfRule>
    <cfRule type="cellIs" dxfId="4" priority="30" operator="lessThan">
      <formula>0</formula>
    </cfRule>
  </conditionalFormatting>
  <conditionalFormatting sqref="E136">
    <cfRule type="cellIs" dxfId="3" priority="62" operator="greaterThanOrEqual">
      <formula>0</formula>
    </cfRule>
    <cfRule type="cellIs" dxfId="4" priority="61" operator="lessThan">
      <formula>0</formula>
    </cfRule>
  </conditionalFormatting>
  <conditionalFormatting sqref="E143">
    <cfRule type="cellIs" dxfId="3" priority="49" operator="greaterThanOrEqual">
      <formula>0</formula>
    </cfRule>
    <cfRule type="cellIs" dxfId="4" priority="48" operator="lessThan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70">
    <cfRule type="cellIs" dxfId="3" priority="43" operator="greaterThanOrEqual">
      <formula>0</formula>
    </cfRule>
    <cfRule type="cellIs" dxfId="4" priority="42" operator="lessThan">
      <formula>0</formula>
    </cfRule>
  </conditionalFormatting>
  <conditionalFormatting sqref="E190">
    <cfRule type="cellIs" dxfId="3" priority="45" operator="greaterThanOrEqual">
      <formula>0</formula>
    </cfRule>
    <cfRule type="cellIs" dxfId="4" priority="44" operator="lessThan">
      <formula>0</formula>
    </cfRule>
  </conditionalFormatting>
  <conditionalFormatting sqref="C57:C66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68:C69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0:C7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78:C79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80:C8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88:C89">
    <cfRule type="cellIs" dxfId="5" priority="18" operator="equal">
      <formula>0</formula>
    </cfRule>
  </conditionalFormatting>
  <conditionalFormatting sqref="C92:C9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98:C107">
    <cfRule type="cellIs" dxfId="1" priority="39" operator="lessThan">
      <formula>0</formula>
    </cfRule>
    <cfRule type="cellIs" dxfId="2" priority="38" operator="greaterThanOrEqual">
      <formula>0</formula>
    </cfRule>
  </conditionalFormatting>
  <conditionalFormatting sqref="E118:E127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5:E154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E172:E181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76" operator="equal">
      <formula>0</formula>
    </cfRule>
  </conditionalFormatting>
  <conditionalFormatting sqref="C47:C55 C85 C95:C96 E144 E155 E158:E162">
    <cfRule type="cellIs" dxfId="1" priority="75" operator="greaterThan">
      <formula>0</formula>
    </cfRule>
  </conditionalFormatting>
  <conditionalFormatting sqref="E117 E128 E131:E135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E144 E155 E158:E162">
    <cfRule type="cellIs" dxfId="2" priority="52" operator="equal">
      <formula>0</formula>
    </cfRule>
  </conditionalFormatting>
  <conditionalFormatting sqref="E171 E182 E185:E189">
    <cfRule type="cellIs" dxfId="2" priority="47" operator="equal">
      <formula>0</formula>
    </cfRule>
    <cfRule type="cellIs" dxfId="1" priority="46" operator="greaterThan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9" workbookViewId="0">
      <selection activeCell="F34" sqref="B34:G34"/>
    </sheetView>
  </sheetViews>
  <sheetFormatPr defaultColWidth="9" defaultRowHeight="17.6"/>
  <cols>
    <col min="1" max="1" width="20.625" customWidth="1"/>
    <col min="2" max="2" width="25" customWidth="1"/>
    <col min="3" max="3" width="21.25" customWidth="1"/>
    <col min="4" max="8" width="20.625" customWidth="1"/>
  </cols>
  <sheetData>
    <row r="1" ht="24.75" customHeight="1" spans="1:9">
      <c r="A1" s="1" t="str">
        <f>"Forecasts For the Year "&amp;IF(Main!B2,TEXT(EDATE(Main!B3,21),"mmmm yyyy"),TEXT(Main!B3+((Main!B5-Main!B3)*21+21),"mmmm yyyy"))&amp;" to "&amp;IF(Main!B2,TEXT(EDATE(Main!B3,24)-1,"mmmm yyyy"),TEXT(Main!B3+((Main!B5-Main!B3)*24+23),"mmmm yyyy"))</f>
        <v>Forecasts For the Year October 2026 to January 2027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8643.39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8721.61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IF(Main!B2,TEXT(EDATE(Main!B3,21),"dd mmmm yyyy"),TEXT(Main!B3+((Main!B5-Main!B3)*21+21),"dd mmmm yyyy"))&amp;" - "&amp;IF(Main!B2,TEXT(EDATE(Main!B3,22)-1,"dd mmmm yyyy"),TEXT(Main!B3+((Main!B5-Main!B3)*22+21),"dd mmmm yyyy"))&amp;" / "&amp;" (Revenue / Deferred Debts Or Expenses)"</f>
        <v>20 October 2026 - 19 November 2026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IF(Main!B2,TEXT(EDATE(Main!B3,22),"dd mmmm yyyy"),TEXT(Main!B3+((Main!B5-Main!B3)*22+22),"dd mmmm yyyy"))&amp;" - "&amp;IF(Main!B2,TEXT(EDATE(Main!B3,23)-1,"dd mmmm yyyy"),TEXT(Main!B3+((Main!B5-Main!B3)*23+22),"dd mmmm yyyy"))&amp;" / "&amp;" (Revenue / Deferred Debts Or Expenses)"</f>
        <v>20 November 2026 - 19 December 2026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IF(Main!B2,TEXT(EDATE(Main!B3,23),"dd mmmm yyyy"),TEXT(Main!B3+((Main!B5-Main!B3)*23+23),"dd mmmm yyyy"))&amp;" - "&amp;IF(Main!B2,TEXT(EDATE(Main!B3,24)-1,"dd mmmm yyyy"),TEXT(Main!B3+((Main!B5-Main!B3)*24+23),"dd mmmm yyyy"))&amp;" / "&amp;" (Revenue / Deferred Debts Or Expenses)"</f>
        <v>20 December 2026 - 19 January 2027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"&amp;IF(Main!B2,TEXT(EDATE(Main!B3,21),"mmmm yyyy"),TEXT(Main!B3+((Main!B5-Main!B3)*21+21),"mmmm yyyy"))&amp;" to "&amp;IF(Main!B2,TEXT(EDATE(Main!B3,24)-1,"mmmm yyyy"),TEXT(Main!B3+((Main!B5-Main!B3)*24+23),"mmmm yyyy"))</f>
        <v>Fixed Expense For the Year October 2026 to January 2027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INDIRECT("'"&amp;INDIRECT("Main!B27")&amp;"'!C98")+SUM(E118+E145+E172)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INDIRECT("'"&amp;INDIRECT("Main!B27")&amp;"'!C99")+SUM(E119+E146+E173)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INDIRECT("'"&amp;INDIRECT("Main!B27")&amp;"'!C100")+SUM(E120+E147+E174)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INDIRECT("'"&amp;INDIRECT("Main!B27")&amp;"'!C101")+SUM(E121+E148+E175)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INDIRECT("'"&amp;INDIRECT("Main!B27")&amp;"'!C102")+SUM(E122+E149+E176)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INDIRECT("'"&amp;INDIRECT("Main!B27")&amp;"'!C103")+SUM(E123+E150+E177)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INDIRECT("'"&amp;INDIRECT("Main!B27")&amp;"'!C104")+SUM(E124+E151+E178)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INDIRECT("'"&amp;INDIRECT("Main!B27")&amp;"'!C105")+SUM(E125+E152+E179)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INDIRECT("'"&amp;INDIRECT("Main!B27")&amp;"'!C106")+SUM(E126+E153+E180)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INDIRECT("'"&amp;INDIRECT("Main!B27")&amp;"'!C107")+SUM(E127+E154+E181)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"&amp;IF(Main!B2,TEXT(EDATE(Main!B3,21),"mmmm dd yyyy"),TEXT(Main!B3+((Main!B5-Main!B3)*21+21),"mmmm dd yyyy"))&amp;" to "&amp;IF(Main!B2,TEXT(EDATE(Main!B3,22)-1,"mmmm dd yyyy"),TEXT(Main!B3+((Main!B5-Main!B3)*22+21),"mmmm dd yyyy"))</f>
        <v>Debts Or Credits For the Comming October 20 2026 to November 19 2026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"&amp;IF(Main!B2,TEXT(EDATE(Main!B3,21)-1,"mmmm yyyy"),TEXT(Main!B3+((Main!B5-Main!B3)*21+20),"mmmm yyyy"))</f>
        <v>Balance Brought Forward From October 2026</v>
      </c>
      <c r="B116" s="57"/>
      <c r="C116" s="58"/>
      <c r="D116" s="58"/>
      <c r="E116" s="71" cm="1">
        <f ca="1" t="array" ref="E116">INDIRECT("'"&amp;INDIRECT("Main!B27")&amp;"'!E190")</f>
        <v>6807.36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4" customHeight="1" spans="1:9">
      <c r="A129" s="63"/>
      <c r="B129" s="64"/>
      <c r="C129" s="73" t="s">
        <v>122</v>
      </c>
      <c r="D129" s="74"/>
      <c r="E129" s="87">
        <v>1090</v>
      </c>
      <c r="F129" s="14"/>
      <c r="G129" s="14"/>
      <c r="H129" s="14"/>
      <c r="I129" s="48"/>
    </row>
    <row r="130" ht="41" customHeight="1" spans="1:9">
      <c r="A130" s="63"/>
      <c r="B130" s="64"/>
      <c r="C130" s="74" t="s">
        <v>114</v>
      </c>
      <c r="D130" s="74"/>
      <c r="E130" s="87">
        <v>400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7382.37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"&amp;IF(Main!B2,TEXT(EDATE(Main!B3,22),"mmmm dd yyyy"),TEXT(Main!B3+((Main!B5-Main!B3)*22+22),"dd mmmm yyyy"))&amp;" to "&amp;IF(Main!B2,TEXT(EDATE(Main!B3,23)-1,"mmmm dd yyyy"),TEXT(Main!B3+((Main!B5-Main!B3)*23+22),"mmmm dd yyyy"))</f>
        <v>Debts Or Credits For the Comming November 20 2026 to December 19 2026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"&amp;IF(Main!B2,TEXT(EDATE(Main!B3,22)-1,"mmmm yyyy"),TEXT(Main!B3+((Main!B5-Main!B3)*22+21),"mmmm yyyy"))</f>
        <v>Balance Brought Forward From November 2026</v>
      </c>
      <c r="B143" s="57"/>
      <c r="C143" s="58"/>
      <c r="D143" s="58"/>
      <c r="E143" s="89">
        <f ca="1">E136</f>
        <v>7382.37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74.1" customHeight="1" spans="1:9">
      <c r="A156" s="63"/>
      <c r="B156" s="64"/>
      <c r="C156" s="73" t="s">
        <v>123</v>
      </c>
      <c r="D156" s="74"/>
      <c r="E156" s="87">
        <v>579</v>
      </c>
      <c r="F156" s="14"/>
      <c r="G156" s="14"/>
      <c r="H156" s="14"/>
      <c r="I156" s="48"/>
    </row>
    <row r="157" ht="36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8068.38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"&amp;IF(Main!B2,TEXT(EDATE(Main!B3,23),"mmmm dd yyyy"),TEXT(Main!B3+((Main!B5-Main!B3)*23+23),"mmmm dd yyyy"))&amp;" to "&amp;IF(Main!B2,TEXT(EDATE(Main!B3,24)-1,"mmmm dd yyyy"),TEXT(Main!B3+((Main!B5-Main!B3)*24+23),"mmmm dd yyyy"))</f>
        <v>Debts Or Credits For the Comming December 20 2026 to January 19 2027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"&amp;IF(Main!B2,TEXT(EDATE(Main!B3,23)-1,"mmmm yyyy"),TEXT(Main!B3+((Main!B5-Main!B3)*23+22),"mmmm yyyy"))</f>
        <v>Balance Brought Forward From December 2026</v>
      </c>
      <c r="B170" s="57"/>
      <c r="C170" s="58"/>
      <c r="D170" s="58"/>
      <c r="E170" s="92">
        <f ca="1">E163</f>
        <v>8068.38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45" customHeight="1" spans="1:9">
      <c r="A183" s="63"/>
      <c r="B183" s="64"/>
      <c r="C183" s="73" t="s">
        <v>122</v>
      </c>
      <c r="D183" s="74"/>
      <c r="E183" s="87">
        <v>1090</v>
      </c>
      <c r="F183" s="14"/>
      <c r="G183" s="14"/>
      <c r="H183" s="14"/>
      <c r="I183" s="48"/>
    </row>
    <row r="184" ht="31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8643.39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ht="24.75" customHeight="1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6" operator="equal">
      <formula>0</formula>
    </cfRule>
    <cfRule type="cellIs" dxfId="1" priority="25" operator="greaterThan">
      <formula>0</formula>
    </cfRule>
  </conditionalFormatting>
  <conditionalFormatting sqref="C75">
    <cfRule type="cellIs" dxfId="0" priority="75" operator="equal">
      <formula>0</formula>
    </cfRule>
    <cfRule type="cellIs" dxfId="1" priority="74" operator="greaterThan">
      <formula>0</formula>
    </cfRule>
  </conditionalFormatting>
  <conditionalFormatting sqref="C77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C87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C90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C91">
    <cfRule type="cellIs" dxfId="0" priority="32" operator="equal">
      <formula>0</formula>
    </cfRule>
    <cfRule type="cellIs" dxfId="1" priority="31" operator="greaterThan">
      <formula>0</formula>
    </cfRule>
  </conditionalFormatting>
  <conditionalFormatting sqref="C108">
    <cfRule type="cellIs" dxfId="0" priority="24" operator="greaterThanOrEqual">
      <formula>0</formula>
    </cfRule>
    <cfRule type="cellIs" dxfId="1" priority="23" operator="lessThan">
      <formula>0</formula>
    </cfRule>
  </conditionalFormatting>
  <conditionalFormatting sqref="C109">
    <cfRule type="cellIs" dxfId="0" priority="22" operator="greaterThanOrEqual">
      <formula>0</formula>
    </cfRule>
    <cfRule type="cellIs" dxfId="1" priority="21" operator="lessThan">
      <formula>0</formula>
    </cfRule>
  </conditionalFormatting>
  <conditionalFormatting sqref="E116">
    <cfRule type="cellIs" dxfId="3" priority="36" operator="greaterThanOrEqual">
      <formula>0</formula>
    </cfRule>
    <cfRule type="cellIs" dxfId="4" priority="35" operator="lessThan">
      <formula>0</formula>
    </cfRule>
  </conditionalFormatting>
  <conditionalFormatting sqref="E129">
    <cfRule type="cellIs" dxfId="5" priority="4" operator="equal">
      <formula>0</formula>
    </cfRule>
  </conditionalFormatting>
  <conditionalFormatting sqref="E130">
    <cfRule type="cellIs" dxfId="5" priority="5" operator="equal">
      <formula>0</formula>
    </cfRule>
  </conditionalFormatting>
  <conditionalFormatting sqref="E136">
    <cfRule type="cellIs" dxfId="3" priority="67" operator="greaterThanOrEqual">
      <formula>0</formula>
    </cfRule>
    <cfRule type="cellIs" dxfId="4" priority="66" operator="lessThan">
      <formula>0</formula>
    </cfRule>
  </conditionalFormatting>
  <conditionalFormatting sqref="E143">
    <cfRule type="cellIs" dxfId="3" priority="54" operator="greaterThanOrEqual">
      <formula>0</formula>
    </cfRule>
    <cfRule type="cellIs" dxfId="4" priority="53" operator="lessThan">
      <formula>0</formula>
    </cfRule>
  </conditionalFormatting>
  <conditionalFormatting sqref="E163">
    <cfRule type="cellIs" dxfId="3" priority="56" operator="greaterThanOrEqual">
      <formula>0</formula>
    </cfRule>
    <cfRule type="cellIs" dxfId="4" priority="55" operator="lessThan">
      <formula>0</formula>
    </cfRule>
  </conditionalFormatting>
  <conditionalFormatting sqref="E170">
    <cfRule type="cellIs" dxfId="3" priority="48" operator="greaterThanOrEqual">
      <formula>0</formula>
    </cfRule>
    <cfRule type="cellIs" dxfId="4" priority="47" operator="lessThan">
      <formula>0</formula>
    </cfRule>
  </conditionalFormatting>
  <conditionalFormatting sqref="E183">
    <cfRule type="cellIs" dxfId="5" priority="1" operator="equal">
      <formula>0</formula>
    </cfRule>
  </conditionalFormatting>
  <conditionalFormatting sqref="E184">
    <cfRule type="cellIs" dxfId="5" priority="2" operator="equal">
      <formula>0</formula>
    </cfRule>
  </conditionalFormatting>
  <conditionalFormatting sqref="E190">
    <cfRule type="cellIs" dxfId="3" priority="50" operator="greaterThanOrEqual">
      <formula>0</formula>
    </cfRule>
    <cfRule type="cellIs" dxfId="4" priority="49" operator="lessThan">
      <formula>0</formula>
    </cfRule>
  </conditionalFormatting>
  <conditionalFormatting sqref="C57:C66">
    <cfRule type="cellIs" dxfId="0" priority="79" operator="equal">
      <formula>0</formula>
    </cfRule>
    <cfRule type="cellIs" dxfId="1" priority="78" operator="greaterThan">
      <formula>0</formula>
    </cfRule>
  </conditionalFormatting>
  <conditionalFormatting sqref="C68:C69">
    <cfRule type="cellIs" dxfId="0" priority="77" operator="equal">
      <formula>0</formula>
    </cfRule>
    <cfRule type="cellIs" dxfId="1" priority="76" operator="greaterThan">
      <formula>0</formula>
    </cfRule>
  </conditionalFormatting>
  <conditionalFormatting sqref="C70:C74">
    <cfRule type="cellIs" dxfId="0" priority="65" operator="equal">
      <formula>0</formula>
    </cfRule>
    <cfRule type="cellIs" dxfId="1" priority="64" operator="greaterThan">
      <formula>0</formula>
    </cfRule>
  </conditionalFormatting>
  <conditionalFormatting sqref="C78:C79">
    <cfRule type="cellIs" dxfId="0" priority="34" operator="equal">
      <formula>0</formula>
    </cfRule>
    <cfRule type="cellIs" dxfId="1" priority="33" operator="greaterThan">
      <formula>0</formula>
    </cfRule>
  </conditionalFormatting>
  <conditionalFormatting sqref="C80:C84">
    <cfRule type="cellIs" dxfId="0" priority="63" operator="equal">
      <formula>0</formula>
    </cfRule>
    <cfRule type="cellIs" dxfId="1" priority="62" operator="greaterThan">
      <formula>0</formula>
    </cfRule>
  </conditionalFormatting>
  <conditionalFormatting sqref="C88:C89">
    <cfRule type="cellIs" dxfId="5" priority="19" operator="equal">
      <formula>0</formula>
    </cfRule>
  </conditionalFormatting>
  <conditionalFormatting sqref="C92:C94">
    <cfRule type="cellIs" dxfId="0" priority="61" operator="equal">
      <formula>0</formula>
    </cfRule>
    <cfRule type="cellIs" dxfId="1" priority="60" operator="greaterThan">
      <formula>0</formula>
    </cfRule>
  </conditionalFormatting>
  <conditionalFormatting sqref="C98:C107">
    <cfRule type="cellIs" dxfId="1" priority="44" operator="lessThan">
      <formula>0</formula>
    </cfRule>
    <cfRule type="cellIs" dxfId="2" priority="43" operator="greaterThanOrEqual">
      <formula>0</formula>
    </cfRule>
  </conditionalFormatting>
  <conditionalFormatting sqref="E118:E127">
    <cfRule type="cellIs" dxfId="0" priority="42" operator="equal">
      <formula>0</formula>
    </cfRule>
    <cfRule type="cellIs" dxfId="1" priority="41" operator="greaterThan">
      <formula>0</formula>
    </cfRule>
  </conditionalFormatting>
  <conditionalFormatting sqref="E145:E154">
    <cfRule type="cellIs" dxfId="0" priority="40" operator="equal">
      <formula>0</formula>
    </cfRule>
    <cfRule type="cellIs" dxfId="1" priority="39" operator="greaterThan">
      <formula>0</formula>
    </cfRule>
  </conditionalFormatting>
  <conditionalFormatting sqref="E156:E157">
    <cfRule type="cellIs" dxfId="5" priority="3" operator="equal">
      <formula>0</formula>
    </cfRule>
  </conditionalFormatting>
  <conditionalFormatting sqref="E172:E181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C47:C55 C85 C95:C96">
    <cfRule type="cellIs" dxfId="0" priority="81" operator="equal">
      <formula>0</formula>
    </cfRule>
  </conditionalFormatting>
  <conditionalFormatting sqref="C47:C55 C85 C95:C96 E144 E155 E158:E162">
    <cfRule type="cellIs" dxfId="1" priority="80" operator="greaterThan">
      <formula>0</formula>
    </cfRule>
  </conditionalFormatting>
  <conditionalFormatting sqref="E117 E128 E131:E135">
    <cfRule type="cellIs" dxfId="0" priority="69" operator="equal">
      <formula>0</formula>
    </cfRule>
    <cfRule type="cellIs" dxfId="1" priority="68" operator="greaterThan">
      <formula>0</formula>
    </cfRule>
  </conditionalFormatting>
  <conditionalFormatting sqref="E144 E155 E158:E162">
    <cfRule type="cellIs" dxfId="2" priority="57" operator="equal">
      <formula>0</formula>
    </cfRule>
  </conditionalFormatting>
  <conditionalFormatting sqref="E171 E182 E185:E189">
    <cfRule type="cellIs" dxfId="2" priority="52" operator="equal">
      <formula>0</formula>
    </cfRule>
    <cfRule type="cellIs" dxfId="1" priority="51" operator="greater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2" workbookViewId="0">
      <selection activeCell="F34" sqref="B34:G34"/>
    </sheetView>
  </sheetViews>
  <sheetFormatPr defaultColWidth="9" defaultRowHeight="17.6"/>
  <cols>
    <col min="1" max="1" width="20.625" customWidth="1"/>
    <col min="2" max="2" width="30" customWidth="1"/>
    <col min="3" max="3" width="33.25" customWidth="1"/>
    <col min="4" max="8" width="20.625" customWidth="1"/>
  </cols>
  <sheetData>
    <row r="1" ht="24.75" customHeight="1" spans="1:9">
      <c r="A1" s="1" t="str">
        <f>"Forecasts For the Year "&amp;IF(Main!B2,TEXT(EDATE(Main!B3,24),"mmmm yyyy"),TEXT(Main!B3+((Main!B5-Main!B3)*24+24),"mmmm yyyy"))&amp;" to "&amp;IF(Main!B2,TEXT(EDATE(Main!B3,27)-1,"mmmm yyyy"),TEXT(Main!B3+((Main!B5-Main!B3)*27+26),"mmmm yyyy"))</f>
        <v>Forecasts For the Year January 2027 to April 2027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10750.42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10828.64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IF(Main!B2,TEXT(EDATE(Main!B3,24),"dd mmmm yyyy"),TEXT(Main!B3+((Main!B5-Main!B3)*24+24),"dd mmmm yyyy"))&amp;" - "&amp;IF(Main!B2,TEXT(EDATE(Main!B3,25)-1,"dd mmmm yyyy"),TEXT(Main!B3+((Main!B5-Main!B3)*25+24),"dd mmmm yyyy"))&amp;" / "&amp;" (Revenue / Deferred Debts Or Expenses)"</f>
        <v>20 January 2027 - 19 February 2027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IF(Main!B2,TEXT(EDATE(Main!B3,25),"dd mmmm yyyy"),TEXT(Main!B3+((Main!B5-Main!B3)*25+25),"dd mmmm yyyy"))&amp;" - "&amp;IF(Main!B2,TEXT(EDATE(Main!B3,26)-1,"dd mmmm yyyy"),TEXT(Main!B3+((Main!B5-Main!B3)*26+25),"dd mmmm yyyy"))&amp;" / "&amp;" (Revenue / Deferred Debts Or Expenses)"</f>
        <v>20 February 2027 - 19 March 2027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IF(Main!B2,TEXT(EDATE(Main!B3,26),"dd mmmm yyyy"),TEXT(Main!B3+((Main!B5-Main!B3)*26+26),"dd mmmm yyyy"))&amp;" - "&amp;IF(Main!B2,TEXT(EDATE(Main!B3,27)-1,"dd mmmm yyyy"),TEXT(Main!B3+((Main!B5-Main!B3)*27+26),"dd mmmm yyyy"))&amp;" / "&amp;" (Revenue / Deferred Debts Or Expenses)"</f>
        <v>20 March 2027 - 19 April 2027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"&amp;IF(Main!B2,TEXT(EDATE(Main!B3,24),"mmmm yyyy"),TEXT(Main!B3+((Main!B5-Main!B3)*24+24),"mmmm yyyy"))&amp;" to "&amp;IF(Main!B2,TEXT(EDATE(Main!B3,27)-1,"mmmm yyyy"),TEXT(Main!B3+((Main!B5-Main!B3)*27+26),"mmmm yyyy"))</f>
        <v>Fixed Expense For the Year January 2027 to April 2027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INDIRECT("'"&amp;INDIRECT("Main!B30")&amp;"'!C98")+SUM(E118+E145+E172)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INDIRECT("'"&amp;INDIRECT("Main!B30")&amp;"'!C99")+SUM(E119+E146+E173)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INDIRECT("'"&amp;INDIRECT("Main!B30")&amp;"'!C100")+SUM(E120+E147+E174)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INDIRECT("'"&amp;INDIRECT("Main!B30")&amp;"'!C101")+SUM(E121+E148+E175)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INDIRECT("'"&amp;INDIRECT("Main!B30")&amp;"'!C102")+SUM(E122+E149+E176)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INDIRECT("'"&amp;INDIRECT("Main!B30")&amp;"'!C103")+SUM(E123+E150+E177)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INDIRECT("'"&amp;INDIRECT("Main!B30")&amp;"'!C104")+SUM(E124+E151+E178)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INDIRECT("'"&amp;INDIRECT("Main!B30")&amp;"'!C105")+SUM(E125+E152+E179)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INDIRECT("'"&amp;INDIRECT("Main!B30")&amp;"'!C106")+SUM(E126+E153+E180)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INDIRECT("'"&amp;INDIRECT("Main!B30")&amp;"'!C107")+SUM(E127+E154+E181)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"&amp;IF(Main!B2,TEXT(EDATE(Main!B3,24),"mmmm dd yyyy"),TEXT(Main!B3+((Main!B5-Main!B3)*24+24),"mmmm dd yyyy"))&amp;" to "&amp;IF(Main!B2,TEXT(EDATE(Main!B3,25)-1,"mmmm dd yyyy"),TEXT(Main!B3+((Main!B5-Main!B3)*25+24),"mmmm dd yyyy"))</f>
        <v>Debts Or Credits For the Comming January 20 2027 to February 19 2027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"&amp;IF(Main!B2,TEXT(EDATE(Main!B3,24)-1,"mmmm yyyy"),TEXT(Main!B3+((Main!B5-Main!B3)*24+23),"mmmm yyyy"))</f>
        <v>Balance Brought Forward From January 2027</v>
      </c>
      <c r="B116" s="57"/>
      <c r="C116" s="58"/>
      <c r="D116" s="58"/>
      <c r="E116" s="71" cm="1">
        <f ca="1" t="array" ref="E116">INDIRECT("'"&amp;INDIRECT("Main!B30")&amp;"'!E190")</f>
        <v>8643.39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7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28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9489.4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"&amp;IF(Main!B2,TEXT(EDATE(Main!B3,25),"mmmm dd yyyy"),TEXT(Main!B3+((Main!B5-Main!B3)*25+25),"dd mmmm yyyy"))&amp;" to "&amp;IF(Main!B2,TEXT(EDATE(Main!B3,26)-1,"mmmm dd yyyy"),TEXT(Main!B3+((Main!B5-Main!B3)*26+25),"mmmm dd yyyy"))</f>
        <v>Debts Or Credits For the Comming February 20 2027 to March 19 2027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"&amp;IF(Main!B2,TEXT(EDATE(Main!B3,25)-1,"mmmm yyyy"),TEXT(Main!B3+((Main!B5-Main!B3)*25+24),"mmmm yyyy"))</f>
        <v>Balance Brought Forward From February 2027</v>
      </c>
      <c r="B143" s="57"/>
      <c r="C143" s="58"/>
      <c r="D143" s="58"/>
      <c r="E143" s="89">
        <f ca="1">E136</f>
        <v>9489.4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90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28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9904.41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"&amp;IF(Main!B2,TEXT(EDATE(Main!B3,26),"mmmm dd yyyy"),TEXT(Main!B3+((Main!B5-Main!B3)*26+26),"mmmm dd yyyy"))&amp;" to "&amp;IF(Main!B2,TEXT(EDATE(Main!B3,27)-1,"mmmm dd yyyy"),TEXT(Main!B3+((Main!B5-Main!B3)*27+26),"mmmm dd yyyy"))</f>
        <v>Debts Or Credits For the Comming March 20 2027 to April 19 2027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"&amp;IF(Main!B2,TEXT(EDATE(Main!B3,26)-1,"mmmm yyyy"),TEXT(Main!B3+((Main!B5-Main!B3)*26+25),"mmmm yyyy"))</f>
        <v>Balance Brought Forward From March 2027</v>
      </c>
      <c r="B170" s="57"/>
      <c r="C170" s="58"/>
      <c r="D170" s="58"/>
      <c r="E170" s="92">
        <f ca="1">E163</f>
        <v>9904.41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45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29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10750.42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75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77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87">
    <cfRule type="cellIs" dxfId="0" priority="6" operator="equal">
      <formula>0</formula>
    </cfRule>
    <cfRule type="cellIs" dxfId="1" priority="5" operator="greaterThan">
      <formula>0</formula>
    </cfRule>
  </conditionalFormatting>
  <conditionalFormatting sqref="C90">
    <cfRule type="cellIs" dxfId="0" priority="8" operator="equal">
      <formula>0</formula>
    </cfRule>
    <cfRule type="cellIs" dxfId="1" priority="7" operator="greaterThan">
      <formula>0</formula>
    </cfRule>
  </conditionalFormatting>
  <conditionalFormatting sqref="C91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108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C109">
    <cfRule type="cellIs" dxfId="0" priority="21" operator="greaterThanOrEqual">
      <formula>0</formula>
    </cfRule>
    <cfRule type="cellIs" dxfId="1" priority="20" operator="lessThan">
      <formula>0</formula>
    </cfRule>
  </conditionalFormatting>
  <conditionalFormatting sqref="E116">
    <cfRule type="cellIs" dxfId="3" priority="31" operator="greaterThanOrEqual">
      <formula>0</formula>
    </cfRule>
    <cfRule type="cellIs" dxfId="4" priority="30" operator="lessThan">
      <formula>0</formula>
    </cfRule>
  </conditionalFormatting>
  <conditionalFormatting sqref="E136">
    <cfRule type="cellIs" dxfId="3" priority="62" operator="greaterThanOrEqual">
      <formula>0</formula>
    </cfRule>
    <cfRule type="cellIs" dxfId="4" priority="61" operator="lessThan">
      <formula>0</formula>
    </cfRule>
  </conditionalFormatting>
  <conditionalFormatting sqref="E143">
    <cfRule type="cellIs" dxfId="3" priority="49" operator="greaterThanOrEqual">
      <formula>0</formula>
    </cfRule>
    <cfRule type="cellIs" dxfId="4" priority="48" operator="lessThan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70">
    <cfRule type="cellIs" dxfId="3" priority="43" operator="greaterThanOrEqual">
      <formula>0</formula>
    </cfRule>
    <cfRule type="cellIs" dxfId="4" priority="42" operator="lessThan">
      <formula>0</formula>
    </cfRule>
  </conditionalFormatting>
  <conditionalFormatting sqref="E190">
    <cfRule type="cellIs" dxfId="3" priority="45" operator="greaterThanOrEqual">
      <formula>0</formula>
    </cfRule>
    <cfRule type="cellIs" dxfId="4" priority="44" operator="lessThan">
      <formula>0</formula>
    </cfRule>
  </conditionalFormatting>
  <conditionalFormatting sqref="C57:C66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68:C69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0:C7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78:C79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80:C8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88:C89">
    <cfRule type="cellIs" dxfId="5" priority="9" operator="equal">
      <formula>0</formula>
    </cfRule>
  </conditionalFormatting>
  <conditionalFormatting sqref="C92:C9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98:C107">
    <cfRule type="cellIs" dxfId="1" priority="39" operator="lessThan">
      <formula>0</formula>
    </cfRule>
    <cfRule type="cellIs" dxfId="2" priority="38" operator="greaterThanOrEqual">
      <formula>0</formula>
    </cfRule>
  </conditionalFormatting>
  <conditionalFormatting sqref="E118:E127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5:E154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E172:E181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76" operator="equal">
      <formula>0</formula>
    </cfRule>
  </conditionalFormatting>
  <conditionalFormatting sqref="C47:C55 C85 C95:C96 E144 E155 E158:E162">
    <cfRule type="cellIs" dxfId="1" priority="75" operator="greaterThan">
      <formula>0</formula>
    </cfRule>
  </conditionalFormatting>
  <conditionalFormatting sqref="E117 E128 E131:E135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E144 E155 E158:E162">
    <cfRule type="cellIs" dxfId="2" priority="52" operator="equal">
      <formula>0</formula>
    </cfRule>
  </conditionalFormatting>
  <conditionalFormatting sqref="E171 E182 E185:E189">
    <cfRule type="cellIs" dxfId="2" priority="47" operator="equal">
      <formula>0</formula>
    </cfRule>
    <cfRule type="cellIs" dxfId="1" priority="46" operator="greaterThan">
      <formula>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2" workbookViewId="0">
      <selection activeCell="F23" sqref="B23:G23"/>
    </sheetView>
  </sheetViews>
  <sheetFormatPr defaultColWidth="9" defaultRowHeight="17.6"/>
  <cols>
    <col min="1" max="1" width="20.625" customWidth="1"/>
    <col min="2" max="2" width="26.5" customWidth="1"/>
    <col min="3" max="3" width="31.5" customWidth="1"/>
    <col min="4" max="9" width="20.625" customWidth="1"/>
    <col min="11" max="11" width="20.625" customWidth="1"/>
  </cols>
  <sheetData>
    <row r="1" ht="24.75" customHeight="1" spans="1:9">
      <c r="A1" s="1" t="str">
        <f>"Forecasts For the Year "&amp;IF(Main!B2,TEXT(EDATE(Main!B3,27),"mmmm yyyy"),TEXT(Main!B3+((Main!B5-Main!B3)*27+27),"mmmm yyyy"))&amp;" to "&amp;IF(Main!B2,TEXT(EDATE(Main!B3,30)-1,"mmmm yyyy"),TEXT(Main!B3+((Main!B5-Main!B3)*30+29),"mmmm yyyy"))</f>
        <v>Forecasts For the Year April 2027 to July 2027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15050.42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15128.64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IF(Main!B2,TEXT(EDATE(Main!B3,27),"dd mmmm yyyy"),TEXT(Main!B3+((Main!B5-Main!B3)*27+27),"dd mmmm yyyy"))&amp;" - "&amp;IF(Main!B2,TEXT(EDATE(Main!B3,28)-1,"dd mmmm yyyy"),TEXT(Main!B3+((Main!B5-Main!B3)*28+27),"dd mmmm yyyy"))&amp;" / "&amp;" (Revenue / Deferred Debts Or Expenses)"</f>
        <v>20 April 2027 - 19 May 2027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IF(Main!B2,TEXT(EDATE(Main!B3,28),"dd mmmm yyyy"),TEXT(Main!B3+((Main!B5-Main!B3)*28+28),"dd mmmm yyyy"))&amp;" - "&amp;IF(Main!B2,TEXT(EDATE(Main!B3,29)-1,"dd mmmm yyyy"),TEXT(Main!B3+((Main!B5-Main!B3)*29+28),"dd mmmm yyyy"))&amp;" / "&amp;" (Revenue / Deferred Debts Or Expenses)"</f>
        <v>20 May 2027 - 19 June 2027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97" t="s">
        <v>98</v>
      </c>
      <c r="C23" s="98"/>
      <c r="D23" s="99" t="s">
        <v>101</v>
      </c>
      <c r="E23" s="100"/>
      <c r="F23" s="7">
        <v>1083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3518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IF(Main!B2,TEXT(EDATE(Main!B3,29),"dd mmmm yyyy"),TEXT(Main!B3+((Main!B5-Main!B3)*29+29),"dd mmmm yyyy"))&amp;" - "&amp;IF(Main!B2,TEXT(EDATE(Main!B3,30)-1,"dd mmmm yyyy"),TEXT(Main!B3+((Main!B5-Main!B3)*30+29),"dd mmmm yyyy"))&amp;" / "&amp;" (Revenue / Deferred Debts Or Expenses)"</f>
        <v>20 June 2027 - 19 July 2027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"&amp;IF(Main!B2,TEXT(EDATE(Main!B3,27),"mmmm yyyy"),TEXT(Main!B3+((Main!B5-Main!B3)*27+27),"mmmm yyyy"))&amp;" to "&amp;IF(Main!B2,TEXT(EDATE(Main!B3,30)-1,"mmmm yyyy"),TEXT(Main!B3+((Main!B5-Main!B3)*30+29),"mmmm yyyy"))</f>
        <v>Fixed Expense For the Year April 2027 to July 2027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0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0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0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0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0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0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INDIRECT("'"&amp;INDIRECT("Main!B33")&amp;"'!C98")+SUM(E118+E145+E172)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INDIRECT("'"&amp;INDIRECT("Main!B33")&amp;"'!C99")+SUM(E119+E146+E173)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INDIRECT("'"&amp;INDIRECT("Main!B33")&amp;"'!C100")+SUM(E120+E147+E174)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INDIRECT("'"&amp;INDIRECT("Main!B33")&amp;"'!C101")+SUM(E121+E148+E175)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INDIRECT("'"&amp;INDIRECT("Main!B33")&amp;"'!C102")+SUM(E122+E149+E176)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INDIRECT("'"&amp;INDIRECT("Main!B33")&amp;"'!C103")+SUM(E123+E150+E177)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INDIRECT("'"&amp;INDIRECT("Main!B33")&amp;"'!C104")+SUM(E124+E151+E178)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INDIRECT("'"&amp;INDIRECT("Main!B33")&amp;"'!C105")+SUM(E125+E152+E179)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INDIRECT("'"&amp;INDIRECT("Main!B33")&amp;"'!C106")+SUM(E126+E153+E180)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INDIRECT("'"&amp;INDIRECT("Main!B33")&amp;"'!C107")+SUM(E127+E154+E181)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0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"&amp;IF(Main!B2,TEXT(EDATE(Main!B3,27),"mmmm dd yyyy"),TEXT(Main!B3+((Main!B5-Main!B3)*27+27),"mmmm dd yyyy"))&amp;" to "&amp;IF(Main!B2,TEXT(EDATE(Main!B3,28)-1,"mmmm dd yyyy"),TEXT(Main!B3+((Main!B5-Main!B3)*28+27),"mmmm dd yyyy"))</f>
        <v>Debts Or Credits For the Comming April 20 2027 to May 19 2027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"&amp;IF(Main!B2,TEXT(EDATE(Main!B3,27)-1,"mmmm yyyy"),TEXT(Main!B3+((Main!B5-Main!B3)*27+26),"mmmm yyyy"))</f>
        <v>Balance Brought Forward From April 2027</v>
      </c>
      <c r="B116" s="57"/>
      <c r="C116" s="58"/>
      <c r="D116" s="58"/>
      <c r="E116" s="71" cm="1">
        <f ca="1" t="array" ref="E116">INDIRECT("'"&amp;INDIRECT("Main!B33")&amp;"'!E190")</f>
        <v>10750.42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3.95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63.95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0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11966.42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"&amp;IF(Main!B2,TEXT(EDATE(Main!B3,28),"mmmm dd yyyy"),TEXT(Main!B3+((Main!B5-Main!B3)*28+28),"dd mmmm yyyy"))&amp;" to "&amp;IF(Main!B2,TEXT(EDATE(Main!B3,29)-1,"mmmm dd yyyy"),TEXT(Main!B3+((Main!B5-Main!B3)*29+28),"mmmm dd yyyy"))</f>
        <v>Debts Or Credits For the Comming May 20 2027 to June 19 2027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"&amp;IF(Main!B2,TEXT(EDATE(Main!B3,28)-1,"mmmm yyyy"),TEXT(Main!B3+((Main!B5-Main!B3)*28+27),"mmmm yyyy"))</f>
        <v>Balance Brought Forward From May 2027</v>
      </c>
      <c r="B143" s="57"/>
      <c r="C143" s="58"/>
      <c r="D143" s="58"/>
      <c r="E143" s="89">
        <f ca="1">E136</f>
        <v>11966.42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93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32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0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13834.42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"&amp;IF(Main!B2,TEXT(EDATE(Main!B3,29),"mmmm dd yyyy"),TEXT(Main!B3+((Main!B5-Main!B3)*29+29),"mmmm dd yyyy"))&amp;" to "&amp;IF(Main!B2,TEXT(EDATE(Main!B3,30)-1,"mmmm dd yyyy"),TEXT(Main!B3+((Main!B5-Main!B3)*30+29),"mmmm dd yyyy"))</f>
        <v>Debts Or Credits For the Comming June 20 2027 to July 19 2027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"&amp;IF(Main!B2,TEXT(EDATE(Main!B3,29)-1,"mmmm yyyy"),TEXT(Main!B3+((Main!B5-Main!B3)*29+28),"mmmm yyyy"))</f>
        <v>Balance Brought Forward From June 2027</v>
      </c>
      <c r="B170" s="57"/>
      <c r="C170" s="58"/>
      <c r="D170" s="58"/>
      <c r="E170" s="92">
        <f ca="1">E163</f>
        <v>13834.42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51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78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0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15050.42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75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7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87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C90">
    <cfRule type="cellIs" dxfId="0" priority="17" operator="equal">
      <formula>0</formula>
    </cfRule>
    <cfRule type="cellIs" dxfId="1" priority="16" operator="greaterThan">
      <formula>0</formula>
    </cfRule>
  </conditionalFormatting>
  <conditionalFormatting sqref="C9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108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C109">
    <cfRule type="cellIs" dxfId="0" priority="23" operator="greaterThanOrEqual">
      <formula>0</formula>
    </cfRule>
    <cfRule type="cellIs" dxfId="1" priority="22" operator="lessThan">
      <formula>0</formula>
    </cfRule>
  </conditionalFormatting>
  <conditionalFormatting sqref="E116">
    <cfRule type="cellIs" dxfId="3" priority="33" operator="greaterThanOrEqual">
      <formula>0</formula>
    </cfRule>
    <cfRule type="cellIs" dxfId="4" priority="32" operator="lessThan">
      <formula>0</formula>
    </cfRule>
  </conditionalFormatting>
  <conditionalFormatting sqref="E136">
    <cfRule type="cellIs" dxfId="3" priority="64" operator="greaterThanOrEqual">
      <formula>0</formula>
    </cfRule>
    <cfRule type="cellIs" dxfId="4" priority="63" operator="lessThan">
      <formula>0</formula>
    </cfRule>
  </conditionalFormatting>
  <conditionalFormatting sqref="E143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53" operator="greaterThanOrEqual">
      <formula>0</formula>
    </cfRule>
    <cfRule type="cellIs" dxfId="4" priority="52" operator="lessThan">
      <formula>0</formula>
    </cfRule>
  </conditionalFormatting>
  <conditionalFormatting sqref="E170">
    <cfRule type="cellIs" dxfId="3" priority="45" operator="greaterThanOrEqual">
      <formula>0</formula>
    </cfRule>
    <cfRule type="cellIs" dxfId="4" priority="44" operator="lessThan">
      <formula>0</formula>
    </cfRule>
  </conditionalFormatting>
  <conditionalFormatting sqref="E190">
    <cfRule type="cellIs" dxfId="3" priority="47" operator="greaterThanOrEqual">
      <formula>0</formula>
    </cfRule>
    <cfRule type="cellIs" dxfId="4" priority="46" operator="lessThan">
      <formula>0</formula>
    </cfRule>
  </conditionalFormatting>
  <conditionalFormatting sqref="C57:C66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68:C69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70:C74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78:C79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C80:C8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88:C89">
    <cfRule type="cellIs" dxfId="5" priority="20" operator="equal">
      <formula>0</formula>
    </cfRule>
  </conditionalFormatting>
  <conditionalFormatting sqref="C92:C9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98:C107">
    <cfRule type="cellIs" dxfId="1" priority="41" operator="lessThan">
      <formula>0</formula>
    </cfRule>
    <cfRule type="cellIs" dxfId="2" priority="40" operator="greaterThanOrEqual">
      <formula>0</formula>
    </cfRule>
  </conditionalFormatting>
  <conditionalFormatting sqref="E118:E127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5:E154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72:E181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78" operator="equal">
      <formula>0</formula>
    </cfRule>
  </conditionalFormatting>
  <conditionalFormatting sqref="C47:C55 C85 C95:C96 E144 E155 E158:E162">
    <cfRule type="cellIs" dxfId="1" priority="77" operator="greaterThan">
      <formula>0</formula>
    </cfRule>
  </conditionalFormatting>
  <conditionalFormatting sqref="E117 E128 E131:E13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E144 E155 E158:E162">
    <cfRule type="cellIs" dxfId="2" priority="54" operator="equal">
      <formula>0</formula>
    </cfRule>
  </conditionalFormatting>
  <conditionalFormatting sqref="E171 E182 E185:E189">
    <cfRule type="cellIs" dxfId="2" priority="49" operator="equal">
      <formula>0</formula>
    </cfRule>
    <cfRule type="cellIs" dxfId="1" priority="48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5" workbookViewId="0">
      <selection activeCell="G51" sqref="G51"/>
    </sheetView>
  </sheetViews>
  <sheetFormatPr defaultColWidth="9" defaultRowHeight="17.6"/>
  <cols>
    <col min="1" max="2" width="20.625" customWidth="1"/>
    <col min="3" max="3" width="30.25" customWidth="1"/>
    <col min="4" max="8" width="20.625" customWidth="1"/>
  </cols>
  <sheetData>
    <row r="1" ht="24.75" customHeight="1" spans="1:9">
      <c r="A1" s="1" t="str">
        <f>"Forecasts For the Year "&amp;IF(Main!B2,TEXT(EDATE(Main!B3,30),"mmmm yyyy"),TEXT(Main!B3+((Main!B5-Main!B3)*30+30),"mmmm yyyy"))&amp;" to "&amp;IF(Main!B2,TEXT(EDATE(Main!B3,33)-1,"mmmm yyyy"),TEXT(Main!B3+((Main!B5-Main!B3)*33+32),"mmmm yyyy"))</f>
        <v>Forecasts For the Year July 2027 to October 2027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16886.45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16964.67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IF(Main!B2,TEXT(EDATE(Main!B3,30),"dd mmmm yyyy"),TEXT(Main!B3+((Main!B5-Main!B3)*30+30),"dd mmmm yyyy"))&amp;" - "&amp;IF(Main!B2,TEXT(EDATE(Main!B3,31)-1,"dd mmmm yyyy"),TEXT(Main!B3+((Main!B5-Main!B3)*31+30),"dd mmmm yyyy"))&amp;" / "&amp;" (Revenue / Deferred Debts Or Expenses)"</f>
        <v>20 July 2027 - 19 August 2027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IF(Main!B2,TEXT(EDATE(Main!B3,31),"dd mmmm yyyy"),TEXT(Main!B3+((Main!B5-Main!B3)*31+31),"dd mmmm yyyy"))&amp;" - "&amp;IF(Main!B2,TEXT(EDATE(Main!B3,32)-1,"dd mmmm yyyy"),TEXT(Main!B3+((Main!B5-Main!B3)*32+31),"dd mmmm yyyy"))&amp;" / "&amp;" (Revenue / Deferred Debts Or Expenses)"</f>
        <v>20 August 2027 - 19 September 2027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IF(Main!B2,TEXT(EDATE(Main!B3,32),"dd mmmm yyyy"),TEXT(Main!B3+((Main!B5-Main!B3)*32+32),"dd mmmm yyyy"))&amp;" - "&amp;IF(Main!B2,TEXT(EDATE(Main!B3,33)-1,"dd mmmm yyyy"),TEXT(Main!B3+((Main!B5-Main!B3)*33+32),"dd mmmm yyyy"))&amp;" / "&amp;" (Revenue / Deferred Debts Or Expenses)"</f>
        <v>20 September 2027 - 19 October 2027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"&amp;IF(Main!B2,TEXT(EDATE(Main!B3,30),"mmmm yyyy"),TEXT(Main!B3+((Main!B5-Main!B3)*30+30),"mmmm yyyy"))&amp;" to "&amp;IF(Main!B2,TEXT(EDATE(Main!B3,33)-1,"mmmm yyyy"),TEXT(Main!B3+((Main!B5-Main!B3)*33+32),"mmmm yyyy"))</f>
        <v>Fixed Expense For the Year July 2027 to October 2027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55.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INDIRECT("'"&amp;INDIRECT("Main!B36")&amp;"'!C98")+SUM(E118+E145+E172)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INDIRECT("'"&amp;INDIRECT("Main!B36")&amp;"'!C99")+SUM(E119+E146+E173)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INDIRECT("'"&amp;INDIRECT("Main!B36")&amp;"'!C100")+SUM(E120+E147+E174)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INDIRECT("'"&amp;INDIRECT("Main!B36")&amp;"'!C101")+SUM(E121+E148+E175)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INDIRECT("'"&amp;INDIRECT("Main!B36")&amp;"'!C102")+SUM(E122+E149+E176)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INDIRECT("'"&amp;INDIRECT("Main!B36")&amp;"'!C103")+SUM(E123+E150+E177)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INDIRECT("'"&amp;INDIRECT("Main!B36")&amp;"'!C104")+SUM(E124+E151+E178)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INDIRECT("'"&amp;INDIRECT("Main!B36")&amp;"'!C105")+SUM(E125+E152+E179)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INDIRECT("'"&amp;INDIRECT("Main!B36")&amp;"'!C106")+SUM(E126+E153+E180)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INDIRECT("'"&amp;INDIRECT("Main!B36")&amp;"'!C107")+SUM(E127+E154+E181)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"&amp;IF(Main!B2,TEXT(EDATE(Main!B3,30),"mmmm dd yyyy"),TEXT(Main!B3+((Main!B5-Main!B3)*30+30),"mmmm dd yyyy"))&amp;" to "&amp;IF(Main!B2,TEXT(EDATE(Main!B3,31)-1,"mmmm dd yyyy"),TEXT(Main!B3+((Main!B5-Main!B3)*31+30),"mmmm dd yyyy"))</f>
        <v>Debts Or Credits For the Comming July 20 2027 to August 19 2027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"&amp;IF(Main!B2,TEXT(EDATE(Main!B3,30)-1,"mmmm yyyy"),TEXT(Main!B3+((Main!B5-Main!B3)*30+29),"mmmm yyyy"))</f>
        <v>Balance Brought Forward From July 2027</v>
      </c>
      <c r="B116" s="57"/>
      <c r="C116" s="58"/>
      <c r="D116" s="58"/>
      <c r="E116" s="71" cm="1">
        <f ca="1" t="array" ref="E116">INDIRECT("'"&amp;INDIRECT("Main!B36")&amp;"'!E190")</f>
        <v>15050.42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65.1" customHeight="1" spans="1:9">
      <c r="A129" s="63"/>
      <c r="B129" s="64"/>
      <c r="C129" s="73" t="s">
        <v>122</v>
      </c>
      <c r="D129" s="74"/>
      <c r="E129" s="87">
        <v>1090</v>
      </c>
      <c r="F129" s="14"/>
      <c r="G129" s="14"/>
      <c r="H129" s="14"/>
      <c r="I129" s="48"/>
    </row>
    <row r="130" ht="65.1" customHeight="1" spans="1:9">
      <c r="A130" s="63"/>
      <c r="B130" s="64"/>
      <c r="C130" s="74" t="s">
        <v>114</v>
      </c>
      <c r="D130" s="74"/>
      <c r="E130" s="87">
        <v>400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15625.43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"&amp;IF(Main!B2,TEXT(EDATE(Main!B3,31),"mmmm dd yyyy"),TEXT(Main!B3+((Main!B5-Main!B3)*31+31),"dd mmmm yyyy"))&amp;" to "&amp;IF(Main!B2,TEXT(EDATE(Main!B3,32)-1,"mmmm dd yyyy"),TEXT(Main!B3+((Main!B5-Main!B3)*32+31),"mmmm dd yyyy"))</f>
        <v>Debts Or Credits For the Comming August 20 2027 to September 19 2027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"&amp;IF(Main!B2,TEXT(EDATE(Main!B3,31)-1,"mmmm yyyy"),TEXT(Main!B3+((Main!B5-Main!B3)*31+30),"mmmm yyyy"))</f>
        <v>Balance Brought Forward From August 2027</v>
      </c>
      <c r="B143" s="57"/>
      <c r="C143" s="58"/>
      <c r="D143" s="58"/>
      <c r="E143" s="89">
        <f ca="1">E136</f>
        <v>15625.43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105.95" customHeight="1" spans="1:9">
      <c r="A156" s="63"/>
      <c r="B156" s="64"/>
      <c r="C156" s="73" t="s">
        <v>123</v>
      </c>
      <c r="D156" s="74"/>
      <c r="E156" s="87">
        <v>579</v>
      </c>
      <c r="F156" s="14"/>
      <c r="G156" s="14"/>
      <c r="H156" s="14"/>
      <c r="I156" s="48"/>
    </row>
    <row r="157" ht="105.95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16311.44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"&amp;IF(Main!B2,TEXT(EDATE(Main!B3,32),"mmmm dd yyyy"),TEXT(Main!B3+((Main!B5-Main!B3)*32+32),"mmmm dd yyyy"))&amp;" to "&amp;IF(Main!B2,TEXT(EDATE(Main!B3,33)-1,"mmmm dd yyyy"),TEXT(Main!B3+((Main!B5-Main!B3)*33+32),"mmmm dd yyyy"))</f>
        <v>Debts Or Credits For the Comming September 20 2027 to October 19 2027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"&amp;IF(Main!B2,TEXT(EDATE(Main!B3,32)-1,"mmmm yyyy"),TEXT(Main!B3+((Main!B5-Main!B3)*32+31),"mmmm yyyy"))</f>
        <v>Balance Brought Forward From September 2027</v>
      </c>
      <c r="B170" s="57"/>
      <c r="C170" s="58"/>
      <c r="D170" s="58"/>
      <c r="E170" s="92">
        <f ca="1">E163</f>
        <v>16311.44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44" customHeight="1" spans="1:9">
      <c r="A183" s="63"/>
      <c r="B183" s="64"/>
      <c r="C183" s="73" t="s">
        <v>122</v>
      </c>
      <c r="D183" s="74"/>
      <c r="E183" s="87">
        <v>1090</v>
      </c>
      <c r="F183" s="14"/>
      <c r="G183" s="14"/>
      <c r="H183" s="14"/>
      <c r="I183" s="48"/>
    </row>
    <row r="184" ht="66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spans="1:9">
      <c r="A190" s="80"/>
      <c r="B190" s="81"/>
      <c r="C190" s="82" t="s">
        <v>94</v>
      </c>
      <c r="D190" s="82"/>
      <c r="E190" s="92">
        <f ca="1">(F40+E170)-(SUM(E172:E181)+SUM(E183:E189))</f>
        <v>16886.45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6" operator="equal">
      <formula>0</formula>
    </cfRule>
    <cfRule type="cellIs" dxfId="1" priority="25" operator="greaterThan">
      <formula>0</formula>
    </cfRule>
  </conditionalFormatting>
  <conditionalFormatting sqref="C75">
    <cfRule type="cellIs" dxfId="0" priority="71" operator="equal">
      <formula>0</formula>
    </cfRule>
    <cfRule type="cellIs" dxfId="1" priority="70" operator="greaterThan">
      <formula>0</formula>
    </cfRule>
  </conditionalFormatting>
  <conditionalFormatting sqref="C77">
    <cfRule type="cellIs" dxfId="0" priority="69" operator="equal">
      <formula>0</formula>
    </cfRule>
    <cfRule type="cellIs" dxfId="1" priority="68" operator="greaterThan">
      <formula>0</formula>
    </cfRule>
  </conditionalFormatting>
  <conditionalFormatting sqref="C87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C90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C91">
    <cfRule type="cellIs" dxfId="0" priority="28" operator="equal">
      <formula>0</formula>
    </cfRule>
    <cfRule type="cellIs" dxfId="1" priority="27" operator="greaterThan">
      <formula>0</formula>
    </cfRule>
  </conditionalFormatting>
  <conditionalFormatting sqref="C108">
    <cfRule type="cellIs" dxfId="0" priority="24" operator="greaterThanOrEqual">
      <formula>0</formula>
    </cfRule>
    <cfRule type="cellIs" dxfId="1" priority="23" operator="lessThan">
      <formula>0</formula>
    </cfRule>
  </conditionalFormatting>
  <conditionalFormatting sqref="C109">
    <cfRule type="cellIs" dxfId="0" priority="22" operator="greaterThanOrEqual">
      <formula>0</formula>
    </cfRule>
    <cfRule type="cellIs" dxfId="1" priority="21" operator="lessThan">
      <formula>0</formula>
    </cfRule>
  </conditionalFormatting>
  <conditionalFormatting sqref="E116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29">
    <cfRule type="cellIs" dxfId="5" priority="4" operator="equal">
      <formula>0</formula>
    </cfRule>
  </conditionalFormatting>
  <conditionalFormatting sqref="E130">
    <cfRule type="cellIs" dxfId="5" priority="5" operator="equal">
      <formula>0</formula>
    </cfRule>
  </conditionalFormatting>
  <conditionalFormatting sqref="E136">
    <cfRule type="cellIs" dxfId="3" priority="63" operator="greaterThanOrEqual">
      <formula>0</formula>
    </cfRule>
    <cfRule type="cellIs" dxfId="4" priority="62" operator="lessThan">
      <formula>0</formula>
    </cfRule>
  </conditionalFormatting>
  <conditionalFormatting sqref="E143">
    <cfRule type="cellIs" dxfId="3" priority="50" operator="greaterThanOrEqual">
      <formula>0</formula>
    </cfRule>
    <cfRule type="cellIs" dxfId="4" priority="49" operator="lessThan">
      <formula>0</formula>
    </cfRule>
  </conditionalFormatting>
  <conditionalFormatting sqref="E163">
    <cfRule type="cellIs" dxfId="3" priority="52" operator="greaterThanOrEqual">
      <formula>0</formula>
    </cfRule>
    <cfRule type="cellIs" dxfId="4" priority="51" operator="lessThan">
      <formula>0</formula>
    </cfRule>
  </conditionalFormatting>
  <conditionalFormatting sqref="E170">
    <cfRule type="cellIs" dxfId="3" priority="44" operator="greaterThanOrEqual">
      <formula>0</formula>
    </cfRule>
    <cfRule type="cellIs" dxfId="4" priority="43" operator="lessThan">
      <formula>0</formula>
    </cfRule>
  </conditionalFormatting>
  <conditionalFormatting sqref="E183">
    <cfRule type="cellIs" dxfId="5" priority="1" operator="equal">
      <formula>0</formula>
    </cfRule>
  </conditionalFormatting>
  <conditionalFormatting sqref="E184">
    <cfRule type="cellIs" dxfId="5" priority="2" operator="equal">
      <formula>0</formula>
    </cfRule>
  </conditionalFormatting>
  <conditionalFormatting sqref="E190">
    <cfRule type="cellIs" dxfId="3" priority="46" operator="greaterThanOrEqual">
      <formula>0</formula>
    </cfRule>
    <cfRule type="cellIs" dxfId="4" priority="45" operator="lessThan">
      <formula>0</formula>
    </cfRule>
  </conditionalFormatting>
  <conditionalFormatting sqref="C57:C66">
    <cfRule type="cellIs" dxfId="0" priority="75" operator="equal">
      <formula>0</formula>
    </cfRule>
    <cfRule type="cellIs" dxfId="1" priority="74" operator="greaterThan">
      <formula>0</formula>
    </cfRule>
  </conditionalFormatting>
  <conditionalFormatting sqref="C68:C69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C70:C74">
    <cfRule type="cellIs" dxfId="0" priority="61" operator="equal">
      <formula>0</formula>
    </cfRule>
    <cfRule type="cellIs" dxfId="1" priority="60" operator="greaterThan">
      <formula>0</formula>
    </cfRule>
  </conditionalFormatting>
  <conditionalFormatting sqref="C78:C79">
    <cfRule type="cellIs" dxfId="0" priority="30" operator="equal">
      <formula>0</formula>
    </cfRule>
    <cfRule type="cellIs" dxfId="1" priority="29" operator="greaterThan">
      <formula>0</formula>
    </cfRule>
  </conditionalFormatting>
  <conditionalFormatting sqref="C80:C84">
    <cfRule type="cellIs" dxfId="0" priority="59" operator="equal">
      <formula>0</formula>
    </cfRule>
    <cfRule type="cellIs" dxfId="1" priority="58" operator="greaterThan">
      <formula>0</formula>
    </cfRule>
  </conditionalFormatting>
  <conditionalFormatting sqref="C88:C89">
    <cfRule type="cellIs" dxfId="5" priority="19" operator="equal">
      <formula>0</formula>
    </cfRule>
  </conditionalFormatting>
  <conditionalFormatting sqref="C92:C94">
    <cfRule type="cellIs" dxfId="0" priority="57" operator="equal">
      <formula>0</formula>
    </cfRule>
    <cfRule type="cellIs" dxfId="1" priority="56" operator="greaterThan">
      <formula>0</formula>
    </cfRule>
  </conditionalFormatting>
  <conditionalFormatting sqref="C98:C107">
    <cfRule type="cellIs" dxfId="1" priority="40" operator="lessThan">
      <formula>0</formula>
    </cfRule>
    <cfRule type="cellIs" dxfId="2" priority="39" operator="greaterThanOrEqual">
      <formula>0</formula>
    </cfRule>
  </conditionalFormatting>
  <conditionalFormatting sqref="E118:E127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E145:E154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E156:E157">
    <cfRule type="cellIs" dxfId="5" priority="3" operator="equal">
      <formula>0</formula>
    </cfRule>
  </conditionalFormatting>
  <conditionalFormatting sqref="E172:E181">
    <cfRule type="cellIs" dxfId="0" priority="34" operator="equal">
      <formula>0</formula>
    </cfRule>
    <cfRule type="cellIs" dxfId="1" priority="33" operator="greaterThan">
      <formula>0</formula>
    </cfRule>
  </conditionalFormatting>
  <conditionalFormatting sqref="C47:C55 C85 C95:C96">
    <cfRule type="cellIs" dxfId="0" priority="77" operator="equal">
      <formula>0</formula>
    </cfRule>
  </conditionalFormatting>
  <conditionalFormatting sqref="C47:C55 C85 C95:C96 E144 E155 E158:E162">
    <cfRule type="cellIs" dxfId="1" priority="76" operator="greaterThan">
      <formula>0</formula>
    </cfRule>
  </conditionalFormatting>
  <conditionalFormatting sqref="E117 E128 E131:E135">
    <cfRule type="cellIs" dxfId="0" priority="65" operator="equal">
      <formula>0</formula>
    </cfRule>
    <cfRule type="cellIs" dxfId="1" priority="64" operator="greaterThan">
      <formula>0</formula>
    </cfRule>
  </conditionalFormatting>
  <conditionalFormatting sqref="E144 E155 E158:E162">
    <cfRule type="cellIs" dxfId="2" priority="53" operator="equal">
      <formula>0</formula>
    </cfRule>
  </conditionalFormatting>
  <conditionalFormatting sqref="E171 E182 E185:E189">
    <cfRule type="cellIs" dxfId="2" priority="48" operator="equal">
      <formula>0</formula>
    </cfRule>
    <cfRule type="cellIs" dxfId="1" priority="47" operator="greaterThan">
      <formula>0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6" workbookViewId="0">
      <selection activeCell="F34" sqref="B34:G34"/>
    </sheetView>
  </sheetViews>
  <sheetFormatPr defaultColWidth="9" defaultRowHeight="17.6"/>
  <cols>
    <col min="1" max="1" width="20.625" customWidth="1"/>
    <col min="2" max="2" width="26" customWidth="1"/>
    <col min="3" max="3" width="33" customWidth="1"/>
    <col min="4" max="7" width="20.625" customWidth="1"/>
    <col min="9" max="10" width="20.625" customWidth="1"/>
  </cols>
  <sheetData>
    <row r="1" ht="24.75" customHeight="1" spans="1:9">
      <c r="A1" s="1" t="str">
        <f>"Forecasts For the Year "&amp;IF(Main!B2,TEXT(EDATE(Main!B3,33),"mmmm yyyy"),TEXT(Main!B3+((Main!B5-Main!B3)*33+33),"mmmm yyyy"))&amp;" to "&amp;IF(Main!B2,TEXT(EDATE(Main!B3,36)-1,"mmmm yyyy"),TEXT(Main!B3+((Main!B5-Main!B3)*36+35),"mmmm yyyy"))</f>
        <v>Forecasts For the Year October 2027 to January 2028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18993.48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19071.7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IF(Main!B2,TEXT(EDATE(Main!B3,33),"dd mmmm yyyy"),TEXT(Main!B3+((Main!B5-Main!B3)*33+33),"dd mmmm yyyy"))&amp;" - "&amp;IF(Main!B2,TEXT(EDATE(Main!B3,34)-1,"dd mmmm yyyy"),TEXT(Main!B3+((Main!B5-Main!B3)*34+33),"dd mmmm yyyy"))&amp;" / "&amp;" (Revenue / Deferred Debts Or Expenses)"</f>
        <v>20 October 2027 - 19 November 2027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IF(Main!B2,TEXT(EDATE(Main!B3,34),"dd mmmm yyyy"),TEXT(Main!B3+((Main!B5-Main!B3)*34+34),"dd mmmm yyyy"))&amp;" - "&amp;IF(Main!B2,TEXT(EDATE(Main!B3,35)-1,"dd mmmm yyyy"),TEXT(Main!B3+((Main!B5-Main!B3)*35+34),"dd mmmm yyyy"))&amp;" / "&amp;" (Revenue / Deferred Debts Or Expenses)"</f>
        <v>20 November 2027 - 19 December 2027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IF(Main!B2,TEXT(EDATE(Main!B3,35),"dd mmmm yyyy"),TEXT(Main!B3+((Main!B5-Main!B3)*35+35),"dd mmmm yyyy"))&amp;" - "&amp;IF(Main!B2,TEXT(EDATE(Main!B3,36)-1,"dd mmmm yyyy"),TEXT(Main!B3+((Main!B5-Main!B3)*36+35),"dd mmmm yyyy"))&amp;" / "&amp;" (Revenue / Deferred Debts Or Expenses)"</f>
        <v>20 December 2027 - 19 January 2028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"&amp;IF(Main!B2,TEXT(EDATE(Main!B3,33),"mmmm yyyy"),TEXT(Main!B3+((Main!B5-Main!B3)*33+33),"mmmm yyyy"))&amp;" to "&amp;IF(Main!B2,TEXT(EDATE(Main!B3,36)-1,"mmmm yyyy"),TEXT(Main!B3+((Main!B5-Main!B3)*36+35),"mmmm yyyy"))</f>
        <v>Fixed Expense For the Year October 2027 to January 2028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INDIRECT("'"&amp;INDIRECT("Main!B39")&amp;"'!C98")+SUM(E118+E145+E172)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INDIRECT("'"&amp;INDIRECT("Main!B39")&amp;"'!C99")+SUM(E119+E146+E173)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INDIRECT("'"&amp;INDIRECT("Main!B39")&amp;"'!C100")+SUM(E120+E147+E174)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INDIRECT("'"&amp;INDIRECT("Main!B39")&amp;"'!C101")+SUM(E121+E148+E175)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INDIRECT("'"&amp;INDIRECT("Main!B39")&amp;"'!C102")+SUM(E122+E149+E176)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INDIRECT("'"&amp;INDIRECT("Main!B39")&amp;"'!C103")+SUM(E123+E150+E177)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INDIRECT("'"&amp;INDIRECT("Main!B39")&amp;"'!C104")+SUM(E124+E151+E178)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INDIRECT("'"&amp;INDIRECT("Main!B39")&amp;"'!C105")+SUM(E125+E152+E179)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INDIRECT("'"&amp;INDIRECT("Main!B39")&amp;"'!C106")+SUM(E126+E153+E180)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INDIRECT("'"&amp;INDIRECT("Main!B39")&amp;"'!C107")+SUM(E127+E154+E181)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"&amp;IF(Main!B2,TEXT(EDATE(Main!B3,33),"mmmm dd yyyy"),TEXT(Main!B3+((Main!B5-Main!B3)*33+33),"mmmm dd yyyy"))&amp;" to "&amp;IF(Main!B2,TEXT(EDATE(Main!B3,34)-1,"mmmm dd yyyy"),TEXT(Main!B3+((Main!B5-Main!B3)*34+33),"mmmm dd yyyy"))</f>
        <v>Debts Or Credits For the Comming October 20 2027 to November 19 2027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"&amp;IF(Main!B2,TEXT(EDATE(Main!B3,33)-1,"mmmm yyyy"),TEXT(Main!B3+((Main!B5-Main!B3)*33+32),"mmmm yyyy"))</f>
        <v>Balance Brought Forward From October 2027</v>
      </c>
      <c r="B116" s="57"/>
      <c r="C116" s="58"/>
      <c r="D116" s="58"/>
      <c r="E116" s="71" cm="1">
        <f ca="1" t="array" ref="E116">INDIRECT("'"&amp;INDIRECT("Main!B39")&amp;"'!E190")</f>
        <v>16886.45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50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83.1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17732.46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"&amp;IF(Main!B2,TEXT(EDATE(Main!B3,34),"mmmm dd yyyy"),TEXT(Main!B3+((Main!B5-Main!B3)*34+34),"dd mmmm yyyy"))&amp;" to "&amp;IF(Main!B2,TEXT(EDATE(Main!B3,35)-1,"mmmm dd yyyy"),TEXT(Main!B3+((Main!B5-Main!B3)*35+34),"mmmm dd yyyy"))</f>
        <v>Debts Or Credits For the Comming November 20 2027 to December 19 2027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"&amp;IF(Main!B2,TEXT(EDATE(Main!B3,34)-1,"mmmm yyyy"),TEXT(Main!B3+((Main!B5-Main!B3)*34+33),"mmmm yyyy"))</f>
        <v>Balance Brought Forward From November 2027</v>
      </c>
      <c r="B143" s="57"/>
      <c r="C143" s="58"/>
      <c r="D143" s="58"/>
      <c r="E143" s="89">
        <f ca="1">E136</f>
        <v>17732.46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114.95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114.95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18147.47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"&amp;IF(Main!B2,TEXT(EDATE(Main!B3,35),"mmmm dd yyyy"),TEXT(Main!B3+((Main!B5-Main!B3)*35+35),"mmmm dd yyyy"))&amp;" to "&amp;IF(Main!B2,TEXT(EDATE(Main!B3,36)-1,"mmmm dd yyyy"),TEXT(Main!B3+((Main!B5-Main!B3)*36+35),"mmmm dd yyyy"))</f>
        <v>Debts Or Credits For the Comming December 20 2027 to January 19 2028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"&amp;IF(Main!B2,TEXT(EDATE(Main!B3,35)-1,"mmmm yyyy"),TEXT(Main!B3+((Main!B5-Main!B3)*35+34),"mmmm yyyy"))</f>
        <v>Balance Brought Forward From December 2027</v>
      </c>
      <c r="B170" s="57"/>
      <c r="C170" s="58"/>
      <c r="D170" s="58"/>
      <c r="E170" s="92">
        <f ca="1">E163</f>
        <v>18147.47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84.95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46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18993.48</v>
      </c>
      <c r="F190" s="14"/>
      <c r="G190" s="14"/>
      <c r="H190" s="14"/>
      <c r="I190" s="48"/>
    </row>
    <row r="19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ht="24.75" customHeight="1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75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77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87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C90">
    <cfRule type="cellIs" dxfId="0" priority="17" operator="equal">
      <formula>0</formula>
    </cfRule>
    <cfRule type="cellIs" dxfId="1" priority="16" operator="greaterThan">
      <formula>0</formula>
    </cfRule>
  </conditionalFormatting>
  <conditionalFormatting sqref="C91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108">
    <cfRule type="cellIs" dxfId="0" priority="23" operator="greaterThanOrEqual">
      <formula>0</formula>
    </cfRule>
    <cfRule type="cellIs" dxfId="1" priority="22" operator="lessThan">
      <formula>0</formula>
    </cfRule>
  </conditionalFormatting>
  <conditionalFormatting sqref="C109">
    <cfRule type="cellIs" dxfId="0" priority="21" operator="greaterThanOrEqual">
      <formula>0</formula>
    </cfRule>
    <cfRule type="cellIs" dxfId="1" priority="20" operator="lessThan">
      <formula>0</formula>
    </cfRule>
  </conditionalFormatting>
  <conditionalFormatting sqref="E116">
    <cfRule type="cellIs" dxfId="3" priority="31" operator="greaterThanOrEqual">
      <formula>0</formula>
    </cfRule>
    <cfRule type="cellIs" dxfId="4" priority="30" operator="lessThan">
      <formula>0</formula>
    </cfRule>
  </conditionalFormatting>
  <conditionalFormatting sqref="E136">
    <cfRule type="cellIs" dxfId="3" priority="62" operator="greaterThanOrEqual">
      <formula>0</formula>
    </cfRule>
    <cfRule type="cellIs" dxfId="4" priority="61" operator="lessThan">
      <formula>0</formula>
    </cfRule>
  </conditionalFormatting>
  <conditionalFormatting sqref="E143">
    <cfRule type="cellIs" dxfId="3" priority="49" operator="greaterThanOrEqual">
      <formula>0</formula>
    </cfRule>
    <cfRule type="cellIs" dxfId="4" priority="48" operator="lessThan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70">
    <cfRule type="cellIs" dxfId="3" priority="43" operator="greaterThanOrEqual">
      <formula>0</formula>
    </cfRule>
    <cfRule type="cellIs" dxfId="4" priority="42" operator="lessThan">
      <formula>0</formula>
    </cfRule>
  </conditionalFormatting>
  <conditionalFormatting sqref="E190">
    <cfRule type="cellIs" dxfId="3" priority="45" operator="greaterThanOrEqual">
      <formula>0</formula>
    </cfRule>
    <cfRule type="cellIs" dxfId="4" priority="44" operator="lessThan">
      <formula>0</formula>
    </cfRule>
  </conditionalFormatting>
  <conditionalFormatting sqref="C57:C66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68:C69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0:C7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78:C79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80:C8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88:C89">
    <cfRule type="cellIs" dxfId="5" priority="18" operator="equal">
      <formula>0</formula>
    </cfRule>
  </conditionalFormatting>
  <conditionalFormatting sqref="C92:C9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98:C107">
    <cfRule type="cellIs" dxfId="1" priority="39" operator="lessThan">
      <formula>0</formula>
    </cfRule>
    <cfRule type="cellIs" dxfId="2" priority="38" operator="greaterThanOrEqual">
      <formula>0</formula>
    </cfRule>
  </conditionalFormatting>
  <conditionalFormatting sqref="E118:E127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5:E154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E172:E181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76" operator="equal">
      <formula>0</formula>
    </cfRule>
  </conditionalFormatting>
  <conditionalFormatting sqref="C47:C55 C85 C95:C96 E144 E155 E158:E162">
    <cfRule type="cellIs" dxfId="1" priority="75" operator="greaterThan">
      <formula>0</formula>
    </cfRule>
  </conditionalFormatting>
  <conditionalFormatting sqref="E117 E128 E131:E135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E144 E155 E158:E162">
    <cfRule type="cellIs" dxfId="2" priority="52" operator="equal">
      <formula>0</formula>
    </cfRule>
  </conditionalFormatting>
  <conditionalFormatting sqref="E171 E182 E185:E189">
    <cfRule type="cellIs" dxfId="2" priority="47" operator="equal">
      <formula>0</formula>
    </cfRule>
    <cfRule type="cellIs" dxfId="1" priority="46" operator="greaterThan">
      <formula>0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4"/>
  <sheetViews>
    <sheetView workbookViewId="0">
      <selection activeCell="F34" sqref="B34:G34"/>
    </sheetView>
  </sheetViews>
  <sheetFormatPr defaultColWidth="9" defaultRowHeight="17.6"/>
  <cols>
    <col min="1" max="2" width="20.625" customWidth="1"/>
    <col min="3" max="3" width="28.75" customWidth="1"/>
    <col min="4" max="8" width="20.625" customWidth="1"/>
  </cols>
  <sheetData>
    <row r="1" ht="24.75" customHeight="1" spans="1:9">
      <c r="A1" s="1" t="str">
        <f>"Forecasts For the Year "&amp;IF(Main!B2,TEXT(EDATE(Main!B3,36),"mmmm yyyy"),TEXT(Main!B3+((Main!B5-Main!B3)*36+36),"mmmm yyyy"))&amp;" to "&amp;IF(Main!B2,TEXT(EDATE(Main!B3,39)-1,"mmmm yyyy"),TEXT(Main!B3+((Main!B5-Main!B3)*39+38),"mmmm yyyy"))</f>
        <v>Forecasts For the Year January 2028 to April 2028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20919.51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20997.73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IF(Main!B2,TEXT(EDATE(Main!B3,36),"dd mmmm yyyy"),TEXT(Main!B3+((Main!B5-Main!B3)*36+36),"dd mmmm yyyy"))&amp;" - "&amp;IF(Main!B2,TEXT(EDATE(Main!B3,37)-1,"dd mmmm yyyy"),TEXT(Main!B3+((Main!B5-Main!B3)*37+36),"dd mmmm yyyy"))&amp;" / "&amp;" (Revenue / Deferred Debts Or Expenses)"</f>
        <v>20 January 2028 - 19 February 2028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01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01"/>
      <c r="B11" s="20"/>
      <c r="C11" s="20"/>
      <c r="D11" s="21"/>
      <c r="E11" s="21"/>
      <c r="F11" s="7">
        <v>0</v>
      </c>
      <c r="G11" s="7"/>
      <c r="H11" s="14"/>
      <c r="I11" s="48"/>
    </row>
    <row r="12" ht="24.75" customHeight="1" spans="1:9">
      <c r="A12" s="101"/>
      <c r="B12" s="20"/>
      <c r="C12" s="20"/>
      <c r="D12" s="21"/>
      <c r="E12" s="21"/>
      <c r="F12" s="7">
        <v>0</v>
      </c>
      <c r="G12" s="7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IF(Main!B2,TEXT(EDATE(Main!B3,37),"dd mmmm yyyy"),TEXT(Main!B3+((Main!B5-Main!B3)*37+37),"dd mmmm yyyy"))&amp;" - "&amp;IF(Main!B2,TEXT(EDATE(Main!B3,38)-1,"dd mmmm yyyy"),TEXT(Main!B3+((Main!B5-Main!B3)*38+37),"dd mmmm yyyy"))&amp;" / "&amp;" (Revenue / Deferred Debts Or Expenses)"</f>
        <v>20 February 2028 - 19 March 2028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01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01"/>
      <c r="B23" s="20"/>
      <c r="C23" s="20"/>
      <c r="D23" s="21"/>
      <c r="E23" s="21"/>
      <c r="F23" s="7">
        <v>0</v>
      </c>
      <c r="G23" s="7"/>
      <c r="H23" s="14"/>
      <c r="I23" s="48"/>
    </row>
    <row r="24" ht="24.75" customHeight="1" spans="1:9">
      <c r="A24" s="101"/>
      <c r="B24" s="20"/>
      <c r="C24" s="20"/>
      <c r="D24" s="21"/>
      <c r="E24" s="21"/>
      <c r="F24" s="7">
        <v>0</v>
      </c>
      <c r="G24" s="7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IF(Main!B2,TEXT(EDATE(Main!B3,38),"dd mmmm yyyy"),TEXT(Main!B3+((Main!B5-Main!B3)*38+38),"dd mmmm yyyy"))&amp;" - "&amp;IF(Main!B2,TEXT(EDATE(Main!B3,39)-1,"dd mmmm yyyy"),TEXT(Main!B3+((Main!B5-Main!B3)*39+38),"dd mmmm yyyy"))&amp;" / "&amp;" (Revenue / Deferred Debts Or Expenses)"</f>
        <v>20 March 2028 - 19 April 2028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01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01"/>
      <c r="B35" s="20"/>
      <c r="C35" s="20"/>
      <c r="D35" s="21"/>
      <c r="E35" s="21"/>
      <c r="F35" s="7">
        <v>0</v>
      </c>
      <c r="G35" s="7"/>
      <c r="H35" s="14"/>
      <c r="I35" s="48"/>
    </row>
    <row r="36" ht="24.75" customHeight="1" spans="1:9">
      <c r="A36" s="101"/>
      <c r="B36" s="20"/>
      <c r="C36" s="20"/>
      <c r="D36" s="21"/>
      <c r="E36" s="21"/>
      <c r="F36" s="7">
        <v>0</v>
      </c>
      <c r="G36" s="7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"&amp;IF(Main!B2,TEXT(EDATE(Main!B3,36),"mmmm yyyy"),TEXT(Main!B3+((Main!B5-Main!B3)*36+36),"mmmm yyyy"))&amp;" to "&amp;IF(Main!B2,TEXT(EDATE(Main!B3,39)-1,"mmmm yyyy"),TEXT(Main!B3+((Main!B5-Main!B3)*39+38),"mmmm yyyy"))</f>
        <v>Fixed Expense For the Year January 2028 to April 2028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8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8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INDIRECT("'"&amp;INDIRECT("Main!B42")&amp;"'!C98")+SUM(E118+E145+E172)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INDIRECT("'"&amp;INDIRECT("Main!B42")&amp;"'!C99")+SUM(E119+E146+E173)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INDIRECT("'"&amp;INDIRECT("Main!B42")&amp;"'!C100")+SUM(E120+E147+E174)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INDIRECT("'"&amp;INDIRECT("Main!B42")&amp;"'!C101")+SUM(E121+E148+E175)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INDIRECT("'"&amp;INDIRECT("Main!B42")&amp;"'!C102")+SUM(E122+E149+E176)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INDIRECT("'"&amp;INDIRECT("Main!B42")&amp;"'!C103")+SUM(E123+E150+E177)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INDIRECT("'"&amp;INDIRECT("Main!B42")&amp;"'!C104")+SUM(E124+E151+E178)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INDIRECT("'"&amp;INDIRECT("Main!B42")&amp;"'!C105")+SUM(E125+E152+E179)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INDIRECT("'"&amp;INDIRECT("Main!B42")&amp;"'!C106")+SUM(E126+E153+E180)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INDIRECT("'"&amp;INDIRECT("Main!B42")&amp;"'!C107")+SUM(E127+E154+E181)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"&amp;IF(Main!B2,TEXT(EDATE(Main!B3,36),"mmmm dd yyyy"),TEXT(Main!B3+((Main!B5-Main!B3)*36+36),"mmmm dd yyyy"))&amp;" to "&amp;IF(Main!B2,TEXT(EDATE(Main!B3,37)-1,"mmmm dd yyyy"),TEXT(Main!B3+((Main!B5-Main!B3)*37+36),"mmmm dd yyyy"))</f>
        <v>Debts Or Credits For the Comming January 20 2028 to February 19 2028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"&amp;IF(Main!B2,TEXT(EDATE(Main!B3,37)-1,"mmmm yyyy"),TEXT(Main!B3+((Main!B5-Main!B3)*37+36),"mmmm yyyy"))</f>
        <v>Balance Brought Forward From February 2028</v>
      </c>
      <c r="B116" s="57"/>
      <c r="C116" s="58"/>
      <c r="D116" s="58"/>
      <c r="E116" s="71" cm="1">
        <f ca="1" t="array" ref="E116">INDIRECT("'"&amp;INDIRECT("Main!B42")&amp;"'!E190")</f>
        <v>18993.48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57" customHeight="1" spans="1:9">
      <c r="A129" s="63"/>
      <c r="B129" s="64"/>
      <c r="C129" s="73" t="s">
        <v>119</v>
      </c>
      <c r="D129" s="74"/>
      <c r="E129" s="87">
        <v>1040</v>
      </c>
      <c r="F129" s="14"/>
      <c r="G129" s="14"/>
      <c r="H129" s="14"/>
      <c r="I129" s="48"/>
    </row>
    <row r="130" ht="32" customHeight="1" spans="1:9">
      <c r="A130" s="63"/>
      <c r="B130" s="64"/>
      <c r="C130" s="74" t="s">
        <v>114</v>
      </c>
      <c r="D130" s="74"/>
      <c r="E130" s="87">
        <v>400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19618.49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"&amp;IF(Main!B2,TEXT(EDATE(Main!B3,37),"mmmm dd yyyy"),TEXT(Main!B3+((Main!B5-Main!B3)*37+37),"dd mmmm yyyy"))&amp;" to "&amp;IF(Main!B2,TEXT(EDATE(Main!B3,38)-1,"mmmm dd yyyy"),TEXT(Main!B3+((Main!B5-Main!B3)*38+37),"mmmm dd yyyy"))</f>
        <v>Debts Or Credits For the Comming February 20 2028 to March 19 2028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"&amp;IF(Main!B2,TEXT(EDATE(Main!B3,37)-1,"mmmm yyyy"),TEXT(Main!B3+((Main!B5-Main!B3)*37+36),"mmmm yyyy"))</f>
        <v>Balance Brought Forward From February 2028</v>
      </c>
      <c r="B143" s="57"/>
      <c r="C143" s="58"/>
      <c r="D143" s="58"/>
      <c r="E143" s="89">
        <f ca="1">E136</f>
        <v>19618.49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78" customHeight="1" spans="1:9">
      <c r="A156" s="63"/>
      <c r="B156" s="64"/>
      <c r="C156" s="73" t="s">
        <v>123</v>
      </c>
      <c r="D156" s="74"/>
      <c r="E156" s="87">
        <v>579</v>
      </c>
      <c r="F156" s="14"/>
      <c r="G156" s="14"/>
      <c r="H156" s="14"/>
      <c r="I156" s="48"/>
    </row>
    <row r="157" ht="78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20304.5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"&amp;IF(Main!B2,TEXT(EDATE(Main!B3,38),"mmmm dd yyyy"),TEXT(Main!B3+((Main!B5-Main!B3)*38+38),"mmmm dd yyyy"))&amp;" to "&amp;IF(Main!B2,TEXT(EDATE(Main!B3,39)-1,"mmmm dd yyyy"),TEXT(Main!B3+((Main!B5-Main!B3)*39+38),"mmmm dd yyyy"))</f>
        <v>Debts Or Credits For the Comming March 20 2028 to April 19 2028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"&amp;IF(Main!B2,TEXT(EDATE(Main!B3,38)-1,"mmmm yyyy"),TEXT(Main!B3+((Main!B5-Main!B3)*38+37),"mmmm yyyy"))</f>
        <v>Balance Brought Forward From March 2028</v>
      </c>
      <c r="B170" s="57"/>
      <c r="C170" s="58"/>
      <c r="D170" s="58"/>
      <c r="E170" s="92">
        <f ca="1">E163</f>
        <v>20304.5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84" customHeight="1" spans="1:9">
      <c r="A183" s="63"/>
      <c r="B183" s="64"/>
      <c r="C183" s="73" t="s">
        <v>122</v>
      </c>
      <c r="D183" s="74"/>
      <c r="E183" s="87">
        <v>1050</v>
      </c>
      <c r="F183" s="14"/>
      <c r="G183" s="14"/>
      <c r="H183" s="14"/>
      <c r="I183" s="48"/>
    </row>
    <row r="184" ht="84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spans="1:9">
      <c r="A190" s="80"/>
      <c r="B190" s="81"/>
      <c r="C190" s="82" t="s">
        <v>94</v>
      </c>
      <c r="D190" s="82"/>
      <c r="E190" s="92">
        <f ca="1">(F40+E170)-(SUM(E172:E181)+SUM(E183:E189))</f>
        <v>20919.51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ht="24.75" customHeight="1" spans="1:9">
      <c r="A193" s="41"/>
      <c r="B193" s="41"/>
      <c r="C193" s="41"/>
      <c r="D193" s="41"/>
      <c r="E193" s="41"/>
      <c r="F193" s="41"/>
      <c r="G193" s="41"/>
      <c r="H193" s="41"/>
      <c r="I193" s="41"/>
    </row>
    <row r="194" ht="24.75" customHeight="1"/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26" operator="equal">
      <formula>0</formula>
    </cfRule>
    <cfRule type="cellIs" dxfId="1" priority="25" operator="greaterThan">
      <formula>0</formula>
    </cfRule>
  </conditionalFormatting>
  <conditionalFormatting sqref="C75">
    <cfRule type="cellIs" dxfId="0" priority="71" operator="equal">
      <formula>0</formula>
    </cfRule>
    <cfRule type="cellIs" dxfId="1" priority="70" operator="greaterThan">
      <formula>0</formula>
    </cfRule>
  </conditionalFormatting>
  <conditionalFormatting sqref="C77">
    <cfRule type="cellIs" dxfId="0" priority="69" operator="equal">
      <formula>0</formula>
    </cfRule>
    <cfRule type="cellIs" dxfId="1" priority="68" operator="greaterThan">
      <formula>0</formula>
    </cfRule>
  </conditionalFormatting>
  <conditionalFormatting sqref="C87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C90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C91">
    <cfRule type="cellIs" dxfId="0" priority="28" operator="equal">
      <formula>0</formula>
    </cfRule>
    <cfRule type="cellIs" dxfId="1" priority="27" operator="greaterThan">
      <formula>0</formula>
    </cfRule>
  </conditionalFormatting>
  <conditionalFormatting sqref="C108">
    <cfRule type="cellIs" dxfId="0" priority="24" operator="greaterThanOrEqual">
      <formula>0</formula>
    </cfRule>
    <cfRule type="cellIs" dxfId="1" priority="23" operator="lessThan">
      <formula>0</formula>
    </cfRule>
  </conditionalFormatting>
  <conditionalFormatting sqref="C109">
    <cfRule type="cellIs" dxfId="0" priority="22" operator="greaterThanOrEqual">
      <formula>0</formula>
    </cfRule>
    <cfRule type="cellIs" dxfId="1" priority="21" operator="lessThan">
      <formula>0</formula>
    </cfRule>
  </conditionalFormatting>
  <conditionalFormatting sqref="E116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29">
    <cfRule type="cellIs" dxfId="5" priority="4" operator="equal">
      <formula>0</formula>
    </cfRule>
  </conditionalFormatting>
  <conditionalFormatting sqref="E130">
    <cfRule type="cellIs" dxfId="5" priority="5" operator="equal">
      <formula>0</formula>
    </cfRule>
  </conditionalFormatting>
  <conditionalFormatting sqref="E136">
    <cfRule type="cellIs" dxfId="3" priority="63" operator="greaterThanOrEqual">
      <formula>0</formula>
    </cfRule>
    <cfRule type="cellIs" dxfId="4" priority="62" operator="lessThan">
      <formula>0</formula>
    </cfRule>
  </conditionalFormatting>
  <conditionalFormatting sqref="E143">
    <cfRule type="cellIs" dxfId="3" priority="50" operator="greaterThanOrEqual">
      <formula>0</formula>
    </cfRule>
    <cfRule type="cellIs" dxfId="4" priority="49" operator="lessThan">
      <formula>0</formula>
    </cfRule>
  </conditionalFormatting>
  <conditionalFormatting sqref="E163">
    <cfRule type="cellIs" dxfId="3" priority="52" operator="greaterThanOrEqual">
      <formula>0</formula>
    </cfRule>
    <cfRule type="cellIs" dxfId="4" priority="51" operator="lessThan">
      <formula>0</formula>
    </cfRule>
  </conditionalFormatting>
  <conditionalFormatting sqref="E170">
    <cfRule type="cellIs" dxfId="3" priority="44" operator="greaterThanOrEqual">
      <formula>0</formula>
    </cfRule>
    <cfRule type="cellIs" dxfId="4" priority="43" operator="lessThan">
      <formula>0</formula>
    </cfRule>
  </conditionalFormatting>
  <conditionalFormatting sqref="E183">
    <cfRule type="cellIs" dxfId="5" priority="1" operator="equal">
      <formula>0</formula>
    </cfRule>
  </conditionalFormatting>
  <conditionalFormatting sqref="E184">
    <cfRule type="cellIs" dxfId="5" priority="2" operator="equal">
      <formula>0</formula>
    </cfRule>
  </conditionalFormatting>
  <conditionalFormatting sqref="E190">
    <cfRule type="cellIs" dxfId="3" priority="46" operator="greaterThanOrEqual">
      <formula>0</formula>
    </cfRule>
    <cfRule type="cellIs" dxfId="4" priority="45" operator="lessThan">
      <formula>0</formula>
    </cfRule>
  </conditionalFormatting>
  <conditionalFormatting sqref="C57:C66">
    <cfRule type="cellIs" dxfId="0" priority="75" operator="equal">
      <formula>0</formula>
    </cfRule>
    <cfRule type="cellIs" dxfId="1" priority="74" operator="greaterThan">
      <formula>0</formula>
    </cfRule>
  </conditionalFormatting>
  <conditionalFormatting sqref="C68:C69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C70:C74">
    <cfRule type="cellIs" dxfId="0" priority="61" operator="equal">
      <formula>0</formula>
    </cfRule>
    <cfRule type="cellIs" dxfId="1" priority="60" operator="greaterThan">
      <formula>0</formula>
    </cfRule>
  </conditionalFormatting>
  <conditionalFormatting sqref="C78:C79">
    <cfRule type="cellIs" dxfId="0" priority="30" operator="equal">
      <formula>0</formula>
    </cfRule>
    <cfRule type="cellIs" dxfId="1" priority="29" operator="greaterThan">
      <formula>0</formula>
    </cfRule>
  </conditionalFormatting>
  <conditionalFormatting sqref="C80:C84">
    <cfRule type="cellIs" dxfId="0" priority="59" operator="equal">
      <formula>0</formula>
    </cfRule>
    <cfRule type="cellIs" dxfId="1" priority="58" operator="greaterThan">
      <formula>0</formula>
    </cfRule>
  </conditionalFormatting>
  <conditionalFormatting sqref="C88:C89">
    <cfRule type="cellIs" dxfId="5" priority="19" operator="equal">
      <formula>0</formula>
    </cfRule>
  </conditionalFormatting>
  <conditionalFormatting sqref="C92:C94">
    <cfRule type="cellIs" dxfId="0" priority="57" operator="equal">
      <formula>0</formula>
    </cfRule>
    <cfRule type="cellIs" dxfId="1" priority="56" operator="greaterThan">
      <formula>0</formula>
    </cfRule>
  </conditionalFormatting>
  <conditionalFormatting sqref="C98:C107">
    <cfRule type="cellIs" dxfId="1" priority="40" operator="lessThan">
      <formula>0</formula>
    </cfRule>
    <cfRule type="cellIs" dxfId="2" priority="39" operator="greaterThanOrEqual">
      <formula>0</formula>
    </cfRule>
  </conditionalFormatting>
  <conditionalFormatting sqref="E118:E127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E145:E154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E156:E157">
    <cfRule type="cellIs" dxfId="5" priority="3" operator="equal">
      <formula>0</formula>
    </cfRule>
  </conditionalFormatting>
  <conditionalFormatting sqref="E172:E181">
    <cfRule type="cellIs" dxfId="0" priority="34" operator="equal">
      <formula>0</formula>
    </cfRule>
    <cfRule type="cellIs" dxfId="1" priority="33" operator="greaterThan">
      <formula>0</formula>
    </cfRule>
  </conditionalFormatting>
  <conditionalFormatting sqref="C47:C55 C85 C95:C96">
    <cfRule type="cellIs" dxfId="0" priority="77" operator="equal">
      <formula>0</formula>
    </cfRule>
  </conditionalFormatting>
  <conditionalFormatting sqref="C47:C55 C85 C95:C96 E144 E155 E158:E162">
    <cfRule type="cellIs" dxfId="1" priority="76" operator="greaterThan">
      <formula>0</formula>
    </cfRule>
  </conditionalFormatting>
  <conditionalFormatting sqref="E117 E128 E131:E135">
    <cfRule type="cellIs" dxfId="0" priority="65" operator="equal">
      <formula>0</formula>
    </cfRule>
    <cfRule type="cellIs" dxfId="1" priority="64" operator="greaterThan">
      <formula>0</formula>
    </cfRule>
  </conditionalFormatting>
  <conditionalFormatting sqref="E144 E155 E158:E162">
    <cfRule type="cellIs" dxfId="2" priority="53" operator="equal">
      <formula>0</formula>
    </cfRule>
  </conditionalFormatting>
  <conditionalFormatting sqref="E171 E182 E185:E189">
    <cfRule type="cellIs" dxfId="2" priority="48" operator="equal">
      <formula>0</formula>
    </cfRule>
    <cfRule type="cellIs" dxfId="1" priority="47" operator="greaterThan">
      <formula>0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D27" sqref="D27:E27"/>
    </sheetView>
  </sheetViews>
  <sheetFormatPr defaultColWidth="9" defaultRowHeight="17.6"/>
  <cols>
    <col min="1" max="2" width="20.625" customWidth="1"/>
    <col min="3" max="3" width="35.25" customWidth="1"/>
    <col min="4" max="9" width="20.625" customWidth="1"/>
  </cols>
  <sheetData>
    <row r="1" ht="24.75" customHeight="1" spans="1:9">
      <c r="A1" s="1" t="str">
        <f>"Forecasts For the Year "&amp;IF(Main!B2,TEXT(EDATE(Main!B3,39),"mmmm yyyy"),TEXT(Main!B3+((Main!B5-Main!B3)*39+39),"mmmm yyyy"))&amp;" to "&amp;IF(Main!B2,TEXT(EDATE(Main!B3,42)-1,"mmmm yyyy"),TEXT(Main!B3+((Main!B5-Main!B3)*42+41),"mmmm yyyy"))</f>
        <v>Forecasts For the Year April 2028 to July 2028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24109.54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24187.76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IF(Main!B2,TEXT(EDATE(Main!B3,39),"dd mmmm yyyy"),TEXT(Main!B3+((Main!B5-Main!B3)*39+39),"dd mmmm yyyy"))&amp;" - "&amp;IF(Main!B2,TEXT(EDATE(Main!B3,40)-1,"dd mmmm yyyy"),TEXT(Main!B3+((Main!B5-Main!B3)*40+39),"dd mmmm yyyy"))&amp;" / "&amp;" (Revenue / Deferred Debts Or Expenses)"</f>
        <v>20 April 2028 - 19 May 2028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9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9"/>
      <c r="B11" s="22"/>
      <c r="C11" s="23"/>
      <c r="D11" s="24"/>
      <c r="E11" s="42"/>
      <c r="F11" s="43">
        <v>0</v>
      </c>
      <c r="G11" s="44"/>
      <c r="H11" s="14"/>
      <c r="I11" s="48"/>
    </row>
    <row r="12" ht="24.75" customHeight="1" spans="1:9">
      <c r="A12" s="19"/>
      <c r="B12" s="22"/>
      <c r="C12" s="23"/>
      <c r="D12" s="24"/>
      <c r="E12" s="42"/>
      <c r="F12" s="43">
        <v>0</v>
      </c>
      <c r="G12" s="44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IF(Main!B2,TEXT(EDATE(Main!B3,40),"dd mmmm yyyy"),TEXT(Main!B3+((Main!B5-Main!B3)*40+40),"dd mmmm yyyy"))&amp;" - "&amp;IF(Main!B2,TEXT(EDATE(Main!B3,41)-1,"dd mmmm yyyy"),TEXT(Main!B3+((Main!B5-Main!B3)*41+40),"dd mmmm yyyy"))&amp;" / "&amp;" (Revenue / Deferred Debts Or Expenses)"</f>
        <v>20 May 2028 - 19 June 2028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9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9"/>
      <c r="B23" s="97" t="s">
        <v>98</v>
      </c>
      <c r="C23" s="98"/>
      <c r="D23" s="99" t="s">
        <v>101</v>
      </c>
      <c r="E23" s="100"/>
      <c r="F23" s="7">
        <v>1083</v>
      </c>
      <c r="G23" s="7"/>
      <c r="H23" s="14"/>
      <c r="I23" s="48"/>
    </row>
    <row r="24" ht="24.75" customHeight="1" spans="1:9">
      <c r="A24" s="19"/>
      <c r="B24" s="22"/>
      <c r="C24" s="23"/>
      <c r="D24" s="24"/>
      <c r="E24" s="42"/>
      <c r="F24" s="43">
        <v>0</v>
      </c>
      <c r="G24" s="44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3518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IF(Main!B2,TEXT(EDATE(Main!B3,41),"dd mmmm yyyy"),TEXT(Main!B3+((Main!B5-Main!B3)*41+41),"dd mmmm yyyy"))&amp;" - "&amp;IF(Main!B2,TEXT(EDATE(Main!B3,42)-1,"dd mmmm yyyy"),TEXT(Main!B3+((Main!B5-Main!B3)*42+41),"dd mmmm yyyy"))&amp;" / "&amp;" (Revenue / Deferred Debts Or Expenses)"</f>
        <v>20 June 2028 - 19 July 2028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9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9"/>
      <c r="B35" s="22"/>
      <c r="C35" s="23"/>
      <c r="D35" s="24"/>
      <c r="E35" s="42"/>
      <c r="F35" s="43">
        <v>0</v>
      </c>
      <c r="G35" s="44"/>
      <c r="H35" s="14"/>
      <c r="I35" s="48"/>
    </row>
    <row r="36" ht="24.75" customHeight="1" spans="1:9">
      <c r="A36" s="19"/>
      <c r="B36" s="22"/>
      <c r="C36" s="23"/>
      <c r="D36" s="24"/>
      <c r="E36" s="42"/>
      <c r="F36" s="43">
        <v>0</v>
      </c>
      <c r="G36" s="44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"&amp;IF(Main!B2,TEXT(EDATE(Main!B3,39),"mmmm yyyy"),TEXT(Main!B3+((Main!B5-Main!B3)*39+39),"mmmm yyyy"))&amp;" to "&amp;IF(Main!B2,TEXT(EDATE(Main!B3,42)-1,"mmmm yyyy"),TEXT(Main!B3+((Main!B5-Main!B3)*42+41),"mmmm yyyy"))</f>
        <v>Fixed Expense For the Year April 2028 to July 2028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3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3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INDIRECT("'"&amp;INDIRECT("Main!B45")&amp;"'!C98")+SUM(E118+E145+E172)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INDIRECT("'"&amp;INDIRECT("Main!B45")&amp;"'!C99")+SUM(E119+E146+E173)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INDIRECT("'"&amp;INDIRECT("Main!B45")&amp;"'!C100")+SUM(E120+E147+E174)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INDIRECT("'"&amp;INDIRECT("Main!B45")&amp;"'!C101")+SUM(E121+E148+E175)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INDIRECT("'"&amp;INDIRECT("Main!B45")&amp;"'!C102")+SUM(E122+E149+E176)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INDIRECT("'"&amp;INDIRECT("Main!B45")&amp;"'!C103")+SUM(E123+E150+E177)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INDIRECT("'"&amp;INDIRECT("Main!B45")&amp;"'!C104")+SUM(E124+E151+E178)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INDIRECT("'"&amp;INDIRECT("Main!B45")&amp;"'!C105")+SUM(E125+E152+E179)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INDIRECT("'"&amp;INDIRECT("Main!B45")&amp;"'!C105")+SUM(E125+E152+E179)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INDIRECT("'"&amp;INDIRECT("Main!B45")&amp;"'!C107")+SUM(E127+E154+E181)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"&amp;IF(Main!B2,TEXT(EDATE(Main!B3,39),"mmmm dd yyyy"),TEXT(Main!B3+((Main!B5-Main!B3)*39+39),"mmmm dd yyyy"))&amp;" to "&amp;IF(Main!B2,TEXT(EDATE(Main!B3,40)-1,"mmmm dd yyyy"),TEXT(Main!B3+((Main!B5-Main!B3)*40+39),"mmmm dd yyyy"))</f>
        <v>Debts Or Credits For the Comming April 20 2028 to May 19 2028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"&amp;IF(Main!B2,TEXT(EDATE(Main!B3,39)-1,"mmmm yyyy"),TEXT(Main!B3+((Main!B5-Main!B3)*39+38),"mmmm yyyy"))</f>
        <v>Balance Brought Forward From April 2028</v>
      </c>
      <c r="B116" s="57"/>
      <c r="C116" s="58"/>
      <c r="D116" s="58"/>
      <c r="E116" s="71" cm="1">
        <f ca="1" t="array" ref="E116">INDIRECT("'"&amp;INDIRECT("Main!B45")&amp;"'!E190")</f>
        <v>20919.51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77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24.75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21765.52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"&amp;IF(Main!B2,TEXT(EDATE(Main!B3,40),"mmmm dd yyyy"),TEXT(Main!B3+((Main!B5-Main!B3)*40+40),"dd mmmm yyyy"))&amp;" to "&amp;IF(Main!B2,TEXT(EDATE(Main!B3,41)-1,"mmmm dd yyyy"),TEXT(Main!B3+((Main!B5-Main!B3)*41+40),"mmmm dd yyyy"))</f>
        <v>Debts Or Credits For the Comming May 20 2028 to June 19 2028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"&amp;IF(Main!B2,TEXT(EDATE(Main!B3,40)-1,"mmmm yyyy"),TEXT(Main!B3+((Main!B5-Main!B3)*40+39),"mmmm yyyy"))</f>
        <v>Balance Brought Forward From May 2028</v>
      </c>
      <c r="B143" s="57"/>
      <c r="C143" s="58"/>
      <c r="D143" s="58"/>
      <c r="E143" s="89">
        <f ca="1">E136</f>
        <v>21765.52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71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24.75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23263.53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"&amp;IF(Main!B2,TEXT(EDATE(Main!B3,41),"mmmm dd yyyy"),TEXT(Main!B3+((Main!B5-Main!B3)*41+41),"mmmm dd yyyy"))&amp;" to "&amp;IF(Main!B2,TEXT(EDATE(Main!B3,42)-1,"mmmm dd yyyy"),TEXT(Main!B3+((Main!B5-Main!B3)*42+41),"mmmm dd yyyy"))</f>
        <v>Debts Or Credits For the Comming June 20 2028 to July 19 2028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"&amp;IF(Main!B2,TEXT(EDATE(Main!B3,41)-1,"mmmm yyyy"),TEXT(Main!B3+((Main!B5-Main!B3)*41+40),"mmmm yyyy"))</f>
        <v>Balance Brought Forward From June 2028</v>
      </c>
      <c r="B170" s="57"/>
      <c r="C170" s="58"/>
      <c r="D170" s="58"/>
      <c r="E170" s="92">
        <f ca="1">E163</f>
        <v>23263.53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67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24.75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24109.54</v>
      </c>
      <c r="F190" s="14"/>
      <c r="G190" s="14"/>
      <c r="H190" s="14"/>
      <c r="I190" s="48"/>
    </row>
    <row r="19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ht="24.75" customHeight="1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10" operator="equal">
      <formula>0</formula>
    </cfRule>
    <cfRule type="cellIs" dxfId="1" priority="9" operator="greaterThan">
      <formula>0</formula>
    </cfRule>
  </conditionalFormatting>
  <conditionalFormatting sqref="C75">
    <cfRule type="cellIs" dxfId="0" priority="55" operator="equal">
      <formula>0</formula>
    </cfRule>
    <cfRule type="cellIs" dxfId="1" priority="54" operator="greaterThan">
      <formula>0</formula>
    </cfRule>
  </conditionalFormatting>
  <conditionalFormatting sqref="C77">
    <cfRule type="cellIs" dxfId="0" priority="53" operator="equal">
      <formula>0</formula>
    </cfRule>
    <cfRule type="cellIs" dxfId="1" priority="52" operator="greaterThan">
      <formula>0</formula>
    </cfRule>
  </conditionalFormatting>
  <conditionalFormatting sqref="C108">
    <cfRule type="cellIs" dxfId="0" priority="8" operator="greaterThanOrEqual">
      <formula>0</formula>
    </cfRule>
    <cfRule type="cellIs" dxfId="1" priority="7" operator="lessThan">
      <formula>0</formula>
    </cfRule>
  </conditionalFormatting>
  <conditionalFormatting sqref="C109">
    <cfRule type="cellIs" dxfId="0" priority="6" operator="greaterThanOrEqual">
      <formula>0</formula>
    </cfRule>
    <cfRule type="cellIs" dxfId="1" priority="5" operator="lessThan">
      <formula>0</formula>
    </cfRule>
  </conditionalFormatting>
  <conditionalFormatting sqref="E116">
    <cfRule type="cellIs" dxfId="3" priority="16" operator="greaterThanOrEqual">
      <formula>0</formula>
    </cfRule>
    <cfRule type="cellIs" dxfId="4" priority="15" operator="lessThan">
      <formula>0</formula>
    </cfRule>
  </conditionalFormatting>
  <conditionalFormatting sqref="E136">
    <cfRule type="cellIs" dxfId="3" priority="47" operator="greaterThanOrEqual">
      <formula>0</formula>
    </cfRule>
    <cfRule type="cellIs" dxfId="4" priority="46" operator="lessThan">
      <formula>0</formula>
    </cfRule>
  </conditionalFormatting>
  <conditionalFormatting sqref="E143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36" operator="greaterThanOrEqual">
      <formula>0</formula>
    </cfRule>
    <cfRule type="cellIs" dxfId="4" priority="35" operator="lessThan">
      <formula>0</formula>
    </cfRule>
  </conditionalFormatting>
  <conditionalFormatting sqref="E170">
    <cfRule type="cellIs" dxfId="3" priority="28" operator="greaterThanOrEqual">
      <formula>0</formula>
    </cfRule>
    <cfRule type="cellIs" dxfId="4" priority="27" operator="lessThan">
      <formula>0</formula>
    </cfRule>
  </conditionalFormatting>
  <conditionalFormatting sqref="E190">
    <cfRule type="cellIs" dxfId="3" priority="30" operator="greaterThanOrEqual">
      <formula>0</formula>
    </cfRule>
    <cfRule type="cellIs" dxfId="4" priority="29" operator="lessThan">
      <formula>0</formula>
    </cfRule>
  </conditionalFormatting>
  <conditionalFormatting sqref="C57:C66">
    <cfRule type="cellIs" dxfId="0" priority="59" operator="equal">
      <formula>0</formula>
    </cfRule>
    <cfRule type="cellIs" dxfId="1" priority="58" operator="greaterThan">
      <formula>0</formula>
    </cfRule>
  </conditionalFormatting>
  <conditionalFormatting sqref="C68:C69">
    <cfRule type="cellIs" dxfId="0" priority="57" operator="equal">
      <formula>0</formula>
    </cfRule>
    <cfRule type="cellIs" dxfId="1" priority="56" operator="greaterThan">
      <formula>0</formula>
    </cfRule>
  </conditionalFormatting>
  <conditionalFormatting sqref="C70:C74">
    <cfRule type="cellIs" dxfId="0" priority="45" operator="equal">
      <formula>0</formula>
    </cfRule>
    <cfRule type="cellIs" dxfId="1" priority="44" operator="greaterThan">
      <formula>0</formula>
    </cfRule>
  </conditionalFormatting>
  <conditionalFormatting sqref="C78:C79">
    <cfRule type="cellIs" dxfId="0" priority="14" operator="equal">
      <formula>0</formula>
    </cfRule>
    <cfRule type="cellIs" dxfId="1" priority="13" operator="greaterThan">
      <formula>0</formula>
    </cfRule>
  </conditionalFormatting>
  <conditionalFormatting sqref="C80:C84">
    <cfRule type="cellIs" dxfId="0" priority="43" operator="equal">
      <formula>0</formula>
    </cfRule>
    <cfRule type="cellIs" dxfId="1" priority="42" operator="greaterThan">
      <formula>0</formula>
    </cfRule>
  </conditionalFormatting>
  <conditionalFormatting sqref="C87:C89">
    <cfRule type="cellIs" dxfId="0" priority="51" operator="equal">
      <formula>0</formula>
    </cfRule>
    <cfRule type="cellIs" dxfId="1" priority="50" operator="greaterThan">
      <formula>0</formula>
    </cfRule>
  </conditionalFormatting>
  <conditionalFormatting sqref="C90:C91">
    <cfRule type="cellIs" dxfId="0" priority="12" operator="equal">
      <formula>0</formula>
    </cfRule>
    <cfRule type="cellIs" dxfId="1" priority="11" operator="greaterThan">
      <formula>0</formula>
    </cfRule>
  </conditionalFormatting>
  <conditionalFormatting sqref="C92:C94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C98:C107">
    <cfRule type="cellIs" dxfId="1" priority="24" operator="lessThan">
      <formula>0</formula>
    </cfRule>
    <cfRule type="cellIs" dxfId="2" priority="23" operator="greaterThanOrEqual">
      <formula>0</formula>
    </cfRule>
  </conditionalFormatting>
  <conditionalFormatting sqref="E118:E127">
    <cfRule type="cellIs" dxfId="0" priority="22" operator="equal">
      <formula>0</formula>
    </cfRule>
    <cfRule type="cellIs" dxfId="1" priority="21" operator="greaterThan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5:E154">
    <cfRule type="cellIs" dxfId="0" priority="20" operator="equal">
      <formula>0</formula>
    </cfRule>
    <cfRule type="cellIs" dxfId="1" priority="19" operator="greaterThan">
      <formula>0</formula>
    </cfRule>
  </conditionalFormatting>
  <conditionalFormatting sqref="E172:E181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61" operator="equal">
      <formula>0</formula>
    </cfRule>
  </conditionalFormatting>
  <conditionalFormatting sqref="C47:C55 C85 C95:C96 E144 E155 E158:E162">
    <cfRule type="cellIs" dxfId="1" priority="60" operator="greaterThan">
      <formula>0</formula>
    </cfRule>
  </conditionalFormatting>
  <conditionalFormatting sqref="E117 E128 E131:E135">
    <cfRule type="cellIs" dxfId="0" priority="49" operator="equal">
      <formula>0</formula>
    </cfRule>
    <cfRule type="cellIs" dxfId="1" priority="48" operator="greaterThan">
      <formula>0</formula>
    </cfRule>
  </conditionalFormatting>
  <conditionalFormatting sqref="E144 E155 E158:E162">
    <cfRule type="cellIs" dxfId="2" priority="37" operator="equal">
      <formula>0</formula>
    </cfRule>
  </conditionalFormatting>
  <conditionalFormatting sqref="E171 E182 E185:E189">
    <cfRule type="cellIs" dxfId="2" priority="32" operator="equal">
      <formula>0</formula>
    </cfRule>
    <cfRule type="cellIs" dxfId="1" priority="31" operator="greaterThan">
      <formula>0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F34" sqref="B34:G34"/>
    </sheetView>
  </sheetViews>
  <sheetFormatPr defaultColWidth="9" defaultRowHeight="17.6"/>
  <cols>
    <col min="1" max="2" width="20.625" customWidth="1"/>
    <col min="3" max="3" width="24.75" customWidth="1"/>
    <col min="4" max="8" width="20.625" customWidth="1"/>
  </cols>
  <sheetData>
    <row r="1" ht="24.75" customHeight="1" spans="1:9">
      <c r="A1" s="1" t="str">
        <f>"Forecasts For the Year "&amp;IF(Main!B2,TEXT(EDATE(Main!B3,42),"mmmm yyyy"),TEXT(Main!B3+((Main!B5-Main!B3)*42+42),"mmmm yyyy"))&amp;" to "&amp;IF(Main!B2,TEXT(EDATE(Main!B3,45)-1,"mmmm yyyy"),TEXT(Main!B3+((Main!B5-Main!B3)*45+44),"mmmm yyyy"))</f>
        <v>Forecasts For the Year July 2028 to October 2028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25995.57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26073.79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IF(Main!B2,TEXT(EDATE(Main!B3,42),"dd mmmm yyyy"),TEXT(Main!B3+((Main!B5-Main!B3)*42+42),"dd mmmm yyyy"))&amp;" - "&amp;IF(Main!B2,TEXT(EDATE(Main!B3,43)-1,"dd mmmm yyyy"),TEXT(Main!B3+((Main!B5-Main!B3)*43+42),"dd mmmm yyyy"))&amp;" / "&amp;" (Revenue / Deferred Debts Or Expenses)"</f>
        <v>20 July 2028 - 19 August 2028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9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9"/>
      <c r="B11" s="22"/>
      <c r="C11" s="23"/>
      <c r="D11" s="24"/>
      <c r="E11" s="42"/>
      <c r="F11" s="43">
        <v>0</v>
      </c>
      <c r="G11" s="44"/>
      <c r="H11" s="14"/>
      <c r="I11" s="48"/>
    </row>
    <row r="12" ht="24.75" customHeight="1" spans="1:9">
      <c r="A12" s="19"/>
      <c r="B12" s="22"/>
      <c r="C12" s="23"/>
      <c r="D12" s="24"/>
      <c r="E12" s="42"/>
      <c r="F12" s="43">
        <v>0</v>
      </c>
      <c r="G12" s="44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IF(Main!B2,TEXT(EDATE(Main!B3,43),"dd mmmm yyyy"),TEXT(Main!B3+((Main!B5-Main!B3)*43+43),"dd mmmm yyyy"))&amp;" - "&amp;IF(Main!B2,TEXT(EDATE(Main!B3,44)-1,"dd mmmm yyyy"),TEXT(Main!B3+((Main!B5-Main!B3)*44+43),"dd mmmm yyyy"))&amp;" / "&amp;" (Revenue / Deferred Debts Or Expenses)"</f>
        <v>20 August 2028 - 19 September 2028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9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9"/>
      <c r="B23" s="22"/>
      <c r="C23" s="23"/>
      <c r="D23" s="24"/>
      <c r="E23" s="42"/>
      <c r="F23" s="43">
        <v>0</v>
      </c>
      <c r="G23" s="44"/>
      <c r="H23" s="14"/>
      <c r="I23" s="48"/>
    </row>
    <row r="24" ht="24.75" customHeight="1" spans="1:9">
      <c r="A24" s="19"/>
      <c r="B24" s="22"/>
      <c r="C24" s="23"/>
      <c r="D24" s="24"/>
      <c r="E24" s="42"/>
      <c r="F24" s="43">
        <v>0</v>
      </c>
      <c r="G24" s="44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IF(Main!B2,TEXT(EDATE(Main!B3,44),"dd mmmm yyyy"),TEXT(Main!B3+((Main!B5-Main!B3)*44+44),"dd mmmm yyyy"))&amp;" - "&amp;IF(Main!B2,TEXT(EDATE(Main!B3,45)-1,"dd mmmm yyyy"),TEXT(Main!B3+((Main!B5-Main!B3)*45+44),"dd mmmm yyyy"))&amp;" / "&amp;" (Revenue / Deferred Debts Or Expenses)"</f>
        <v>20 September 2028 - 19 October 2028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9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9"/>
      <c r="B35" s="22"/>
      <c r="C35" s="23"/>
      <c r="D35" s="24"/>
      <c r="E35" s="42"/>
      <c r="F35" s="43">
        <v>0</v>
      </c>
      <c r="G35" s="44"/>
      <c r="H35" s="14"/>
      <c r="I35" s="48"/>
    </row>
    <row r="36" ht="24.75" customHeight="1" spans="1:9">
      <c r="A36" s="19"/>
      <c r="B36" s="22"/>
      <c r="C36" s="23"/>
      <c r="D36" s="24"/>
      <c r="E36" s="42"/>
      <c r="F36" s="43">
        <v>0</v>
      </c>
      <c r="G36" s="44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"&amp;IF(Main!B2,TEXT(EDATE(Main!B3,42),"mmmm yyyy"),TEXT(Main!B3+((Main!B5-Main!B3)*42+42),"mmmm yyyy"))&amp;" to "&amp;IF(Main!B2,TEXT(EDATE(Main!B3,45)-1,"mmmm yyyy"),TEXT(Main!B3+((Main!B5-Main!B3)*45+44),"mmmm yyyy"))</f>
        <v>Fixed Expense For the Year July 2028 to October 2028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93" t="s">
        <v>62</v>
      </c>
      <c r="B56" s="94"/>
      <c r="C56" s="9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93" t="s">
        <v>63</v>
      </c>
      <c r="B67" s="94"/>
      <c r="C67" s="9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93" t="s">
        <v>68</v>
      </c>
      <c r="B76" s="94"/>
      <c r="C76" s="9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93" t="s">
        <v>70</v>
      </c>
      <c r="B86" s="94"/>
      <c r="C86" s="9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3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37">
        <v>55</v>
      </c>
      <c r="D89" s="14"/>
      <c r="E89" s="14"/>
      <c r="F89" s="14"/>
      <c r="G89" s="14"/>
      <c r="H89" s="14"/>
      <c r="I89" s="48"/>
    </row>
    <row r="90" ht="24.7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24.7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93" t="s">
        <v>80</v>
      </c>
      <c r="B97" s="94"/>
      <c r="C97" s="9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INDIRECT("'"&amp;INDIRECT("Main!B48")&amp;"'!C98")+SUM(E118+E145+E172)</f>
        <v>0</v>
      </c>
      <c r="D98" s="14"/>
      <c r="E98" s="96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INDIRECT("'"&amp;INDIRECT("Main!B48")&amp;"'!C99")+SUM(E119+E146+E173)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INDIRECT("'"&amp;INDIRECT("Main!B48")&amp;"'!C100")+SUM(E120+E147+E174)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INDIRECT("'"&amp;INDIRECT("Main!B48")&amp;"'!C101")+SUM(E121+E148+E175)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">
        <v>125</v>
      </c>
      <c r="C102" s="37" cm="1">
        <f ca="1" t="array" ref="C102">INDIRECT("'"&amp;INDIRECT("Main!B48")&amp;"'!C102")+SUM(E122+E149+E176)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INDIRECT("'"&amp;INDIRECT("Main!B48")&amp;"'!C103")+SUM(E123+E150+E177)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INDIRECT("'"&amp;INDIRECT("Main!B48")&amp;"'!C104")+SUM(E124+E151+E178)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INDIRECT("'"&amp;INDIRECT("Main!B48")&amp;"'!C105")+SUM(E125+E152+E179)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INDIRECT("'"&amp;INDIRECT("Main!B48")&amp;"'!C106")+SUM(E126+E153+E180)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INDIRECT("'"&amp;INDIRECT("Main!B48")&amp;"'!C107")+SUM(E127+E154+E181)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"&amp;IF(Main!B2,TEXT(EDATE(Main!B3,42),"mmmm dd yyyy"),TEXT(Main!B3+((Main!B5-Main!B3)*42+42),"mmmm dd yyyy"))&amp;" to "&amp;IF(Main!B2,TEXT(EDATE(Main!B3,43)-1,"mmmm dd yyyy"),TEXT(Main!B3+((Main!B5-Main!B3)*43+42),"mmmm dd yyyy"))</f>
        <v>Debts Or Credits For the Comming July 20 2028 to August 19 2028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"&amp;IF(Main!B2,TEXT(EDATE(Main!B3,42)-1,"mmmm yyyy"),TEXT(Main!B3+((Main!B5-Main!B3)*42+41),"mmmm yyyy"))</f>
        <v>Balance Brought Forward From July 2028</v>
      </c>
      <c r="B116" s="57"/>
      <c r="C116" s="58"/>
      <c r="D116" s="58"/>
      <c r="E116" s="71" cm="1">
        <f ca="1" t="array" ref="E116">INDIRECT("'"&amp;INDIRECT("Main!B48")&amp;"'!E190")</f>
        <v>24109.54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80" customHeight="1" spans="1:9">
      <c r="A129" s="63"/>
      <c r="B129" s="64"/>
      <c r="C129" s="73" t="s">
        <v>119</v>
      </c>
      <c r="D129" s="74"/>
      <c r="E129" s="87">
        <v>1040</v>
      </c>
      <c r="F129" s="14"/>
      <c r="G129" s="14"/>
      <c r="H129" s="14"/>
      <c r="I129" s="48"/>
    </row>
    <row r="130" ht="24.75" customHeight="1" spans="1:9">
      <c r="A130" s="63"/>
      <c r="B130" s="64"/>
      <c r="C130" s="74" t="s">
        <v>114</v>
      </c>
      <c r="D130" s="74"/>
      <c r="E130" s="87">
        <v>400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24734.55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"&amp;IF(Main!B2,TEXT(EDATE(Main!B3,43),"mmmm dd yyyy"),TEXT(Main!B3+((Main!B5-Main!B3)*43+43),"dd mmmm yyyy"))&amp;" to "&amp;IF(Main!B2,TEXT(EDATE(Main!B3,44)-1,"mmmm dd yyyy"),TEXT(Main!B3+((Main!B5-Main!B3)*44+43),"mmmm dd yyyy"))</f>
        <v>Debts Or Credits For the Comming August 20 2028 to September 19 2028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"&amp;IF(Main!B2,TEXT(EDATE(Main!B3,43)-1,"mmmm yyyy"),TEXT(Main!B3+((Main!B5-Main!B3)*43+42),"mmmm yyyy"))</f>
        <v>Balance Brought Forward From August 2028</v>
      </c>
      <c r="B143" s="57"/>
      <c r="C143" s="58"/>
      <c r="D143" s="58"/>
      <c r="E143" s="89">
        <f ca="1">E136</f>
        <v>24734.55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68" customHeight="1" spans="1:9">
      <c r="A156" s="63"/>
      <c r="B156" s="64"/>
      <c r="C156" s="73" t="s">
        <v>123</v>
      </c>
      <c r="D156" s="74"/>
      <c r="E156" s="87">
        <v>579</v>
      </c>
      <c r="F156" s="14"/>
      <c r="G156" s="14"/>
      <c r="H156" s="14"/>
      <c r="I156" s="48"/>
    </row>
    <row r="157" ht="24.75" customHeight="1" spans="1:9">
      <c r="A157" s="63"/>
      <c r="B157" s="64"/>
      <c r="C157" s="74" t="s">
        <v>111</v>
      </c>
      <c r="D157" s="74"/>
      <c r="E157" s="87">
        <v>800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25420.56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"&amp;IF(Main!B2,TEXT(EDATE(Main!B3,44),"mmmm dd yyyy"),TEXT(Main!B3+((Main!B5-Main!B3)*44+44),"mmmm dd yyyy"))&amp;" to "&amp;IF(Main!B2,TEXT(EDATE(Main!B3,45)-1,"mmmm dd yyyy"),TEXT(Main!B3+((Main!B5-Main!B3)*45+44),"mmmm dd yyyy"))</f>
        <v>Debts Or Credits For the Comming September 20 2028 to October 19 2028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"&amp;IF(Main!B2,TEXT(EDATE(Main!B3,44)-1,"mmmm yyyy"),TEXT(Main!B3+((Main!B5-Main!B3)*44+43),"mmmm yyyy"))</f>
        <v>Balance Brought Forward From September 2028</v>
      </c>
      <c r="B170" s="57"/>
      <c r="C170" s="58"/>
      <c r="D170" s="58"/>
      <c r="E170" s="92">
        <f ca="1">E163</f>
        <v>25420.56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24.75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53" customHeight="1" spans="1:9">
      <c r="A183" s="63"/>
      <c r="B183" s="64"/>
      <c r="C183" s="73" t="s">
        <v>122</v>
      </c>
      <c r="D183" s="74"/>
      <c r="E183" s="87">
        <v>1090</v>
      </c>
      <c r="F183" s="14"/>
      <c r="G183" s="14"/>
      <c r="H183" s="14"/>
      <c r="I183" s="48"/>
    </row>
    <row r="184" ht="24.75" customHeight="1" spans="1:9">
      <c r="A184" s="63"/>
      <c r="B184" s="64"/>
      <c r="C184" s="74" t="s">
        <v>114</v>
      </c>
      <c r="D184" s="74"/>
      <c r="E184" s="87">
        <v>400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spans="1:9">
      <c r="A190" s="80"/>
      <c r="B190" s="81"/>
      <c r="C190" s="82" t="s">
        <v>94</v>
      </c>
      <c r="D190" s="82"/>
      <c r="E190" s="92">
        <f ca="1">(F40+E170)-(SUM(E172:E181)+SUM(E183:E189))</f>
        <v>25995.57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75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7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108">
    <cfRule type="cellIs" dxfId="0" priority="9" operator="greaterThanOrEqual">
      <formula>0</formula>
    </cfRule>
    <cfRule type="cellIs" dxfId="1" priority="8" operator="lessThan">
      <formula>0</formula>
    </cfRule>
  </conditionalFormatting>
  <conditionalFormatting sqref="C109">
    <cfRule type="cellIs" dxfId="0" priority="7" operator="greaterThanOrEqual">
      <formula>0</formula>
    </cfRule>
    <cfRule type="cellIs" dxfId="1" priority="6" operator="lessThan">
      <formula>0</formula>
    </cfRule>
  </conditionalFormatting>
  <conditionalFormatting sqref="E116">
    <cfRule type="cellIs" dxfId="3" priority="17" operator="greaterThanOrEqual">
      <formula>0</formula>
    </cfRule>
    <cfRule type="cellIs" dxfId="4" priority="16" operator="lessThan">
      <formula>0</formula>
    </cfRule>
  </conditionalFormatting>
  <conditionalFormatting sqref="E129">
    <cfRule type="cellIs" dxfId="5" priority="4" operator="equal">
      <formula>0</formula>
    </cfRule>
  </conditionalFormatting>
  <conditionalFormatting sqref="E130">
    <cfRule type="cellIs" dxfId="5" priority="5" operator="equal">
      <formula>0</formula>
    </cfRule>
  </conditionalFormatting>
  <conditionalFormatting sqref="E136">
    <cfRule type="cellIs" dxfId="3" priority="48" operator="greaterThanOrEqual">
      <formula>0</formula>
    </cfRule>
    <cfRule type="cellIs" dxfId="4" priority="47" operator="lessThan">
      <formula>0</formula>
    </cfRule>
  </conditionalFormatting>
  <conditionalFormatting sqref="E143">
    <cfRule type="cellIs" dxfId="3" priority="35" operator="greaterThanOrEqual">
      <formula>0</formula>
    </cfRule>
    <cfRule type="cellIs" dxfId="4" priority="34" operator="lessThan">
      <formula>0</formula>
    </cfRule>
  </conditionalFormatting>
  <conditionalFormatting sqref="E163">
    <cfRule type="cellIs" dxfId="3" priority="37" operator="greaterThanOrEqual">
      <formula>0</formula>
    </cfRule>
    <cfRule type="cellIs" dxfId="4" priority="36" operator="lessThan">
      <formula>0</formula>
    </cfRule>
  </conditionalFormatting>
  <conditionalFormatting sqref="E170">
    <cfRule type="cellIs" dxfId="3" priority="29" operator="greaterThanOrEqual">
      <formula>0</formula>
    </cfRule>
    <cfRule type="cellIs" dxfId="4" priority="28" operator="lessThan">
      <formula>0</formula>
    </cfRule>
  </conditionalFormatting>
  <conditionalFormatting sqref="E183">
    <cfRule type="cellIs" dxfId="5" priority="1" operator="equal">
      <formula>0</formula>
    </cfRule>
  </conditionalFormatting>
  <conditionalFormatting sqref="E184">
    <cfRule type="cellIs" dxfId="5" priority="2" operator="equal">
      <formula>0</formula>
    </cfRule>
  </conditionalFormatting>
  <conditionalFormatting sqref="E190">
    <cfRule type="cellIs" dxfId="3" priority="31" operator="greaterThanOrEqual">
      <formula>0</formula>
    </cfRule>
    <cfRule type="cellIs" dxfId="4" priority="30" operator="lessThan">
      <formula>0</formula>
    </cfRule>
  </conditionalFormatting>
  <conditionalFormatting sqref="C57:C66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68:C69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70:C74">
    <cfRule type="cellIs" dxfId="0" priority="46" operator="equal">
      <formula>0</formula>
    </cfRule>
    <cfRule type="cellIs" dxfId="1" priority="45" operator="greaterThan">
      <formula>0</formula>
    </cfRule>
  </conditionalFormatting>
  <conditionalFormatting sqref="C78:C79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C80:C84">
    <cfRule type="cellIs" dxfId="0" priority="44" operator="equal">
      <formula>0</formula>
    </cfRule>
    <cfRule type="cellIs" dxfId="1" priority="43" operator="greaterThan">
      <formula>0</formula>
    </cfRule>
  </conditionalFormatting>
  <conditionalFormatting sqref="C87:C89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0:C91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2:C94">
    <cfRule type="cellIs" dxfId="0" priority="42" operator="equal">
      <formula>0</formula>
    </cfRule>
    <cfRule type="cellIs" dxfId="1" priority="41" operator="greaterThan">
      <formula>0</formula>
    </cfRule>
  </conditionalFormatting>
  <conditionalFormatting sqref="C98:C107">
    <cfRule type="cellIs" dxfId="1" priority="25" operator="lessThan">
      <formula>0</formula>
    </cfRule>
    <cfRule type="cellIs" dxfId="2" priority="24" operator="greaterThanOrEqual">
      <formula>0</formula>
    </cfRule>
  </conditionalFormatting>
  <conditionalFormatting sqref="E118:E127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E145:E154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E156:E157">
    <cfRule type="cellIs" dxfId="5" priority="3" operator="equal">
      <formula>0</formula>
    </cfRule>
  </conditionalFormatting>
  <conditionalFormatting sqref="E172:E181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C47:C55 C85 C95:C96">
    <cfRule type="cellIs" dxfId="0" priority="62" operator="equal">
      <formula>0</formula>
    </cfRule>
  </conditionalFormatting>
  <conditionalFormatting sqref="C47:C55 C85 C95:C96 E144 E155 E158:E162">
    <cfRule type="cellIs" dxfId="1" priority="61" operator="greaterThan">
      <formula>0</formula>
    </cfRule>
  </conditionalFormatting>
  <conditionalFormatting sqref="E117 E128 E131:E135">
    <cfRule type="cellIs" dxfId="0" priority="50" operator="equal">
      <formula>0</formula>
    </cfRule>
    <cfRule type="cellIs" dxfId="1" priority="49" operator="greaterThan">
      <formula>0</formula>
    </cfRule>
  </conditionalFormatting>
  <conditionalFormatting sqref="E144 E155 E158:E162">
    <cfRule type="cellIs" dxfId="2" priority="38" operator="equal">
      <formula>0</formula>
    </cfRule>
  </conditionalFormatting>
  <conditionalFormatting sqref="E171 E182 E185:E189">
    <cfRule type="cellIs" dxfId="2" priority="33" operator="equal">
      <formula>0</formula>
    </cfRule>
    <cfRule type="cellIs" dxfId="1" priority="32" operator="greaterThan">
      <formula>0</formula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21" workbookViewId="0">
      <selection activeCell="F34" sqref="B34:G34"/>
    </sheetView>
  </sheetViews>
  <sheetFormatPr defaultColWidth="9" defaultRowHeight="17.6"/>
  <cols>
    <col min="1" max="1" width="20.625" customWidth="1"/>
    <col min="2" max="2" width="24.625" customWidth="1"/>
    <col min="3" max="3" width="35" customWidth="1"/>
    <col min="4" max="8" width="20.625" customWidth="1"/>
    <col min="10" max="10" width="20.625" customWidth="1"/>
  </cols>
  <sheetData>
    <row r="1" ht="24.75" customHeight="1" spans="1:9">
      <c r="A1" s="1" t="str">
        <f>"Forecasts For the Year "&amp;IF(Main!B2,TEXT(EDATE(Main!B3,45),"mmmm yyyy"),TEXT(Main!B3+((Main!B5-Main!B3)*45+45),"mmmm yyyy"))&amp;" to "&amp;IF(Main!B2,TEXT(EDATE(Main!B3,48)-1,"mmmm yyyy"),TEXT(Main!B3+((Main!B5-Main!B3)*48+47),"mmmm yyyy"))</f>
        <v>Forecasts For the Year October 2028 to January 2029</v>
      </c>
      <c r="B1" s="1"/>
      <c r="C1" s="1"/>
      <c r="D1" s="1"/>
      <c r="E1" s="1"/>
      <c r="F1" s="1"/>
      <c r="G1" s="1"/>
      <c r="H1" s="41"/>
      <c r="I1" s="41"/>
    </row>
    <row r="2" ht="24.75" customHeight="1" spans="1:9">
      <c r="A2" s="2" t="s">
        <v>34</v>
      </c>
      <c r="B2" s="3" t="s">
        <v>95</v>
      </c>
      <c r="C2" s="4" cm="1">
        <f ca="1" t="array" ref="C2">INDIRECT("'"&amp;Main!B9&amp;"'!$C$16")</f>
        <v>78.22</v>
      </c>
      <c r="D2" s="4"/>
      <c r="E2" s="4"/>
      <c r="F2" s="4"/>
      <c r="G2" s="4"/>
      <c r="H2" s="41"/>
      <c r="I2" s="41"/>
    </row>
    <row r="3" ht="24.75" customHeight="1" spans="1:9">
      <c r="A3" s="5"/>
      <c r="B3" s="6" t="s">
        <v>96</v>
      </c>
      <c r="C3" s="7">
        <f ca="1">E190</f>
        <v>28102.6</v>
      </c>
      <c r="D3" s="7"/>
      <c r="E3" s="7"/>
      <c r="F3" s="7"/>
      <c r="G3" s="7"/>
      <c r="H3" s="41"/>
      <c r="I3" s="41"/>
    </row>
    <row r="4" ht="24.75" customHeight="1" spans="1:9">
      <c r="A4" s="8" t="s">
        <v>48</v>
      </c>
      <c r="B4" s="9"/>
      <c r="C4" s="10">
        <f ca="1">SUM(C2:G3)</f>
        <v>28180.82</v>
      </c>
      <c r="D4" s="10"/>
      <c r="E4" s="10"/>
      <c r="F4" s="10"/>
      <c r="G4" s="10"/>
      <c r="H4" s="14"/>
      <c r="I4" s="48"/>
    </row>
    <row r="5" ht="24.75" customHeight="1" spans="1:9">
      <c r="A5" s="11" t="s">
        <v>97</v>
      </c>
      <c r="B5" s="11"/>
      <c r="C5" s="12">
        <f ca="1">C108</f>
        <v>0</v>
      </c>
      <c r="D5" s="13"/>
      <c r="E5" s="13"/>
      <c r="F5" s="13"/>
      <c r="G5" s="13"/>
      <c r="H5" s="14"/>
      <c r="I5" s="48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8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8"/>
    </row>
    <row r="8" ht="24.75" customHeight="1" spans="1:9">
      <c r="A8" s="15" t="str">
        <f>IF(Main!B2,TEXT(EDATE(Main!B3,45),"dd mmmm yyyy"),TEXT(Main!B3+((Main!B5-Main!B3)*45+45),"dd mmmm yyyy"))&amp;" - "&amp;IF(Main!B2,TEXT(EDATE(Main!B3,46)-1,"dd mmmm yyyy"),TEXT(Main!B3+((Main!B5-Main!B3)*46+45),"dd mmmm yyyy"))&amp;" / "&amp;" (Revenue / Deferred Debts Or Expenses)"</f>
        <v>20 October 2028 - 19 November 2028 /  (Revenue / Deferred Debts Or Expenses)</v>
      </c>
      <c r="B8" s="16"/>
      <c r="C8" s="16"/>
      <c r="D8" s="16"/>
      <c r="E8" s="16"/>
      <c r="F8" s="16"/>
      <c r="G8" s="16"/>
      <c r="H8" s="14"/>
      <c r="I8" s="49"/>
    </row>
    <row r="9" ht="24.75" customHeight="1" spans="1:9">
      <c r="A9" s="17" t="s">
        <v>30</v>
      </c>
      <c r="B9" s="17" t="s">
        <v>49</v>
      </c>
      <c r="C9" s="17"/>
      <c r="D9" s="18" t="s">
        <v>50</v>
      </c>
      <c r="E9" s="18"/>
      <c r="F9" s="18" t="s">
        <v>51</v>
      </c>
      <c r="G9" s="18"/>
      <c r="H9" s="14"/>
      <c r="I9" s="48"/>
    </row>
    <row r="10" ht="24.75" customHeight="1" spans="1:9">
      <c r="A10" s="19"/>
      <c r="B10" s="20" t="s">
        <v>98</v>
      </c>
      <c r="C10" s="20"/>
      <c r="D10" s="21" t="s">
        <v>99</v>
      </c>
      <c r="E10" s="21"/>
      <c r="F10" s="7">
        <v>2435</v>
      </c>
      <c r="G10" s="7"/>
      <c r="H10" s="14"/>
      <c r="I10" s="48"/>
    </row>
    <row r="11" ht="24.75" customHeight="1" spans="1:9">
      <c r="A11" s="19"/>
      <c r="B11" s="22"/>
      <c r="C11" s="23"/>
      <c r="D11" s="24"/>
      <c r="E11" s="42"/>
      <c r="F11" s="43">
        <v>0</v>
      </c>
      <c r="G11" s="44"/>
      <c r="H11" s="14"/>
      <c r="I11" s="48"/>
    </row>
    <row r="12" ht="24.75" customHeight="1" spans="1:9">
      <c r="A12" s="19"/>
      <c r="B12" s="22"/>
      <c r="C12" s="23"/>
      <c r="D12" s="24"/>
      <c r="E12" s="42"/>
      <c r="F12" s="43">
        <v>0</v>
      </c>
      <c r="G12" s="44"/>
      <c r="H12" s="14"/>
      <c r="I12" s="48"/>
    </row>
    <row r="13" ht="24.75" customHeight="1" spans="1:9">
      <c r="A13" s="19"/>
      <c r="B13" s="22"/>
      <c r="C13" s="23"/>
      <c r="D13" s="24"/>
      <c r="E13" s="42"/>
      <c r="F13" s="43">
        <v>0</v>
      </c>
      <c r="G13" s="44"/>
      <c r="H13" s="14"/>
      <c r="I13" s="48"/>
    </row>
    <row r="14" ht="24.75" customHeight="1" spans="1:9">
      <c r="A14" s="19"/>
      <c r="B14" s="22"/>
      <c r="C14" s="23"/>
      <c r="D14" s="24"/>
      <c r="E14" s="42"/>
      <c r="F14" s="43">
        <v>0</v>
      </c>
      <c r="G14" s="44"/>
      <c r="H14" s="14"/>
      <c r="I14" s="48"/>
    </row>
    <row r="15" ht="24.75" customHeight="1" spans="1:9">
      <c r="A15" s="19"/>
      <c r="B15" s="22"/>
      <c r="C15" s="23"/>
      <c r="D15" s="24"/>
      <c r="E15" s="42"/>
      <c r="F15" s="43">
        <v>0</v>
      </c>
      <c r="G15" s="44"/>
      <c r="H15" s="14"/>
      <c r="I15" s="48"/>
    </row>
    <row r="16" ht="24.75" customHeight="1" spans="1:9">
      <c r="A16" s="25"/>
      <c r="B16" s="26"/>
      <c r="C16" s="27"/>
      <c r="D16" s="28" t="s">
        <v>52</v>
      </c>
      <c r="E16" s="45"/>
      <c r="F16" s="46">
        <f>SUM(F10:G15)</f>
        <v>2435</v>
      </c>
      <c r="G16" s="47"/>
      <c r="H16" s="14"/>
      <c r="I16" s="48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8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8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8"/>
    </row>
    <row r="20" ht="24.75" customHeight="1" spans="1:9">
      <c r="A20" s="15" t="str">
        <f>IF(Main!B2,TEXT(EDATE(Main!B3,46),"dd mmmm yyyy"),TEXT(Main!B3+((Main!B5-Main!B3)*46+46),"dd mmmm yyyy"))&amp;" - "&amp;IF(Main!B2,TEXT(EDATE(Main!B3,47)-1,"dd mmmm yyyy"),TEXT(Main!B3+((Main!B5-Main!B3)*47+46),"dd mmmm yyyy"))&amp;" / "&amp;" (Revenue / Deferred Debts Or Expenses)"</f>
        <v>20 November 2028 - 19 December 2028 /  (Revenue / Deferred Debts Or Expenses)</v>
      </c>
      <c r="B20" s="16"/>
      <c r="C20" s="16"/>
      <c r="D20" s="16"/>
      <c r="E20" s="16"/>
      <c r="F20" s="16"/>
      <c r="G20" s="16"/>
      <c r="H20" s="14"/>
      <c r="I20" s="48"/>
    </row>
    <row r="21" ht="24.75" customHeight="1" spans="1:9">
      <c r="A21" s="17" t="s">
        <v>30</v>
      </c>
      <c r="B21" s="17" t="s">
        <v>49</v>
      </c>
      <c r="C21" s="17"/>
      <c r="D21" s="18" t="s">
        <v>50</v>
      </c>
      <c r="E21" s="18"/>
      <c r="F21" s="18" t="s">
        <v>51</v>
      </c>
      <c r="G21" s="18"/>
      <c r="H21" s="14"/>
      <c r="I21" s="48"/>
    </row>
    <row r="22" ht="24.75" customHeight="1" spans="1:9">
      <c r="A22" s="19"/>
      <c r="B22" s="20" t="s">
        <v>98</v>
      </c>
      <c r="C22" s="20"/>
      <c r="D22" s="21" t="s">
        <v>99</v>
      </c>
      <c r="E22" s="21"/>
      <c r="F22" s="7">
        <v>2435</v>
      </c>
      <c r="G22" s="7"/>
      <c r="H22" s="14"/>
      <c r="I22" s="48"/>
    </row>
    <row r="23" ht="24.75" customHeight="1" spans="1:9">
      <c r="A23" s="19"/>
      <c r="B23" s="22"/>
      <c r="C23" s="23"/>
      <c r="D23" s="24"/>
      <c r="E23" s="42"/>
      <c r="F23" s="43">
        <v>0</v>
      </c>
      <c r="G23" s="44"/>
      <c r="H23" s="14"/>
      <c r="I23" s="48"/>
    </row>
    <row r="24" ht="24.75" customHeight="1" spans="1:9">
      <c r="A24" s="19"/>
      <c r="B24" s="22"/>
      <c r="C24" s="23"/>
      <c r="D24" s="24"/>
      <c r="E24" s="42"/>
      <c r="F24" s="43">
        <v>0</v>
      </c>
      <c r="G24" s="44"/>
      <c r="H24" s="14"/>
      <c r="I24" s="48"/>
    </row>
    <row r="25" ht="24.75" customHeight="1" spans="1:9">
      <c r="A25" s="19"/>
      <c r="B25" s="22"/>
      <c r="C25" s="23"/>
      <c r="D25" s="24"/>
      <c r="E25" s="42"/>
      <c r="F25" s="43">
        <v>0</v>
      </c>
      <c r="G25" s="44"/>
      <c r="H25" s="14"/>
      <c r="I25" s="48"/>
    </row>
    <row r="26" ht="24.75" customHeight="1" spans="1:9">
      <c r="A26" s="19"/>
      <c r="B26" s="22"/>
      <c r="C26" s="23"/>
      <c r="D26" s="24"/>
      <c r="E26" s="42"/>
      <c r="F26" s="43">
        <v>0</v>
      </c>
      <c r="G26" s="44"/>
      <c r="H26" s="14"/>
      <c r="I26" s="48"/>
    </row>
    <row r="27" ht="24.75" customHeight="1" spans="1:9">
      <c r="A27" s="19"/>
      <c r="B27" s="22"/>
      <c r="C27" s="23"/>
      <c r="D27" s="24"/>
      <c r="E27" s="42"/>
      <c r="F27" s="43">
        <v>0</v>
      </c>
      <c r="G27" s="44"/>
      <c r="H27" s="14"/>
      <c r="I27" s="48"/>
    </row>
    <row r="28" ht="24.75" customHeight="1" spans="1:9">
      <c r="A28" s="25"/>
      <c r="B28" s="26"/>
      <c r="C28" s="27"/>
      <c r="D28" s="28" t="s">
        <v>52</v>
      </c>
      <c r="E28" s="45"/>
      <c r="F28" s="46">
        <f>SUM(F22:G27)</f>
        <v>2435</v>
      </c>
      <c r="G28" s="47"/>
      <c r="H28" s="14"/>
      <c r="I28" s="48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8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8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8"/>
    </row>
    <row r="32" ht="24.75" customHeight="1" spans="1:9">
      <c r="A32" s="15" t="str">
        <f>IF(Main!B2,TEXT(EDATE(Main!B3,47),"dd mmmm yyyy"),TEXT(Main!B3+((Main!B5-Main!B3)*47+47),"dd mmmm yyyy"))&amp;" - "&amp;IF(Main!B2,TEXT(EDATE(Main!B3,48)-1,"dd mmmm yyyy"),TEXT(Main!B3+((Main!B5-Main!B3)*48+47),"dd mmmm yyyy"))&amp;" / "&amp;" (Revenue / Deferred Debts Or Expenses)"</f>
        <v>20 December 2028 - 19 January 2029 /  (Revenue / Deferred Debts Or Expenses)</v>
      </c>
      <c r="B32" s="16"/>
      <c r="C32" s="16"/>
      <c r="D32" s="16"/>
      <c r="E32" s="16"/>
      <c r="F32" s="16"/>
      <c r="G32" s="16"/>
      <c r="H32" s="14"/>
      <c r="I32" s="48"/>
    </row>
    <row r="33" ht="24.75" customHeight="1" spans="1:9">
      <c r="A33" s="17" t="s">
        <v>30</v>
      </c>
      <c r="B33" s="17" t="s">
        <v>49</v>
      </c>
      <c r="C33" s="17"/>
      <c r="D33" s="18" t="s">
        <v>50</v>
      </c>
      <c r="E33" s="18"/>
      <c r="F33" s="18" t="s">
        <v>51</v>
      </c>
      <c r="G33" s="18"/>
      <c r="H33" s="14"/>
      <c r="I33" s="48"/>
    </row>
    <row r="34" ht="24.75" customHeight="1" spans="1:9">
      <c r="A34" s="19"/>
      <c r="B34" s="20" t="s">
        <v>98</v>
      </c>
      <c r="C34" s="20"/>
      <c r="D34" s="21" t="s">
        <v>99</v>
      </c>
      <c r="E34" s="21"/>
      <c r="F34" s="7">
        <v>2435</v>
      </c>
      <c r="G34" s="7"/>
      <c r="H34" s="14"/>
      <c r="I34" s="48"/>
    </row>
    <row r="35" ht="24.75" customHeight="1" spans="1:9">
      <c r="A35" s="19"/>
      <c r="B35" s="22"/>
      <c r="C35" s="23"/>
      <c r="D35" s="24"/>
      <c r="E35" s="42"/>
      <c r="F35" s="43">
        <v>0</v>
      </c>
      <c r="G35" s="44"/>
      <c r="H35" s="14"/>
      <c r="I35" s="48"/>
    </row>
    <row r="36" ht="24.75" customHeight="1" spans="1:9">
      <c r="A36" s="19"/>
      <c r="B36" s="22"/>
      <c r="C36" s="23"/>
      <c r="D36" s="24"/>
      <c r="E36" s="42"/>
      <c r="F36" s="43">
        <v>0</v>
      </c>
      <c r="G36" s="44"/>
      <c r="H36" s="14"/>
      <c r="I36" s="49"/>
    </row>
    <row r="37" ht="24.75" customHeight="1" spans="1:9">
      <c r="A37" s="19"/>
      <c r="B37" s="22"/>
      <c r="C37" s="23"/>
      <c r="D37" s="24"/>
      <c r="E37" s="42"/>
      <c r="F37" s="43">
        <v>0</v>
      </c>
      <c r="G37" s="44"/>
      <c r="H37" s="14"/>
      <c r="I37" s="48"/>
    </row>
    <row r="38" ht="24.75" customHeight="1" spans="1:9">
      <c r="A38" s="19"/>
      <c r="B38" s="22"/>
      <c r="C38" s="23"/>
      <c r="D38" s="24"/>
      <c r="E38" s="42"/>
      <c r="F38" s="43">
        <v>0</v>
      </c>
      <c r="G38" s="44"/>
      <c r="H38" s="14"/>
      <c r="I38" s="48"/>
    </row>
    <row r="39" ht="24.75" customHeight="1" spans="1:9">
      <c r="A39" s="19"/>
      <c r="B39" s="22"/>
      <c r="C39" s="23"/>
      <c r="D39" s="24"/>
      <c r="E39" s="42"/>
      <c r="F39" s="43">
        <v>0</v>
      </c>
      <c r="G39" s="44"/>
      <c r="H39" s="14"/>
      <c r="I39" s="48"/>
    </row>
    <row r="40" ht="24.75" customHeight="1" spans="1:9">
      <c r="A40" s="25"/>
      <c r="B40" s="26"/>
      <c r="C40" s="27"/>
      <c r="D40" s="28" t="s">
        <v>52</v>
      </c>
      <c r="E40" s="45"/>
      <c r="F40" s="46">
        <f>SUM(F34:G39)</f>
        <v>2435</v>
      </c>
      <c r="G40" s="47"/>
      <c r="H40" s="14"/>
      <c r="I40" s="48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8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8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8"/>
    </row>
    <row r="44" ht="24.75" customHeight="1" spans="1:9">
      <c r="A44" s="29" t="str">
        <f>"Fixed Expense For the Year "&amp;IF(Main!B2,TEXT(EDATE(Main!B3,45),"mmmm yyyy"),TEXT(Main!B3+((Main!B5-Main!B3)*45+45),"mmmm yyyy"))&amp;" to "&amp;IF(Main!B2,TEXT(EDATE(Main!B3,48)-1,"mmmm yyyy"),TEXT(Main!B3+((Main!B5-Main!B3)*48+47),"mmmm yyyy"))</f>
        <v>Fixed Expense For the Year October 2028 to January 2029</v>
      </c>
      <c r="B44" s="30"/>
      <c r="C44" s="31"/>
      <c r="D44" s="14"/>
      <c r="E44" s="14"/>
      <c r="F44" s="14"/>
      <c r="G44" s="14"/>
      <c r="H44" s="14"/>
      <c r="I44" s="48"/>
    </row>
    <row r="45" ht="24.75" customHeight="1" spans="1:9">
      <c r="A45" s="32" t="s">
        <v>49</v>
      </c>
      <c r="B45" s="32" t="s">
        <v>50</v>
      </c>
      <c r="C45" s="1" t="s">
        <v>51</v>
      </c>
      <c r="D45" s="14"/>
      <c r="E45" s="14"/>
      <c r="F45" s="14"/>
      <c r="G45" s="14"/>
      <c r="H45" s="14"/>
      <c r="I45" s="48"/>
    </row>
    <row r="46" ht="24.75" customHeight="1" spans="1:9">
      <c r="A46" s="33" t="s">
        <v>55</v>
      </c>
      <c r="B46" s="34"/>
      <c r="C46" s="35"/>
      <c r="D46" s="14"/>
      <c r="E46" s="14"/>
      <c r="F46" s="14"/>
      <c r="G46" s="14"/>
      <c r="H46" s="14"/>
      <c r="I46" s="48"/>
    </row>
    <row r="47" ht="24.75" customHeight="1" spans="1:9">
      <c r="A47" s="36" t="str" cm="1">
        <f ca="1" t="array" ref="A47">IF((INDIRECT("'"&amp;INDIRECT("Main!B9")&amp;"'!A61"))=0,"",(INDIRECT("'"&amp;INDIRECT("Main!B9")&amp;"'!A61")))</f>
        <v>Broadband</v>
      </c>
      <c r="B47" s="36" t="str" cm="1">
        <f ca="1" t="array" ref="B47">IF((INDIRECT("'"&amp;INDIRECT("Main!B9")&amp;"'!B61"))=0,"",(INDIRECT("'"&amp;INDIRECT("Main!B9")&amp;"'!B61")))</f>
        <v/>
      </c>
      <c r="C47" s="37">
        <v>78</v>
      </c>
      <c r="D47" s="14"/>
      <c r="E47" s="14"/>
      <c r="F47" s="14"/>
      <c r="G47" s="14"/>
      <c r="H47" s="14"/>
      <c r="I47" s="48"/>
    </row>
    <row r="48" ht="24.75" customHeight="1" spans="1:9">
      <c r="A48" s="36" t="str" cm="1">
        <f ca="1" t="array" ref="A48">IF((INDIRECT("'"&amp;INDIRECT("Main!B9")&amp;"'!A62"))=0,"",(INDIRECT("'"&amp;INDIRECT("Main!B9")&amp;"'!A62")))</f>
        <v>China Mobile</v>
      </c>
      <c r="B48" s="36" t="str" cm="1">
        <f ca="1" t="array" ref="B48">IF((INDIRECT("'"&amp;INDIRECT("Main!B9")&amp;"'!B62"))=0,"",(INDIRECT("'"&amp;INDIRECT("Main!B9")&amp;"'!B62")))</f>
        <v/>
      </c>
      <c r="C48" s="37">
        <v>149</v>
      </c>
      <c r="D48" s="14"/>
      <c r="E48" s="14"/>
      <c r="F48" s="14"/>
      <c r="G48" s="14"/>
      <c r="H48" s="14"/>
      <c r="I48" s="48"/>
    </row>
    <row r="49" ht="24.75" customHeight="1" spans="1:9">
      <c r="A49" s="36" t="str" cm="1">
        <f ca="1" t="array" ref="A49">IF((INDIRECT("'"&amp;INDIRECT("Main!B9")&amp;"'!A63"))=0,"",(INDIRECT("'"&amp;INDIRECT("Main!B9")&amp;"'!A63")))</f>
        <v>Telephone (Fixed Line)</v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4"/>
      <c r="E49" s="14"/>
      <c r="F49" s="14"/>
      <c r="G49" s="14"/>
      <c r="H49" s="14"/>
      <c r="I49" s="48"/>
    </row>
    <row r="50" ht="24.75" customHeight="1" spans="1:9">
      <c r="A50" s="38" t="str" cm="1">
        <f ca="1" t="array" ref="A50">IF((INDIRECT("'"&amp;INDIRECT("Main!B9")&amp;"'!A64"))=0,"",(INDIRECT("'"&amp;INDIRECT("Main!B9")&amp;"'!A64")))</f>
        <v>Sosim</v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4"/>
      <c r="E50" s="14"/>
      <c r="F50" s="14"/>
      <c r="G50" s="14"/>
      <c r="H50" s="14"/>
      <c r="I50" s="48"/>
    </row>
    <row r="51" ht="24.75" customHeight="1" spans="1:9">
      <c r="A51" s="38" t="str" cm="1">
        <f ca="1" t="array" ref="A51">IF((INDIRECT("'"&amp;INDIRECT("Main!B9")&amp;"'!A65"))=0,"",(INDIRECT("'"&amp;INDIRECT("Main!B9")&amp;"'!A65")))</f>
        <v>Birdie Sim Card</v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4"/>
      <c r="E51" s="14"/>
      <c r="F51" s="14"/>
      <c r="G51" s="14"/>
      <c r="H51" s="14"/>
      <c r="I51" s="48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4"/>
      <c r="E52" s="14"/>
      <c r="F52" s="14"/>
      <c r="G52" s="14"/>
      <c r="H52" s="14"/>
      <c r="I52" s="48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4"/>
      <c r="E53" s="14"/>
      <c r="F53" s="14"/>
      <c r="G53" s="14"/>
      <c r="H53" s="14"/>
      <c r="I53" s="48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4"/>
      <c r="E54" s="14"/>
      <c r="F54" s="14"/>
      <c r="G54" s="14"/>
      <c r="H54" s="14"/>
      <c r="I54" s="48"/>
    </row>
    <row r="55" ht="24.75" customHeight="1" spans="1:9">
      <c r="A55" s="39"/>
      <c r="B55" s="40" t="s">
        <v>61</v>
      </c>
      <c r="C55" s="37">
        <f>SUM(C47:C54)</f>
        <v>227</v>
      </c>
      <c r="D55" s="14"/>
      <c r="E55" s="14"/>
      <c r="F55" s="14"/>
      <c r="G55" s="14"/>
      <c r="H55" s="14"/>
      <c r="I55" s="48"/>
    </row>
    <row r="56" ht="24.75" customHeight="1" spans="1:9">
      <c r="A56" s="33" t="s">
        <v>62</v>
      </c>
      <c r="B56" s="34"/>
      <c r="C56" s="35"/>
      <c r="D56" s="14"/>
      <c r="E56" s="14"/>
      <c r="F56" s="14"/>
      <c r="G56" s="14"/>
      <c r="H56" s="14"/>
      <c r="I56" s="48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4"/>
      <c r="E57" s="14"/>
      <c r="F57" s="14"/>
      <c r="G57" s="14"/>
      <c r="H57" s="14"/>
      <c r="I57" s="48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4"/>
      <c r="E58" s="14"/>
      <c r="F58" s="14"/>
      <c r="G58" s="14"/>
      <c r="H58" s="14"/>
      <c r="I58" s="48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4"/>
      <c r="E59" s="14"/>
      <c r="F59" s="14"/>
      <c r="G59" s="14"/>
      <c r="H59" s="14"/>
      <c r="I59" s="48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4"/>
      <c r="E60" s="14"/>
      <c r="F60" s="14"/>
      <c r="G60" s="14"/>
      <c r="H60" s="14"/>
      <c r="I60" s="48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4"/>
      <c r="E61" s="14"/>
      <c r="F61" s="14"/>
      <c r="G61" s="14"/>
      <c r="H61" s="14"/>
      <c r="I61" s="48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4"/>
      <c r="E62" s="14"/>
      <c r="F62" s="14"/>
      <c r="G62" s="14"/>
      <c r="H62" s="14"/>
      <c r="I62" s="48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4"/>
      <c r="E63" s="14"/>
      <c r="F63" s="14"/>
      <c r="G63" s="14"/>
      <c r="H63" s="14"/>
      <c r="I63" s="48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4"/>
      <c r="E64" s="14"/>
      <c r="F64" s="14"/>
      <c r="G64" s="14"/>
      <c r="H64" s="14"/>
      <c r="I64" s="48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4"/>
      <c r="E65" s="14"/>
      <c r="F65" s="14"/>
      <c r="G65" s="14"/>
      <c r="H65" s="14"/>
      <c r="I65" s="48"/>
    </row>
    <row r="66" ht="24.75" customHeight="1" spans="1:9">
      <c r="A66" s="50"/>
      <c r="B66" s="40" t="s">
        <v>61</v>
      </c>
      <c r="C66" s="37">
        <f>SUM(C57:C65)</f>
        <v>0</v>
      </c>
      <c r="D66" s="14"/>
      <c r="E66" s="14"/>
      <c r="F66" s="14"/>
      <c r="G66" s="14"/>
      <c r="H66" s="14"/>
      <c r="I66" s="48"/>
    </row>
    <row r="67" ht="24.75" customHeight="1" spans="1:9">
      <c r="A67" s="33" t="s">
        <v>63</v>
      </c>
      <c r="B67" s="34"/>
      <c r="C67" s="35"/>
      <c r="D67" s="14"/>
      <c r="E67" s="14"/>
      <c r="F67" s="14"/>
      <c r="G67" s="14"/>
      <c r="H67" s="14"/>
      <c r="I67" s="48"/>
    </row>
    <row r="68" ht="24.75" customHeight="1" spans="1:9">
      <c r="A68" s="51" t="str" cm="1">
        <f ca="1" t="array" ref="A68">IF((INDIRECT("'"&amp;INDIRECT("Main!B9")&amp;"'!A82"))=0,"",(INDIRECT("'"&amp;INDIRECT("Main!B9")&amp;"'!A82")))</f>
        <v>Traversy</v>
      </c>
      <c r="B68" s="51" t="str" cm="1">
        <f ca="1" t="array" ref="B68">IF((INDIRECT("'"&amp;INDIRECT("Main!B9")&amp;"'!B82"))=0,"",(INDIRECT("'"&amp;INDIRECT("Main!B9")&amp;"'!B82")))</f>
        <v>Traversy Media</v>
      </c>
      <c r="C68" s="37">
        <v>0</v>
      </c>
      <c r="D68" s="14"/>
      <c r="E68" s="14"/>
      <c r="F68" s="14"/>
      <c r="G68" s="14"/>
      <c r="H68" s="14"/>
      <c r="I68" s="48"/>
    </row>
    <row r="69" ht="24.75" customHeight="1" spans="1:9">
      <c r="A69" s="52" t="str" cm="1">
        <f ca="1" t="array" ref="A69">IF((INDIRECT("'"&amp;INDIRECT("Main!B9")&amp;"'!A83"))=0,"",(INDIRECT("'"&amp;INDIRECT("Main!B9")&amp;"'!A83")))</f>
        <v>Orbis</v>
      </c>
      <c r="B69" s="52" t="str" cm="1">
        <f ca="1" t="array" ref="B69">IF((INDIRECT("'"&amp;INDIRECT("Main!B9")&amp;"'!B83"))=0,"",(INDIRECT("'"&amp;INDIRECT("Main!B9")&amp;"'!B83")))</f>
        <v>Orbis Eye Flight</v>
      </c>
      <c r="C69" s="37">
        <v>0</v>
      </c>
      <c r="D69" s="14"/>
      <c r="E69" s="14"/>
      <c r="F69" s="14"/>
      <c r="G69" s="14"/>
      <c r="H69" s="14"/>
      <c r="I69" s="48"/>
    </row>
    <row r="70" ht="24.75" customHeight="1" spans="1:9">
      <c r="A70" s="51" t="str" cm="1">
        <f ca="1" t="array" ref="A70">IF((INDIRECT("'"&amp;INDIRECT("Main!B9")&amp;"'!A84"))=0,"",(INDIRECT("'"&amp;INDIRECT("Main!B9")&amp;"'!A84")))</f>
        <v/>
      </c>
      <c r="B70" s="51" t="str" cm="1">
        <f ca="1" t="array" ref="B70">IF((INDIRECT("'"&amp;INDIRECT("Main!B9")&amp;"'!B84"))=0,"",(INDIRECT("'"&amp;INDIRECT("Main!B9")&amp;"'!B84")))</f>
        <v/>
      </c>
      <c r="C70" s="37">
        <v>0</v>
      </c>
      <c r="D70" s="14"/>
      <c r="E70" s="14"/>
      <c r="F70" s="14"/>
      <c r="G70" s="14"/>
      <c r="H70" s="14"/>
      <c r="I70" s="48"/>
    </row>
    <row r="71" ht="24.75" customHeight="1" spans="1:9">
      <c r="A71" s="51" t="str" cm="1">
        <f ca="1" t="array" ref="A71">IF((INDIRECT("'"&amp;INDIRECT("Main!B9")&amp;"'!A85"))=0,"",(INDIRECT("'"&amp;INDIRECT("Main!B9")&amp;"'!A85")))</f>
        <v/>
      </c>
      <c r="B71" s="51" t="str" cm="1">
        <f ca="1" t="array" ref="B71">IF((INDIRECT("'"&amp;INDIRECT("Main!B9")&amp;"'!B85"))=0,"",(INDIRECT("'"&amp;INDIRECT("Main!B9")&amp;"'!B85")))</f>
        <v/>
      </c>
      <c r="C71" s="37">
        <v>0</v>
      </c>
      <c r="D71" s="14"/>
      <c r="E71" s="14"/>
      <c r="F71" s="14"/>
      <c r="G71" s="14"/>
      <c r="H71" s="14"/>
      <c r="I71" s="48"/>
    </row>
    <row r="72" ht="24.75" customHeight="1" spans="1:9">
      <c r="A72" s="51" t="str" cm="1">
        <f ca="1" t="array" ref="A72">IF((INDIRECT("'"&amp;INDIRECT("Main!B9")&amp;"'!A86"))=0,"",(INDIRECT("'"&amp;INDIRECT("Main!B9")&amp;"'!A86")))</f>
        <v/>
      </c>
      <c r="B72" s="51" t="str" cm="1">
        <f ca="1" t="array" ref="B72">IF((INDIRECT("'"&amp;INDIRECT("Main!B9")&amp;"'!B86"))=0,"",(INDIRECT("'"&amp;INDIRECT("Main!B9")&amp;"'!B86")))</f>
        <v/>
      </c>
      <c r="C72" s="37">
        <v>0</v>
      </c>
      <c r="D72" s="14"/>
      <c r="E72" s="14"/>
      <c r="F72" s="14"/>
      <c r="G72" s="14"/>
      <c r="H72" s="14"/>
      <c r="I72" s="48"/>
    </row>
    <row r="73" ht="24.75" customHeight="1" spans="1:9">
      <c r="A73" s="51" t="str" cm="1">
        <f ca="1" t="array" ref="A73">IF((INDIRECT("'"&amp;INDIRECT("Main!B9")&amp;"'!A87"))=0,"",(INDIRECT("'"&amp;INDIRECT("Main!B9")&amp;"'!A87")))</f>
        <v/>
      </c>
      <c r="B73" s="51" t="str" cm="1">
        <f ca="1" t="array" ref="B73">IF((INDIRECT("'"&amp;INDIRECT("Main!B9")&amp;"'!B87"))=0,"",(INDIRECT("'"&amp;INDIRECT("Main!B9")&amp;"'!B87")))</f>
        <v/>
      </c>
      <c r="C73" s="37">
        <v>0</v>
      </c>
      <c r="D73" s="14"/>
      <c r="E73" s="14"/>
      <c r="F73" s="14"/>
      <c r="G73" s="14"/>
      <c r="H73" s="14"/>
      <c r="I73" s="48"/>
    </row>
    <row r="74" ht="24.75" customHeight="1" spans="1:9">
      <c r="A74" s="51" t="str" cm="1">
        <f ca="1" t="array" ref="A74">IF((INDIRECT("'"&amp;INDIRECT("Main!B9")&amp;"'!A88"))=0,"",(INDIRECT("'"&amp;INDIRECT("Main!B9")&amp;"'!A88")))</f>
        <v/>
      </c>
      <c r="B74" s="51" t="str" cm="1">
        <f ca="1" t="array" ref="B74">IF((INDIRECT("'"&amp;INDIRECT("Main!B9")&amp;"'!B88"))=0,"",(INDIRECT("'"&amp;INDIRECT("Main!B9")&amp;"'!B88")))</f>
        <v/>
      </c>
      <c r="C74" s="37">
        <v>0</v>
      </c>
      <c r="D74" s="14"/>
      <c r="E74" s="14"/>
      <c r="F74" s="14"/>
      <c r="G74" s="14"/>
      <c r="H74" s="14"/>
      <c r="I74" s="48"/>
    </row>
    <row r="75" ht="24.75" customHeight="1" spans="1:9">
      <c r="A75" s="50"/>
      <c r="B75" s="40" t="s">
        <v>61</v>
      </c>
      <c r="C75" s="37">
        <f>SUM(C68:C74)</f>
        <v>0</v>
      </c>
      <c r="D75" s="14"/>
      <c r="E75" s="14"/>
      <c r="F75" s="14"/>
      <c r="G75" s="14"/>
      <c r="H75" s="14"/>
      <c r="I75" s="48"/>
    </row>
    <row r="76" ht="24.75" customHeight="1" spans="1:9">
      <c r="A76" s="33" t="s">
        <v>68</v>
      </c>
      <c r="B76" s="34"/>
      <c r="C76" s="35"/>
      <c r="D76" s="14"/>
      <c r="E76" s="14"/>
      <c r="F76" s="14"/>
      <c r="G76" s="14"/>
      <c r="H76" s="14"/>
      <c r="I76" s="48"/>
    </row>
    <row r="77" ht="24.75" customHeight="1" spans="1:9">
      <c r="A77" s="36" t="str" cm="1">
        <f ca="1" t="array" ref="A77">IF((INDIRECT("'"&amp;INDIRECT("Main!B9")&amp;"'!A91"))=0,"",(INDIRECT("'"&amp;INDIRECT("Main!B9")&amp;"'!A91")))</f>
        <v>AIA</v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4"/>
      <c r="E77" s="14"/>
      <c r="F77" s="14"/>
      <c r="G77" s="14"/>
      <c r="H77" s="14"/>
      <c r="I77" s="48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4"/>
      <c r="E78" s="14"/>
      <c r="F78" s="14"/>
      <c r="G78" s="14"/>
      <c r="H78" s="14"/>
      <c r="I78" s="48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4"/>
      <c r="E79" s="14"/>
      <c r="F79" s="14"/>
      <c r="G79" s="14"/>
      <c r="H79" s="14"/>
      <c r="I79" s="48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4"/>
      <c r="E80" s="14"/>
      <c r="F80" s="14"/>
      <c r="G80" s="14"/>
      <c r="H80" s="14"/>
      <c r="I80" s="48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4"/>
      <c r="E81" s="14"/>
      <c r="F81" s="14"/>
      <c r="G81" s="14"/>
      <c r="H81" s="14"/>
      <c r="I81" s="48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4"/>
      <c r="E82" s="14"/>
      <c r="F82" s="14"/>
      <c r="G82" s="14"/>
      <c r="H82" s="14"/>
      <c r="I82" s="48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4"/>
      <c r="E83" s="14"/>
      <c r="F83" s="14"/>
      <c r="G83" s="14"/>
      <c r="H83" s="14"/>
      <c r="I83" s="48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4"/>
      <c r="E84" s="14"/>
      <c r="F84" s="14"/>
      <c r="G84" s="14"/>
      <c r="H84" s="14"/>
      <c r="I84" s="48"/>
    </row>
    <row r="85" ht="24.75" customHeight="1" spans="1:9">
      <c r="A85" s="50"/>
      <c r="B85" s="40" t="s">
        <v>61</v>
      </c>
      <c r="C85" s="37">
        <f>SUM(C77:C84)</f>
        <v>0</v>
      </c>
      <c r="D85" s="14"/>
      <c r="E85" s="14"/>
      <c r="F85" s="14"/>
      <c r="G85" s="14"/>
      <c r="H85" s="14"/>
      <c r="I85" s="48"/>
    </row>
    <row r="86" ht="24.75" customHeight="1" spans="1:9">
      <c r="A86" s="33" t="s">
        <v>70</v>
      </c>
      <c r="B86" s="34"/>
      <c r="C86" s="35"/>
      <c r="D86" s="14"/>
      <c r="E86" s="14"/>
      <c r="F86" s="14"/>
      <c r="G86" s="14"/>
      <c r="H86" s="14"/>
      <c r="I86" s="48"/>
    </row>
    <row r="87" ht="24.75" customHeight="1" spans="1:9">
      <c r="A87" s="36" t="str" cm="1">
        <f ca="1" t="array" ref="A87">IF((INDIRECT("'"&amp;INDIRECT("Main!B9")&amp;"'!A101"))=0,"",(INDIRECT("'"&amp;INDIRECT("Main!B9")&amp;"'!A101")))</f>
        <v>Other Stuff</v>
      </c>
      <c r="B87" s="36" t="str" cm="1">
        <f ca="1" t="array" ref="B87">IF((INDIRECT("'"&amp;INDIRECT("Main!B9")&amp;"'!B101"))=0,"",(INDIRECT("'"&amp;INDIRECT("Main!B9")&amp;"'!B101")))</f>
        <v>Food, Transport….</v>
      </c>
      <c r="C87" s="37">
        <v>0</v>
      </c>
      <c r="D87" s="14"/>
      <c r="E87" s="14"/>
      <c r="F87" s="14"/>
      <c r="G87" s="14"/>
      <c r="H87" s="14"/>
      <c r="I87" s="48"/>
    </row>
    <row r="88" ht="24.75" customHeight="1" spans="1:9">
      <c r="A88" s="36" t="str" cm="1">
        <f ca="1" t="array" ref="A88">IF((INDIRECT("'"&amp;INDIRECT("Main!B9")&amp;"'!A102"))=0,"",(INDIRECT("'"&amp;INDIRECT("Main!B9")&amp;"'!A102")))</f>
        <v>Entertainment</v>
      </c>
      <c r="B88" s="36" t="str" cm="1">
        <f ca="1" t="array" ref="B88">IF((INDIRECT("'"&amp;INDIRECT("Main!B9")&amp;"'!B102"))=0,"",(INDIRECT("'"&amp;INDIRECT("Main!B9")&amp;"'!B102")))</f>
        <v>Sportify Music Paid For 7th of Each Month</v>
      </c>
      <c r="C88" s="37">
        <v>68</v>
      </c>
      <c r="D88" s="14"/>
      <c r="E88" s="14"/>
      <c r="F88" s="14"/>
      <c r="G88" s="14"/>
      <c r="H88" s="14"/>
      <c r="I88" s="48"/>
    </row>
    <row r="89" ht="24.75" customHeight="1" spans="1:9">
      <c r="A89" s="36" t="str" cm="1">
        <f ca="1" t="array" ref="A89">IF((INDIRECT("'"&amp;INDIRECT("Main!B9")&amp;"'!A103"))=0,"",(INDIRECT("'"&amp;INDIRECT("Main!B9")&amp;"'!A103")))</f>
        <v>Hair Cutting</v>
      </c>
      <c r="B89" s="36" t="str" cm="1">
        <f ca="1" t="array" ref="B89">IF((INDIRECT("'"&amp;INDIRECT("Main!B9")&amp;"'!B103"))=0,"",(INDIRECT("'"&amp;INDIRECT("Main!B9")&amp;"'!B103")))</f>
        <v/>
      </c>
      <c r="C89" s="37">
        <v>55</v>
      </c>
      <c r="D89" s="14"/>
      <c r="E89" s="14"/>
      <c r="F89" s="14"/>
      <c r="G89" s="14"/>
      <c r="H89" s="14"/>
      <c r="I89" s="48"/>
    </row>
    <row r="90" ht="40.5" customHeight="1" spans="1:9">
      <c r="A90" s="38" t="str" cm="1">
        <f ca="1" t="array" ref="A90">IF((INDIRECT("'"&amp;INDIRECT("Main!B9")&amp;"'!A104"))=0,"",(INDIRECT("'"&amp;INDIRECT("Main!B9")&amp;"'!A104")))</f>
        <v>Cigarettes</v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4"/>
      <c r="E90" s="68"/>
      <c r="F90" s="14"/>
      <c r="G90" s="14"/>
      <c r="H90" s="14"/>
      <c r="I90" s="48"/>
    </row>
    <row r="91" ht="35.25" customHeight="1" spans="1:9">
      <c r="A91" s="38" t="str" cm="1">
        <f ca="1" t="array" ref="A91">IF((INDIRECT("'"&amp;INDIRECT("Main!B9")&amp;"'!A105"))=0,"",(INDIRECT("'"&amp;INDIRECT("Main!B9")&amp;"'!A105")))</f>
        <v>Oxford Dictionary</v>
      </c>
      <c r="B91" s="38" t="str" cm="1">
        <f ca="1" t="array" ref="B91">IF((INDIRECT("'"&amp;INDIRECT("Main!B9")&amp;"'!B105"))=0,"",(INDIRECT("'"&amp;INDIRECT("Main!B9")&amp;"'!B105")))</f>
        <v>Paid For 19th of Each Month</v>
      </c>
      <c r="C91" s="37">
        <v>19.99</v>
      </c>
      <c r="D91" s="14"/>
      <c r="E91" s="14"/>
      <c r="F91" s="14"/>
      <c r="G91" s="14"/>
      <c r="H91" s="14"/>
      <c r="I91" s="48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4"/>
      <c r="E92" s="14"/>
      <c r="F92" s="14"/>
      <c r="G92" s="14"/>
      <c r="H92" s="14"/>
      <c r="I92" s="48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4"/>
      <c r="E93" s="14"/>
      <c r="F93" s="14"/>
      <c r="G93" s="14"/>
      <c r="H93" s="14"/>
      <c r="I93" s="48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4"/>
      <c r="E94" s="14"/>
      <c r="F94" s="14"/>
      <c r="G94" s="14"/>
      <c r="H94" s="14"/>
      <c r="I94" s="48"/>
    </row>
    <row r="95" ht="24.75" customHeight="1" spans="1:9">
      <c r="A95" s="52"/>
      <c r="B95" s="40" t="s">
        <v>61</v>
      </c>
      <c r="C95" s="37">
        <f>SUM(C87:C94)</f>
        <v>142.99</v>
      </c>
      <c r="D95" s="14"/>
      <c r="E95" s="14"/>
      <c r="F95" s="14"/>
      <c r="G95" s="14"/>
      <c r="H95" s="14"/>
      <c r="I95" s="48"/>
    </row>
    <row r="96" ht="24.75" customHeight="1" spans="1:9">
      <c r="A96" s="50"/>
      <c r="B96" s="40" t="s">
        <v>79</v>
      </c>
      <c r="C96" s="37">
        <f>C55+C66+C75+C85+C95</f>
        <v>369.99</v>
      </c>
      <c r="D96" s="14"/>
      <c r="E96" s="14"/>
      <c r="F96" s="14"/>
      <c r="G96" s="14"/>
      <c r="H96" s="14"/>
      <c r="I96" s="48"/>
    </row>
    <row r="97" ht="24.75" customHeight="1" spans="1:9">
      <c r="A97" s="33" t="s">
        <v>80</v>
      </c>
      <c r="B97" s="34"/>
      <c r="C97" s="35"/>
      <c r="D97" s="14"/>
      <c r="E97" s="14"/>
      <c r="F97" s="14"/>
      <c r="G97" s="14"/>
      <c r="H97" s="14"/>
      <c r="I97" s="48"/>
    </row>
    <row r="98" ht="24.75" customHeight="1" spans="1:9">
      <c r="A98" s="36" t="str" cm="1">
        <f ca="1" t="array" ref="A98">IF((INDIRECT("'"&amp;INDIRECT("Main!B9")&amp;"'!A112"))=0,"",(INDIRECT("'"&amp;INDIRECT("Main!B9")&amp;"'!A112")))</f>
        <v>Mother</v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INDIRECT("'"&amp;INDIRECT("Main!B51")&amp;"'!C98")+SUM(E118+E145+E172)</f>
        <v>0</v>
      </c>
      <c r="D98" s="14"/>
      <c r="E98" s="69"/>
      <c r="F98" s="14"/>
      <c r="G98" s="14"/>
      <c r="H98" s="14"/>
      <c r="I98" s="48"/>
    </row>
    <row r="99" ht="24.75" customHeight="1" spans="1:9">
      <c r="A99" s="36" t="str" cm="1">
        <f ca="1" t="array" ref="A99">IF((INDIRECT("'"&amp;INDIRECT("Main!B9")&amp;"'!A113"))=0,"",(INDIRECT("'"&amp;INDIRECT("Main!B9")&amp;"'!A113")))</f>
        <v>Ng Wing Lam</v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INDIRECT("'"&amp;INDIRECT("Main!B51")&amp;"'!C99")+SUM(E119+E146+E173)</f>
        <v>0</v>
      </c>
      <c r="D99" s="14"/>
      <c r="E99" s="14"/>
      <c r="F99" s="14"/>
      <c r="G99" s="14"/>
      <c r="H99" s="14"/>
      <c r="I99" s="48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>Lawrence</v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INDIRECT("'"&amp;INDIRECT("Main!B51")&amp;"'!C100")+SUM(E120+E147+E174)</f>
        <v>0</v>
      </c>
      <c r="D100" s="14"/>
      <c r="E100" s="14"/>
      <c r="F100" s="14"/>
      <c r="G100" s="14"/>
      <c r="H100" s="14"/>
      <c r="I100" s="48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>Hong Kong Government Hospital Authority</v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INDIRECT("'"&amp;INDIRECT("Main!B51")&amp;"'!C101")+SUM(E121+E148+E175)</f>
        <v>0</v>
      </c>
      <c r="D101" s="14"/>
      <c r="E101" s="14"/>
      <c r="F101" s="14"/>
      <c r="G101" s="14"/>
      <c r="H101" s="14"/>
      <c r="I101" s="48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>Bankruptcy Department / Bank</v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INDIRECT("'"&amp;INDIRECT("Main!B51")&amp;"'!C102")+SUM(E122+E149+E176)</f>
        <v>0</v>
      </c>
      <c r="D102" s="14"/>
      <c r="E102" s="14"/>
      <c r="F102" s="14"/>
      <c r="G102" s="14"/>
      <c r="H102" s="14"/>
      <c r="I102" s="48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>Mother Air Ticket</v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INDIRECT("'"&amp;INDIRECT("Main!B51")&amp;"'!C103")+SUM(E123+E150+E177)</f>
        <v>0</v>
      </c>
      <c r="D103" s="14"/>
      <c r="E103" s="14"/>
      <c r="F103" s="14"/>
      <c r="G103" s="14"/>
      <c r="H103" s="14"/>
      <c r="I103" s="48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>Mother Amazon Books</v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INDIRECT("'"&amp;INDIRECT("Main!B51")&amp;"'!C104")+SUM(E124+E151+E178)</f>
        <v>0</v>
      </c>
      <c r="D104" s="14"/>
      <c r="E104" s="14"/>
      <c r="F104" s="14"/>
      <c r="G104" s="14"/>
      <c r="H104" s="14"/>
      <c r="I104" s="48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INDIRECT("'"&amp;INDIRECT("Main!B51")&amp;"'!C105")+SUM(E125+E152+E179)</f>
        <v>0</v>
      </c>
      <c r="D105" s="14"/>
      <c r="E105" s="14"/>
      <c r="F105" s="14"/>
      <c r="G105" s="14"/>
      <c r="H105" s="14"/>
      <c r="I105" s="48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INDIRECT("'"&amp;INDIRECT("Main!B51")&amp;"'!C106")+SUM(E126+E153+E180)</f>
        <v>0</v>
      </c>
      <c r="D106" s="14"/>
      <c r="E106" s="14"/>
      <c r="F106" s="14"/>
      <c r="G106" s="14"/>
      <c r="H106" s="14"/>
      <c r="I106" s="48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INDIRECT("'"&amp;INDIRECT("Main!B51")&amp;"'!C107")+SUM(E127+E154+E181)</f>
        <v>0</v>
      </c>
      <c r="D107" s="14"/>
      <c r="E107" s="14"/>
      <c r="F107" s="14"/>
      <c r="G107" s="14"/>
      <c r="H107" s="14"/>
      <c r="I107" s="48"/>
    </row>
    <row r="108" ht="24.75" customHeight="1" spans="1:9">
      <c r="A108" s="50"/>
      <c r="B108" s="40" t="s">
        <v>88</v>
      </c>
      <c r="C108" s="37">
        <f ca="1">SUM(C98:C107)</f>
        <v>0</v>
      </c>
      <c r="D108" s="14"/>
      <c r="E108" s="14"/>
      <c r="F108" s="14"/>
      <c r="G108" s="14"/>
      <c r="H108" s="14"/>
      <c r="I108" s="48"/>
    </row>
    <row r="109" ht="24.75" customHeight="1" spans="1:9">
      <c r="A109" s="50"/>
      <c r="B109" s="40" t="s">
        <v>89</v>
      </c>
      <c r="C109" s="37">
        <f ca="1">C108-C96</f>
        <v>-369.99</v>
      </c>
      <c r="D109" s="14"/>
      <c r="E109" s="14"/>
      <c r="F109" s="14"/>
      <c r="G109" s="14"/>
      <c r="H109" s="14"/>
      <c r="I109" s="48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8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8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8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8"/>
    </row>
    <row r="114" ht="24.75" customHeight="1" spans="1:9">
      <c r="A114" s="53" t="str">
        <f>"Debts Or Credits For the Comming "&amp;IF(Main!B2,TEXT(EDATE(Main!B3,45),"mmmm dd yyyy"),TEXT(Main!B3+((Main!B5-Main!B3)*45+45),"mmmm dd yyyy"))&amp;" to "&amp;IF(Main!B2,TEXT(EDATE(Main!B3,46)-1,"mmmm dd yyyy"),TEXT(Main!B3+((Main!B5-Main!B3)*46+45),"mmmm dd yyyy"))</f>
        <v>Debts Or Credits For the Comming October 20 2028 to November 19 2028</v>
      </c>
      <c r="B114" s="54"/>
      <c r="C114" s="54"/>
      <c r="D114" s="54"/>
      <c r="E114" s="55"/>
      <c r="F114" s="14"/>
      <c r="G114" s="14"/>
      <c r="H114" s="14"/>
      <c r="I114" s="48"/>
    </row>
    <row r="115" ht="24.75" customHeight="1" spans="1:9">
      <c r="A115" s="53" t="s">
        <v>90</v>
      </c>
      <c r="B115" s="55"/>
      <c r="C115" s="53" t="s">
        <v>50</v>
      </c>
      <c r="D115" s="55"/>
      <c r="E115" s="70" t="s">
        <v>51</v>
      </c>
      <c r="F115" s="14"/>
      <c r="G115" s="14"/>
      <c r="H115" s="14"/>
      <c r="I115" s="48"/>
    </row>
    <row r="116" ht="24.75" customHeight="1" spans="1:9">
      <c r="A116" s="56" t="str">
        <f>"Balance Brought Forward From "&amp;IF(Main!B2,TEXT(EDATE(Main!B3,45)-1,"mmmm yyyy"),TEXT(Main!B3+((Main!B5-Main!B3)*45+44),"mmmm yyyy"))</f>
        <v>Balance Brought Forward From October 2028</v>
      </c>
      <c r="B116" s="57"/>
      <c r="C116" s="58"/>
      <c r="D116" s="58"/>
      <c r="E116" s="71" cm="1">
        <f ca="1" t="array" ref="E116">INDIRECT("'"&amp;INDIRECT("Main!B51")&amp;"'!E190")</f>
        <v>25995.57</v>
      </c>
      <c r="F116" s="14"/>
      <c r="G116" s="14"/>
      <c r="H116" s="14"/>
      <c r="I116" s="48"/>
    </row>
    <row r="117" ht="24.75" customHeight="1" spans="1:9">
      <c r="A117" s="59" t="s">
        <v>70</v>
      </c>
      <c r="B117" s="60"/>
      <c r="C117" s="61" t="s">
        <v>91</v>
      </c>
      <c r="D117" s="62"/>
      <c r="E117" s="72"/>
      <c r="F117" s="14"/>
      <c r="G117" s="14"/>
      <c r="H117" s="14"/>
      <c r="I117" s="48"/>
    </row>
    <row r="118" ht="24.75" customHeight="1" spans="1:9">
      <c r="A118" s="63"/>
      <c r="B118" s="64"/>
      <c r="C118" s="65"/>
      <c r="D118" s="66"/>
      <c r="E118" s="37">
        <v>0</v>
      </c>
      <c r="F118" s="14"/>
      <c r="G118" s="14"/>
      <c r="H118" s="14"/>
      <c r="I118" s="48"/>
    </row>
    <row r="119" ht="24.75" customHeight="1" spans="1:9">
      <c r="A119" s="63"/>
      <c r="B119" s="64"/>
      <c r="C119" s="65"/>
      <c r="D119" s="66"/>
      <c r="E119" s="37">
        <v>0</v>
      </c>
      <c r="F119" s="14"/>
      <c r="G119" s="14"/>
      <c r="H119" s="14"/>
      <c r="I119" s="48"/>
    </row>
    <row r="120" ht="24.75" customHeight="1" spans="1:9">
      <c r="A120" s="63"/>
      <c r="B120" s="64"/>
      <c r="C120" s="65"/>
      <c r="D120" s="66"/>
      <c r="E120" s="37">
        <v>0</v>
      </c>
      <c r="F120" s="14"/>
      <c r="G120" s="14"/>
      <c r="H120" s="14"/>
      <c r="I120" s="48"/>
    </row>
    <row r="121" ht="24.75" customHeight="1" spans="1:9">
      <c r="A121" s="63"/>
      <c r="B121" s="64"/>
      <c r="C121" s="65"/>
      <c r="D121" s="66"/>
      <c r="E121" s="37">
        <v>0</v>
      </c>
      <c r="F121" s="14"/>
      <c r="G121" s="14"/>
      <c r="H121" s="14"/>
      <c r="I121" s="48"/>
    </row>
    <row r="122" ht="24.75" customHeight="1" spans="1:9">
      <c r="A122" s="63"/>
      <c r="B122" s="64"/>
      <c r="C122" s="65"/>
      <c r="D122" s="66"/>
      <c r="E122" s="37">
        <v>0</v>
      </c>
      <c r="F122" s="14"/>
      <c r="G122" s="14"/>
      <c r="H122" s="14"/>
      <c r="I122" s="48"/>
    </row>
    <row r="123" ht="24.75" customHeight="1" spans="1:9">
      <c r="A123" s="63"/>
      <c r="B123" s="64"/>
      <c r="C123" s="65"/>
      <c r="D123" s="66"/>
      <c r="E123" s="37">
        <v>0</v>
      </c>
      <c r="F123" s="14"/>
      <c r="G123" s="14"/>
      <c r="H123" s="14"/>
      <c r="I123" s="48"/>
    </row>
    <row r="124" ht="24.75" customHeight="1" spans="1:9">
      <c r="A124" s="63"/>
      <c r="B124" s="64"/>
      <c r="C124" s="65"/>
      <c r="D124" s="66"/>
      <c r="E124" s="37">
        <v>0</v>
      </c>
      <c r="F124" s="14"/>
      <c r="G124" s="14"/>
      <c r="H124" s="14"/>
      <c r="I124" s="48"/>
    </row>
    <row r="125" ht="24.75" customHeight="1" spans="1:9">
      <c r="A125" s="63"/>
      <c r="B125" s="64"/>
      <c r="C125" s="65"/>
      <c r="D125" s="66"/>
      <c r="E125" s="37">
        <v>0</v>
      </c>
      <c r="F125" s="14"/>
      <c r="G125" s="14"/>
      <c r="H125" s="14"/>
      <c r="I125" s="48"/>
    </row>
    <row r="126" ht="24.75" customHeight="1" spans="1:9">
      <c r="A126" s="63"/>
      <c r="B126" s="64"/>
      <c r="C126" s="65"/>
      <c r="D126" s="66"/>
      <c r="E126" s="37">
        <v>0</v>
      </c>
      <c r="F126" s="14"/>
      <c r="G126" s="14"/>
      <c r="H126" s="14"/>
      <c r="I126" s="48"/>
    </row>
    <row r="127" ht="24.75" customHeight="1" spans="1:9">
      <c r="A127" s="63"/>
      <c r="B127" s="64"/>
      <c r="C127" s="65"/>
      <c r="D127" s="66"/>
      <c r="E127" s="37">
        <v>0</v>
      </c>
      <c r="F127" s="14"/>
      <c r="G127" s="14"/>
      <c r="H127" s="14"/>
      <c r="I127" s="48"/>
    </row>
    <row r="128" ht="24.75" customHeight="1" spans="1:9">
      <c r="A128" s="63"/>
      <c r="B128" s="64"/>
      <c r="C128" s="67" t="s">
        <v>92</v>
      </c>
      <c r="D128" s="62"/>
      <c r="E128" s="72"/>
      <c r="F128" s="14"/>
      <c r="G128" s="14"/>
      <c r="H128" s="14"/>
      <c r="I128" s="48"/>
    </row>
    <row r="129" ht="53" customHeight="1" spans="1:9">
      <c r="A129" s="63"/>
      <c r="B129" s="64"/>
      <c r="C129" s="73" t="s">
        <v>115</v>
      </c>
      <c r="D129" s="74"/>
      <c r="E129" s="87">
        <v>419</v>
      </c>
      <c r="F129" s="14"/>
      <c r="G129" s="14"/>
      <c r="H129" s="14"/>
      <c r="I129" s="48"/>
    </row>
    <row r="130" ht="24.75" customHeight="1" spans="1:9">
      <c r="A130" s="63"/>
      <c r="B130" s="64"/>
      <c r="C130" s="74" t="s">
        <v>111</v>
      </c>
      <c r="D130" s="74"/>
      <c r="E130" s="87">
        <v>800</v>
      </c>
      <c r="F130" s="14"/>
      <c r="G130" s="14"/>
      <c r="H130" s="14"/>
      <c r="I130" s="48"/>
    </row>
    <row r="131" ht="24.75" customHeight="1" spans="1:9">
      <c r="A131" s="63"/>
      <c r="B131" s="64"/>
      <c r="C131" s="65"/>
      <c r="D131" s="66"/>
      <c r="E131" s="88">
        <v>0</v>
      </c>
      <c r="F131" s="14"/>
      <c r="G131" s="14"/>
      <c r="H131" s="14"/>
      <c r="I131" s="48"/>
    </row>
    <row r="132" ht="24.75" customHeight="1" spans="1:9">
      <c r="A132" s="63"/>
      <c r="B132" s="64"/>
      <c r="C132" s="65"/>
      <c r="D132" s="66"/>
      <c r="E132" s="88">
        <v>0</v>
      </c>
      <c r="F132" s="14"/>
      <c r="G132" s="14"/>
      <c r="H132" s="14"/>
      <c r="I132" s="48"/>
    </row>
    <row r="133" ht="24.75" customHeight="1" spans="1:9">
      <c r="A133" s="63"/>
      <c r="B133" s="64"/>
      <c r="C133" s="65"/>
      <c r="D133" s="66"/>
      <c r="E133" s="88">
        <v>0</v>
      </c>
      <c r="F133" s="14"/>
      <c r="G133" s="14"/>
      <c r="H133" s="14"/>
      <c r="I133" s="48"/>
    </row>
    <row r="134" ht="24.75" customHeight="1" spans="1:9">
      <c r="A134" s="75"/>
      <c r="B134" s="76"/>
      <c r="C134" s="65"/>
      <c r="D134" s="66"/>
      <c r="E134" s="88">
        <v>0</v>
      </c>
      <c r="F134" s="14"/>
      <c r="G134" s="14"/>
      <c r="H134" s="14"/>
      <c r="I134" s="48"/>
    </row>
    <row r="135" ht="24.75" customHeight="1" spans="1:9">
      <c r="A135" s="56" t="s">
        <v>93</v>
      </c>
      <c r="B135" s="77"/>
      <c r="C135" s="78"/>
      <c r="D135" s="79"/>
      <c r="E135" s="88">
        <f>C96</f>
        <v>369.99</v>
      </c>
      <c r="F135" s="14"/>
      <c r="G135" s="14"/>
      <c r="H135" s="14"/>
      <c r="I135" s="48"/>
    </row>
    <row r="136" ht="24.75" customHeight="1" spans="1:9">
      <c r="A136" s="80"/>
      <c r="B136" s="81"/>
      <c r="C136" s="82" t="s">
        <v>94</v>
      </c>
      <c r="D136" s="82"/>
      <c r="E136" s="89">
        <f ca="1">(F16+E116)-(SUM(E118:E127)+SUM(E129:E135))</f>
        <v>26841.58</v>
      </c>
      <c r="F136" s="14"/>
      <c r="G136" s="14"/>
      <c r="H136" s="14"/>
      <c r="I136" s="48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8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8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8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8"/>
    </row>
    <row r="141" ht="24.75" customHeight="1" spans="1:9">
      <c r="A141" s="53" t="str">
        <f>"Debts Or Credits For the Comming "&amp;IF(Main!B2,TEXT(EDATE(Main!B3,46),"mmmm dd yyyy"),TEXT(Main!B3+((Main!B5-Main!B3)*46+46),"dd mmmm yyyy"))&amp;" to "&amp;IF(Main!B2,TEXT(EDATE(Main!B3,47)-1,"mmmm dd yyyy"),TEXT(Main!B3+((Main!B5-Main!B3)*47+46),"mmmm dd yyyy"))</f>
        <v>Debts Or Credits For the Comming November 20 2028 to December 19 2028</v>
      </c>
      <c r="B141" s="54"/>
      <c r="C141" s="54"/>
      <c r="D141" s="54"/>
      <c r="E141" s="55"/>
      <c r="F141" s="14"/>
      <c r="G141" s="14"/>
      <c r="H141" s="14"/>
      <c r="I141" s="48"/>
    </row>
    <row r="142" ht="24.75" customHeight="1" spans="1:9">
      <c r="A142" s="53" t="s">
        <v>90</v>
      </c>
      <c r="B142" s="55"/>
      <c r="C142" s="83" t="s">
        <v>50</v>
      </c>
      <c r="D142" s="84"/>
      <c r="E142" s="90" t="s">
        <v>51</v>
      </c>
      <c r="F142" s="14"/>
      <c r="G142" s="14"/>
      <c r="H142" s="14"/>
      <c r="I142" s="48"/>
    </row>
    <row r="143" ht="24.75" customHeight="1" spans="1:9">
      <c r="A143" s="56" t="str">
        <f>"Balance Brought Forward From "&amp;IF(Main!B2,TEXT(EDATE(Main!B3,46)-1,"mmmm yyyy"),TEXT(Main!B3+((Main!B5-Main!B3)*46+45),"mmmm yyyy"))</f>
        <v>Balance Brought Forward From November 2028</v>
      </c>
      <c r="B143" s="57"/>
      <c r="C143" s="58"/>
      <c r="D143" s="58"/>
      <c r="E143" s="89">
        <f ca="1">E136</f>
        <v>26841.58</v>
      </c>
      <c r="F143" s="14"/>
      <c r="G143" s="14"/>
      <c r="H143" s="14"/>
      <c r="I143" s="48"/>
    </row>
    <row r="144" ht="24.75" customHeight="1" spans="1:9">
      <c r="A144" s="59" t="s">
        <v>70</v>
      </c>
      <c r="B144" s="60"/>
      <c r="C144" s="85" t="s">
        <v>91</v>
      </c>
      <c r="D144" s="86"/>
      <c r="E144" s="91"/>
      <c r="F144" s="14"/>
      <c r="G144" s="14"/>
      <c r="H144" s="14"/>
      <c r="I144" s="48"/>
    </row>
    <row r="145" ht="24.75" customHeight="1" spans="1:9">
      <c r="A145" s="63"/>
      <c r="B145" s="64"/>
      <c r="C145" s="65"/>
      <c r="D145" s="66"/>
      <c r="E145" s="37">
        <v>0</v>
      </c>
      <c r="F145" s="14"/>
      <c r="G145" s="14"/>
      <c r="H145" s="14"/>
      <c r="I145" s="48"/>
    </row>
    <row r="146" ht="24.75" customHeight="1" spans="1:9">
      <c r="A146" s="63"/>
      <c r="B146" s="64"/>
      <c r="C146" s="65"/>
      <c r="D146" s="66"/>
      <c r="E146" s="37">
        <v>0</v>
      </c>
      <c r="F146" s="14"/>
      <c r="G146" s="14"/>
      <c r="H146" s="14"/>
      <c r="I146" s="48"/>
    </row>
    <row r="147" ht="24.75" customHeight="1" spans="1:9">
      <c r="A147" s="63"/>
      <c r="B147" s="64"/>
      <c r="C147" s="65"/>
      <c r="D147" s="66"/>
      <c r="E147" s="37">
        <v>0</v>
      </c>
      <c r="F147" s="14"/>
      <c r="G147" s="14"/>
      <c r="H147" s="14"/>
      <c r="I147" s="48"/>
    </row>
    <row r="148" ht="24.75" customHeight="1" spans="1:9">
      <c r="A148" s="63"/>
      <c r="B148" s="64"/>
      <c r="C148" s="65"/>
      <c r="D148" s="66"/>
      <c r="E148" s="37">
        <v>0</v>
      </c>
      <c r="F148" s="14"/>
      <c r="G148" s="14"/>
      <c r="H148" s="14"/>
      <c r="I148" s="48"/>
    </row>
    <row r="149" ht="24.75" customHeight="1" spans="1:9">
      <c r="A149" s="63"/>
      <c r="B149" s="64"/>
      <c r="C149" s="65"/>
      <c r="D149" s="66"/>
      <c r="E149" s="37">
        <v>0</v>
      </c>
      <c r="F149" s="14"/>
      <c r="G149" s="14"/>
      <c r="H149" s="14"/>
      <c r="I149" s="48"/>
    </row>
    <row r="150" ht="24.75" customHeight="1" spans="1:9">
      <c r="A150" s="63"/>
      <c r="B150" s="64"/>
      <c r="C150" s="65"/>
      <c r="D150" s="66"/>
      <c r="E150" s="37">
        <v>0</v>
      </c>
      <c r="F150" s="14"/>
      <c r="G150" s="14"/>
      <c r="H150" s="14"/>
      <c r="I150" s="48"/>
    </row>
    <row r="151" ht="24.75" customHeight="1" spans="1:9">
      <c r="A151" s="63"/>
      <c r="B151" s="64"/>
      <c r="C151" s="65"/>
      <c r="D151" s="66"/>
      <c r="E151" s="37">
        <v>0</v>
      </c>
      <c r="F151" s="14"/>
      <c r="G151" s="14"/>
      <c r="H151" s="14"/>
      <c r="I151" s="48"/>
    </row>
    <row r="152" ht="24.75" customHeight="1" spans="1:9">
      <c r="A152" s="63"/>
      <c r="B152" s="64"/>
      <c r="C152" s="65"/>
      <c r="D152" s="66"/>
      <c r="E152" s="37">
        <v>0</v>
      </c>
      <c r="F152" s="14"/>
      <c r="G152" s="14"/>
      <c r="H152" s="14"/>
      <c r="I152" s="48"/>
    </row>
    <row r="153" ht="24.75" customHeight="1" spans="1:9">
      <c r="A153" s="63"/>
      <c r="B153" s="64"/>
      <c r="C153" s="65"/>
      <c r="D153" s="66"/>
      <c r="E153" s="37">
        <v>0</v>
      </c>
      <c r="F153" s="14"/>
      <c r="G153" s="14"/>
      <c r="H153" s="14"/>
      <c r="I153" s="48"/>
    </row>
    <row r="154" ht="24.75" customHeight="1" spans="1:9">
      <c r="A154" s="63"/>
      <c r="B154" s="64"/>
      <c r="C154" s="65"/>
      <c r="D154" s="66"/>
      <c r="E154" s="37">
        <v>0</v>
      </c>
      <c r="F154" s="14"/>
      <c r="G154" s="14"/>
      <c r="H154" s="14"/>
      <c r="I154" s="48"/>
    </row>
    <row r="155" ht="24.75" customHeight="1" spans="1:9">
      <c r="A155" s="63"/>
      <c r="B155" s="64"/>
      <c r="C155" s="67" t="s">
        <v>92</v>
      </c>
      <c r="D155" s="62"/>
      <c r="E155" s="72"/>
      <c r="F155" s="14"/>
      <c r="G155" s="14"/>
      <c r="H155" s="14"/>
      <c r="I155" s="48"/>
    </row>
    <row r="156" ht="65" customHeight="1" spans="1:9">
      <c r="A156" s="63"/>
      <c r="B156" s="64"/>
      <c r="C156" s="73" t="s">
        <v>121</v>
      </c>
      <c r="D156" s="74"/>
      <c r="E156" s="87">
        <v>1250</v>
      </c>
      <c r="F156" s="14"/>
      <c r="G156" s="14"/>
      <c r="H156" s="14"/>
      <c r="I156" s="48"/>
    </row>
    <row r="157" ht="24.75" customHeight="1" spans="1:9">
      <c r="A157" s="63"/>
      <c r="B157" s="64"/>
      <c r="C157" s="74" t="s">
        <v>114</v>
      </c>
      <c r="D157" s="74"/>
      <c r="E157" s="87">
        <v>400</v>
      </c>
      <c r="F157" s="14"/>
      <c r="G157" s="14"/>
      <c r="H157" s="14"/>
      <c r="I157" s="48"/>
    </row>
    <row r="158" ht="24.75" customHeight="1" spans="1:9">
      <c r="A158" s="63"/>
      <c r="B158" s="64"/>
      <c r="C158" s="65"/>
      <c r="D158" s="66"/>
      <c r="E158" s="88">
        <v>0</v>
      </c>
      <c r="F158" s="14"/>
      <c r="G158" s="14"/>
      <c r="H158" s="14"/>
      <c r="I158" s="48"/>
    </row>
    <row r="159" ht="24.75" customHeight="1" spans="1:9">
      <c r="A159" s="63"/>
      <c r="B159" s="64"/>
      <c r="C159" s="65"/>
      <c r="D159" s="66"/>
      <c r="E159" s="88">
        <v>0</v>
      </c>
      <c r="F159" s="14"/>
      <c r="G159" s="14"/>
      <c r="H159" s="14"/>
      <c r="I159" s="48"/>
    </row>
    <row r="160" ht="24.75" customHeight="1" spans="1:9">
      <c r="A160" s="63"/>
      <c r="B160" s="64"/>
      <c r="C160" s="65"/>
      <c r="D160" s="66"/>
      <c r="E160" s="88">
        <v>0</v>
      </c>
      <c r="F160" s="14"/>
      <c r="G160" s="14"/>
      <c r="H160" s="14"/>
      <c r="I160" s="48"/>
    </row>
    <row r="161" ht="24.75" customHeight="1" spans="1:9">
      <c r="A161" s="75"/>
      <c r="B161" s="76"/>
      <c r="C161" s="65"/>
      <c r="D161" s="66"/>
      <c r="E161" s="88">
        <v>0</v>
      </c>
      <c r="F161" s="14"/>
      <c r="G161" s="14"/>
      <c r="H161" s="14"/>
      <c r="I161" s="48"/>
    </row>
    <row r="162" ht="24.75" customHeight="1" spans="1:9">
      <c r="A162" s="56" t="s">
        <v>93</v>
      </c>
      <c r="B162" s="77"/>
      <c r="C162" s="78"/>
      <c r="D162" s="79"/>
      <c r="E162" s="88">
        <f>C96</f>
        <v>369.99</v>
      </c>
      <c r="F162" s="14"/>
      <c r="G162" s="14"/>
      <c r="H162" s="14"/>
      <c r="I162" s="48"/>
    </row>
    <row r="163" ht="24.75" customHeight="1" spans="1:9">
      <c r="A163" s="80"/>
      <c r="B163" s="81"/>
      <c r="C163" s="82" t="s">
        <v>94</v>
      </c>
      <c r="D163" s="82"/>
      <c r="E163" s="92">
        <f ca="1">(F28+E143)-(SUM(E145:E154)+SUM(E156:E162))</f>
        <v>27256.59</v>
      </c>
      <c r="F163" s="14"/>
      <c r="G163" s="14"/>
      <c r="H163" s="14"/>
      <c r="I163" s="48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8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8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8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8"/>
    </row>
    <row r="168" ht="24.75" customHeight="1" spans="1:9">
      <c r="A168" s="53" t="str">
        <f>"Debts Or Credits For the Comming "&amp;IF(Main!B2,TEXT(EDATE(Main!B3,47),"mmmm dd yyyy"),TEXT(Main!B3+((Main!B5-Main!B3)*47+47),"mmmm dd yyyy"))&amp;" to "&amp;IF(Main!B2,TEXT(EDATE(Main!B3,48)-1,"mmmm dd yyyy"),TEXT(Main!B3+((Main!B5-Main!B3)*48+47),"mmmm dd yyyy"))</f>
        <v>Debts Or Credits For the Comming December 20 2028 to January 19 2029</v>
      </c>
      <c r="B168" s="54"/>
      <c r="C168" s="54"/>
      <c r="D168" s="54"/>
      <c r="E168" s="55"/>
      <c r="F168" s="14"/>
      <c r="G168" s="14"/>
      <c r="H168" s="14"/>
      <c r="I168" s="48"/>
    </row>
    <row r="169" ht="24.75" customHeight="1" spans="1:9">
      <c r="A169" s="53" t="s">
        <v>90</v>
      </c>
      <c r="B169" s="55"/>
      <c r="C169" s="83" t="s">
        <v>50</v>
      </c>
      <c r="D169" s="84"/>
      <c r="E169" s="90" t="s">
        <v>51</v>
      </c>
      <c r="F169" s="14"/>
      <c r="G169" s="14"/>
      <c r="H169" s="14"/>
      <c r="I169" s="48"/>
    </row>
    <row r="170" ht="24.75" customHeight="1" spans="1:9">
      <c r="A170" s="56" t="str">
        <f>"Balance Brought Forward From "&amp;IF(Main!B2,TEXT(EDATE(Main!B3,47)-1,"mmmm yyyy"),TEXT(Main!B3+((Main!B5-Main!B3)*47+46),"mmmm yyyy"))</f>
        <v>Balance Brought Forward From December 2028</v>
      </c>
      <c r="B170" s="57"/>
      <c r="C170" s="58"/>
      <c r="D170" s="58"/>
      <c r="E170" s="92">
        <f ca="1">E163</f>
        <v>27256.59</v>
      </c>
      <c r="F170" s="14"/>
      <c r="G170" s="14"/>
      <c r="H170" s="14"/>
      <c r="I170" s="48"/>
    </row>
    <row r="171" ht="24.75" customHeight="1" spans="1:9">
      <c r="A171" s="59" t="s">
        <v>70</v>
      </c>
      <c r="B171" s="60"/>
      <c r="C171" s="85" t="s">
        <v>91</v>
      </c>
      <c r="D171" s="86"/>
      <c r="E171" s="91"/>
      <c r="F171" s="14"/>
      <c r="G171" s="14"/>
      <c r="H171" s="14"/>
      <c r="I171" s="48"/>
    </row>
    <row r="172" ht="24.75" customHeight="1" spans="1:9">
      <c r="A172" s="63"/>
      <c r="B172" s="64"/>
      <c r="C172" s="65"/>
      <c r="D172" s="66"/>
      <c r="E172" s="37">
        <v>0</v>
      </c>
      <c r="F172" s="14"/>
      <c r="G172" s="14"/>
      <c r="H172" s="14"/>
      <c r="I172" s="48"/>
    </row>
    <row r="173" ht="24.75" customHeight="1" spans="1:9">
      <c r="A173" s="63"/>
      <c r="B173" s="64"/>
      <c r="C173" s="65"/>
      <c r="D173" s="66"/>
      <c r="E173" s="37">
        <v>0</v>
      </c>
      <c r="F173" s="14"/>
      <c r="G173" s="14"/>
      <c r="H173" s="14"/>
      <c r="I173" s="48"/>
    </row>
    <row r="174" ht="24.75" customHeight="1" spans="1:9">
      <c r="A174" s="63"/>
      <c r="B174" s="64"/>
      <c r="C174" s="65"/>
      <c r="D174" s="66"/>
      <c r="E174" s="37">
        <v>0</v>
      </c>
      <c r="F174" s="14"/>
      <c r="G174" s="14"/>
      <c r="H174" s="14"/>
      <c r="I174" s="48"/>
    </row>
    <row r="175" ht="24.75" customHeight="1" spans="1:9">
      <c r="A175" s="63"/>
      <c r="B175" s="64"/>
      <c r="C175" s="65"/>
      <c r="D175" s="66"/>
      <c r="E175" s="37">
        <v>0</v>
      </c>
      <c r="F175" s="14"/>
      <c r="G175" s="14"/>
      <c r="H175" s="14"/>
      <c r="I175" s="48"/>
    </row>
    <row r="176" ht="24.75" customHeight="1" spans="1:9">
      <c r="A176" s="63"/>
      <c r="B176" s="64"/>
      <c r="C176" s="65"/>
      <c r="D176" s="66"/>
      <c r="E176" s="37">
        <v>0</v>
      </c>
      <c r="F176" s="14"/>
      <c r="G176" s="14"/>
      <c r="H176" s="14"/>
      <c r="I176" s="48"/>
    </row>
    <row r="177" ht="24.75" customHeight="1" spans="1:9">
      <c r="A177" s="63"/>
      <c r="B177" s="64"/>
      <c r="C177" s="65"/>
      <c r="D177" s="66"/>
      <c r="E177" s="37">
        <v>0</v>
      </c>
      <c r="F177" s="14"/>
      <c r="G177" s="14"/>
      <c r="H177" s="14"/>
      <c r="I177" s="48"/>
    </row>
    <row r="178" ht="24.75" customHeight="1" spans="1:9">
      <c r="A178" s="63"/>
      <c r="B178" s="64"/>
      <c r="C178" s="65"/>
      <c r="D178" s="66"/>
      <c r="E178" s="37">
        <v>0</v>
      </c>
      <c r="F178" s="14"/>
      <c r="G178" s="14"/>
      <c r="H178" s="14"/>
      <c r="I178" s="48"/>
    </row>
    <row r="179" ht="24.75" customHeight="1" spans="1:9">
      <c r="A179" s="63"/>
      <c r="B179" s="64"/>
      <c r="C179" s="65"/>
      <c r="D179" s="66"/>
      <c r="E179" s="37">
        <v>0</v>
      </c>
      <c r="F179" s="14"/>
      <c r="G179" s="14"/>
      <c r="H179" s="14"/>
      <c r="I179" s="48"/>
    </row>
    <row r="180" ht="24.75" customHeight="1" spans="1:9">
      <c r="A180" s="63"/>
      <c r="B180" s="64"/>
      <c r="C180" s="65"/>
      <c r="D180" s="66"/>
      <c r="E180" s="37">
        <v>0</v>
      </c>
      <c r="F180" s="14"/>
      <c r="G180" s="14"/>
      <c r="H180" s="14"/>
      <c r="I180" s="48"/>
    </row>
    <row r="181" ht="24.75" customHeight="1" spans="1:9">
      <c r="A181" s="63"/>
      <c r="B181" s="64"/>
      <c r="C181" s="65"/>
      <c r="D181" s="66"/>
      <c r="E181" s="37">
        <v>0</v>
      </c>
      <c r="F181" s="14"/>
      <c r="G181" s="14"/>
      <c r="H181" s="14"/>
      <c r="I181" s="48"/>
    </row>
    <row r="182" ht="32" customHeight="1" spans="1:9">
      <c r="A182" s="63"/>
      <c r="B182" s="64"/>
      <c r="C182" s="67" t="s">
        <v>92</v>
      </c>
      <c r="D182" s="62"/>
      <c r="E182" s="72"/>
      <c r="F182" s="14"/>
      <c r="G182" s="14"/>
      <c r="H182" s="14"/>
      <c r="I182" s="48"/>
    </row>
    <row r="183" ht="56" customHeight="1" spans="1:9">
      <c r="A183" s="63"/>
      <c r="B183" s="64"/>
      <c r="C183" s="73" t="s">
        <v>115</v>
      </c>
      <c r="D183" s="74"/>
      <c r="E183" s="87">
        <v>419</v>
      </c>
      <c r="F183" s="14"/>
      <c r="G183" s="14"/>
      <c r="H183" s="14"/>
      <c r="I183" s="48"/>
    </row>
    <row r="184" ht="24.75" customHeight="1" spans="1:9">
      <c r="A184" s="63"/>
      <c r="B184" s="64"/>
      <c r="C184" s="74" t="s">
        <v>111</v>
      </c>
      <c r="D184" s="74"/>
      <c r="E184" s="87">
        <v>800</v>
      </c>
      <c r="F184" s="14"/>
      <c r="G184" s="14"/>
      <c r="H184" s="14"/>
      <c r="I184" s="48"/>
    </row>
    <row r="185" ht="24.75" customHeight="1" spans="1:9">
      <c r="A185" s="63"/>
      <c r="B185" s="64"/>
      <c r="C185" s="65"/>
      <c r="D185" s="66"/>
      <c r="E185" s="88">
        <v>0</v>
      </c>
      <c r="F185" s="14"/>
      <c r="G185" s="14"/>
      <c r="H185" s="14"/>
      <c r="I185" s="48"/>
    </row>
    <row r="186" ht="24.75" customHeight="1" spans="1:9">
      <c r="A186" s="63"/>
      <c r="B186" s="64"/>
      <c r="C186" s="65"/>
      <c r="D186" s="66"/>
      <c r="E186" s="88">
        <v>0</v>
      </c>
      <c r="F186" s="14"/>
      <c r="G186" s="14"/>
      <c r="H186" s="14"/>
      <c r="I186" s="48"/>
    </row>
    <row r="187" ht="24.75" customHeight="1" spans="1:9">
      <c r="A187" s="63"/>
      <c r="B187" s="64"/>
      <c r="C187" s="65"/>
      <c r="D187" s="66"/>
      <c r="E187" s="88">
        <v>0</v>
      </c>
      <c r="F187" s="14"/>
      <c r="G187" s="14"/>
      <c r="H187" s="14"/>
      <c r="I187" s="48"/>
    </row>
    <row r="188" ht="24.75" customHeight="1" spans="1:9">
      <c r="A188" s="75"/>
      <c r="B188" s="76"/>
      <c r="C188" s="65"/>
      <c r="D188" s="66"/>
      <c r="E188" s="88">
        <v>0</v>
      </c>
      <c r="F188" s="14"/>
      <c r="G188" s="14"/>
      <c r="H188" s="14"/>
      <c r="I188" s="48"/>
    </row>
    <row r="189" ht="24.75" customHeight="1" spans="1:9">
      <c r="A189" s="56" t="s">
        <v>93</v>
      </c>
      <c r="B189" s="77"/>
      <c r="C189" s="78"/>
      <c r="D189" s="79"/>
      <c r="E189" s="88">
        <f>C96</f>
        <v>369.99</v>
      </c>
      <c r="F189" s="14"/>
      <c r="G189" s="14"/>
      <c r="H189" s="14"/>
      <c r="I189" s="48"/>
    </row>
    <row r="190" ht="24.75" customHeight="1" spans="1:9">
      <c r="A190" s="80"/>
      <c r="B190" s="81"/>
      <c r="C190" s="82" t="s">
        <v>94</v>
      </c>
      <c r="D190" s="82"/>
      <c r="E190" s="92">
        <f ca="1">(F40+E170)-(SUM(E172:E181)+SUM(E183:E189))</f>
        <v>28102.6</v>
      </c>
      <c r="F190" s="14"/>
      <c r="G190" s="14"/>
      <c r="H190" s="14"/>
      <c r="I190" s="48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8"/>
    </row>
    <row r="192" ht="24.75" customHeight="1" spans="1:9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>
      <c r="A193" s="41"/>
      <c r="B193" s="41"/>
      <c r="C193" s="41"/>
      <c r="D193" s="41"/>
      <c r="E193" s="41"/>
      <c r="F193" s="41"/>
      <c r="G193" s="41"/>
      <c r="H193" s="41"/>
      <c r="I193" s="41"/>
    </row>
  </sheetData>
  <sheetProtection formatCells="0" formatColumns="0" formatRows="0"/>
  <mergeCells count="169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75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7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108">
    <cfRule type="cellIs" dxfId="0" priority="9" operator="greaterThanOrEqual">
      <formula>0</formula>
    </cfRule>
    <cfRule type="cellIs" dxfId="1" priority="8" operator="lessThan">
      <formula>0</formula>
    </cfRule>
  </conditionalFormatting>
  <conditionalFormatting sqref="C109">
    <cfRule type="cellIs" dxfId="0" priority="7" operator="greaterThanOrEqual">
      <formula>0</formula>
    </cfRule>
    <cfRule type="cellIs" dxfId="1" priority="6" operator="lessThan">
      <formula>0</formula>
    </cfRule>
  </conditionalFormatting>
  <conditionalFormatting sqref="E116">
    <cfRule type="cellIs" dxfId="3" priority="17" operator="greaterThanOrEqual">
      <formula>0</formula>
    </cfRule>
    <cfRule type="cellIs" dxfId="4" priority="16" operator="lessThan">
      <formula>0</formula>
    </cfRule>
  </conditionalFormatting>
  <conditionalFormatting sqref="E136">
    <cfRule type="cellIs" dxfId="3" priority="48" operator="greaterThanOrEqual">
      <formula>0</formula>
    </cfRule>
    <cfRule type="cellIs" dxfId="4" priority="47" operator="lessThan">
      <formula>0</formula>
    </cfRule>
  </conditionalFormatting>
  <conditionalFormatting sqref="E143">
    <cfRule type="cellIs" dxfId="3" priority="35" operator="greaterThanOrEqual">
      <formula>0</formula>
    </cfRule>
    <cfRule type="cellIs" dxfId="4" priority="34" operator="lessThan">
      <formula>0</formula>
    </cfRule>
  </conditionalFormatting>
  <conditionalFormatting sqref="E156">
    <cfRule type="cellIs" dxfId="5" priority="2" operator="equal">
      <formula>0</formula>
    </cfRule>
  </conditionalFormatting>
  <conditionalFormatting sqref="E157">
    <cfRule type="cellIs" dxfId="5" priority="3" operator="equal">
      <formula>0</formula>
    </cfRule>
  </conditionalFormatting>
  <conditionalFormatting sqref="E163">
    <cfRule type="cellIs" dxfId="3" priority="37" operator="greaterThanOrEqual">
      <formula>0</formula>
    </cfRule>
    <cfRule type="cellIs" dxfId="4" priority="36" operator="lessThan">
      <formula>0</formula>
    </cfRule>
  </conditionalFormatting>
  <conditionalFormatting sqref="E170">
    <cfRule type="cellIs" dxfId="3" priority="29" operator="greaterThanOrEqual">
      <formula>0</formula>
    </cfRule>
    <cfRule type="cellIs" dxfId="4" priority="28" operator="lessThan">
      <formula>0</formula>
    </cfRule>
  </conditionalFormatting>
  <conditionalFormatting sqref="E190">
    <cfRule type="cellIs" dxfId="3" priority="31" operator="greaterThanOrEqual">
      <formula>0</formula>
    </cfRule>
    <cfRule type="cellIs" dxfId="4" priority="30" operator="lessThan">
      <formula>0</formula>
    </cfRule>
  </conditionalFormatting>
  <conditionalFormatting sqref="C57:C66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68:C69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70:C74">
    <cfRule type="cellIs" dxfId="0" priority="46" operator="equal">
      <formula>0</formula>
    </cfRule>
    <cfRule type="cellIs" dxfId="1" priority="45" operator="greaterThan">
      <formula>0</formula>
    </cfRule>
  </conditionalFormatting>
  <conditionalFormatting sqref="C78:C79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C80:C84">
    <cfRule type="cellIs" dxfId="0" priority="44" operator="equal">
      <formula>0</formula>
    </cfRule>
    <cfRule type="cellIs" dxfId="1" priority="43" operator="greaterThan">
      <formula>0</formula>
    </cfRule>
  </conditionalFormatting>
  <conditionalFormatting sqref="C87:C89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0:C91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2:C94">
    <cfRule type="cellIs" dxfId="0" priority="42" operator="equal">
      <formula>0</formula>
    </cfRule>
    <cfRule type="cellIs" dxfId="1" priority="41" operator="greaterThan">
      <formula>0</formula>
    </cfRule>
  </conditionalFormatting>
  <conditionalFormatting sqref="C98:C107">
    <cfRule type="cellIs" dxfId="1" priority="25" operator="lessThan">
      <formula>0</formula>
    </cfRule>
    <cfRule type="cellIs" dxfId="2" priority="24" operator="greaterThanOrEqual">
      <formula>0</formula>
    </cfRule>
  </conditionalFormatting>
  <conditionalFormatting sqref="E118:E127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E129:E130">
    <cfRule type="cellIs" dxfId="5" priority="4" operator="equal">
      <formula>0</formula>
    </cfRule>
  </conditionalFormatting>
  <conditionalFormatting sqref="E145:E154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E172:E181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E183:E184">
    <cfRule type="cellIs" dxfId="5" priority="1" operator="equal">
      <formula>0</formula>
    </cfRule>
  </conditionalFormatting>
  <conditionalFormatting sqref="C47:C55 C85 C95:C96">
    <cfRule type="cellIs" dxfId="0" priority="62" operator="equal">
      <formula>0</formula>
    </cfRule>
  </conditionalFormatting>
  <conditionalFormatting sqref="C47:C55 C85 C95:C96 E144 E155 E158:E162">
    <cfRule type="cellIs" dxfId="1" priority="61" operator="greaterThan">
      <formula>0</formula>
    </cfRule>
  </conditionalFormatting>
  <conditionalFormatting sqref="E117 E128 E131:E135">
    <cfRule type="cellIs" dxfId="0" priority="50" operator="equal">
      <formula>0</formula>
    </cfRule>
    <cfRule type="cellIs" dxfId="1" priority="49" operator="greaterThan">
      <formula>0</formula>
    </cfRule>
  </conditionalFormatting>
  <conditionalFormatting sqref="E144 E155 E158:E162">
    <cfRule type="cellIs" dxfId="2" priority="38" operator="equal">
      <formula>0</formula>
    </cfRule>
  </conditionalFormatting>
  <conditionalFormatting sqref="E171 E182 E185:E189">
    <cfRule type="cellIs" dxfId="2" priority="33" operator="equal">
      <formula>0</formula>
    </cfRule>
    <cfRule type="cellIs" dxfId="1" priority="32" operator="greaterThan">
      <formula>0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8" master="" otherUserPermission="visible"/>
  <rangeList sheetStid="3" master="" otherUserPermission="visible"/>
  <rangeList sheetStid="1" master="" otherUserPermission="visible"/>
  <rangeList sheetStid="2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Cover Page</vt:lpstr>
      <vt:lpstr>Main</vt:lpstr>
      <vt:lpstr>January 2025 - March 2025</vt:lpstr>
      <vt:lpstr>April 2025 - June 2025</vt:lpstr>
      <vt:lpstr>July 2025 - September 2025</vt:lpstr>
      <vt:lpstr>October 2025 - December 2025</vt:lpstr>
      <vt:lpstr>January 2026 - March 2026</vt:lpstr>
      <vt:lpstr>April 2026 - June 2026</vt:lpstr>
      <vt:lpstr>July 2026 - September 2026</vt:lpstr>
      <vt:lpstr>October 2026 - December 2026</vt:lpstr>
      <vt:lpstr>January 2027 - March 2027</vt:lpstr>
      <vt:lpstr>April 2027 - June 2027</vt:lpstr>
      <vt:lpstr>July 2027 - September 2027</vt:lpstr>
      <vt:lpstr>October 2027 - December 2027</vt:lpstr>
      <vt:lpstr>January 2028 - March 2028</vt:lpstr>
      <vt:lpstr>April 2028 - June 2028</vt:lpstr>
      <vt:lpstr>July 2028 - September 2028</vt:lpstr>
      <vt:lpstr>October 2028 - December 2028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 Lun Alan Tang</cp:lastModifiedBy>
  <dcterms:created xsi:type="dcterms:W3CDTF">2025-03-07T05:27:00Z</dcterms:created>
  <dcterms:modified xsi:type="dcterms:W3CDTF">2025-05-14T03:29:10Z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DBAFD8BFD032A37AC13AC567BB79F506_42</vt:lpwstr>
  </property>
  <property fmtid="{D5CDD505-2E9C-101B-9397-08002B2CF9AE}" pid="3" name="KSOProductBuildVer">
    <vt:lpwstr>1033-6.11.0.8608</vt:lpwstr>
  </property>
</Properties>
</file>