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 activeTab="2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<sst xmlns="http://schemas.openxmlformats.org/spreadsheetml/2006/main" count="1529" uniqueCount="301">
  <si>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</si>
  <si>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</si>
  <si>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</si>
  <si>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</si>
  <si>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</si>
  <si>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</si>
  <si>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</si>
  <si>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</si>
  <si>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</si>
  <si>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</si>
  <si>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</si>
  <si>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</si>
  <si>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</si>
  <si>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</si>
  <si>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</si>
  <si>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</si>
  <si>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</si>
  <si>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</si>
  <si>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</si>
  <si>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</si>
  <si>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</si>
  <si>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</si>
  <si>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</si>
  <si>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</si>
  <si>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</si>
  <si>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</si>
  <si>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</si>
  <si>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</si>
  <si>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</si>
  <si>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</si>
  <si>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</si>
  <si>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</si>
  <si>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</si>
  <si>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</si>
  <si>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</si>
  <si>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</si>
  <si>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</si>
  <si>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</si>
  <si>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</si>
  <si>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</si>
  <si>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</si>
  <si>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</si>
  <si>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</si>
  <si>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</si>
  <si>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</si>
  <si>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</si>
  <si>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</si>
  <si>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</si>
  <si>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</si>
  <si>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</si>
  <si>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</si>
  <si>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</si>
  <si>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</si>
  <si>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</si>
  <si>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</si>
  <si>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</si>
  <si>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</si>
  <si>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</si>
  <si>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</si>
  <si>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</si>
  <si>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</si>
  <si>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</si>
  <si>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</si>
  <si>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</si>
  <si>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</si>
  <si>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</si>
  <si>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</si>
  <si>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</si>
  <si>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</si>
  <si>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</si>
  <si>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</si>
  <si>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</si>
  <si>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</si>
  <si>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</si>
  <si>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</si>
  <si>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</si>
  <si>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</si>
  <si>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</si>
  <si>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</si>
  <si>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</si>
  <si>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</si>
  <si>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</si>
  <si>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</si>
  <si>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</si>
  <si>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</si>
  <si>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</si>
  <si>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</si>
  <si>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</si>
  <si>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</si>
  <si>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</si>
  <si>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</si>
  <si>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</si>
  <si>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</si>
  <si>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</si>
  <si>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</si>
  <si>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09th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</si>
  <si>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</si>
  <si>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</si>
  <si>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</si>
  <si>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</si>
  <si>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</si>
  <si>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</si>
  <si>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</si>
  <si>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</si>
  <si>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</si>
  <si>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</si>
  <si>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</si>
  <si>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</si>
  <si>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</si>
  <si>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</si>
  <si>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</si>
  <si>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</si>
  <si>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</si>
  <si>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</si>
  <si>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</si>
  <si>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</si>
  <si>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</si>
  <si>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</si>
  <si>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</si>
  <si>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</si>
  <si>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</si>
  <si>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</si>
  <si>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</si>
  <si>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</si>
  <si>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</si>
  <si>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</si>
  <si>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</si>
  <si>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</si>
  <si>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</si>
  <si>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</si>
  <si>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</si>
  <si>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</si>
  <si>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</si>
  <si>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</si>
  <si>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</si>
  <si>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</si>
  <si>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</si>
  <si>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</si>
  <si>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</si>
  <si>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</si>
  <si>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</si>
  <si>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</si>
  <si>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</si>
  <si>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</si>
  <si>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</si>
  <si>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</si>
  <si>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</si>
  <si>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</si>
  <si>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</si>
  <si>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</si>
  <si>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</si>
  <si>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</si>
  <si>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</si>
  <si>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</si>
  <si>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</si>
  <si>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</si>
  <si>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</si>
  <si>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</si>
  <si>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</si>
  <si>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</si>
  <si>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</si>
  <si>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</si>
  <si>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</si>
  <si>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</si>
  <si>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</si>
  <si>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</si>
  <si>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</si>
  <si>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</si>
  <si>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</si>
  <si>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</si>
  <si>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</si>
  <si>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</si>
  <si>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</si>
  <si>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</si>
  <si>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</si>
  <si>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</si>
  <si>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</si>
  <si>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</si>
  <si>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</si>
  <si>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</si>
  <si>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</si>
  <si>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</si>
  <si>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</si>
  <si>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</si>
  <si>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</si>
  <si>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</si>
  <si>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</si>
  <si>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</si>
  <si>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</si>
  <si>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</si>
  <si>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</si>
  <si>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</si>
  <si>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</si>
  <si>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</si>
  <si>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</si>
  <si>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</si>
  <si>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</si>
  <si>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</si>
  <si>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</si>
  <si>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</si>
  <si>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</si>
  <si>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</si>
  <si>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</si>
  <si>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</si>
  <si>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</si>
  <si>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</si>
  <si>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</si>
  <si>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</si>
  <si>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</si>
  <si>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</si>
  <si>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</si>
  <si>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</si>
  <si>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</si>
  <si>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</si>
  <si>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</si>
  <si>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</si>
  <si>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</si>
  <si>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</si>
  <si>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</si>
  <si>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</si>
  <si>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</si>
  <si>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</si>
  <si>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</si>
  <si>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</si>
  <si>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</si>
  <si>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</si>
  <si>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</si>
  <si>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</si>
  <si>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</si>
  <si>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</si>
  <si>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</si>
  <si>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</si>
  <si>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</si>
  <si>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</si>
  <si>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</si>
  <si>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</si>
  <si>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</si>
  <si>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</si>
  <si>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</si>
  <si>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</si>
  <si>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</si>
  <si>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</si>
  <si>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</si>
  <si>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</si>
  <si>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</si>
  <si>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</si>
  <si>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</si>
  <si>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</si>
  <si>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</si>
  <si>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</t>
  </si>
  <si>
    <t>3. Brought a Brother Printer For $999</t>
  </si>
  <si>
    <t>4. Birdie Mothly Fees $50</t>
  </si>
  <si>
    <t>30th April 2025</t>
  </si>
  <si>
    <t>Hospital Fees</t>
  </si>
  <si>
    <t>Robert Black Hospital Paid in advance</t>
  </si>
  <si>
    <t>31th May 2025</t>
  </si>
  <si>
    <t>Additional Half Month Of Allowance</t>
  </si>
  <si>
    <t>30th June 2025</t>
  </si>
  <si>
    <t>Payback $500 to Mom Borrowed on 07 April 2025</t>
  </si>
  <si>
    <t>1. Additional Expense
    - Cigarette Egg - $0 (Paided in Advance 7th April 2025)
    - See the psycharitic Doctor ~ $125</t>
  </si>
  <si>
    <t>2. Food And Transport Expenses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</si>
  <si>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</si>
  <si>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</si>
  <si>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 xml:space="preserve">3.  Samsung A16 5G 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</si>
  <si>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</si>
  <si>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</si>
  <si>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</si>
  <si>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</si>
  <si>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</si>
  <si>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</si>
  <si>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</si>
  <si>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Hope to receive cash or Have a dinner, right! Lawrence :(</t>
  </si>
  <si>
    <t>Additional Expense
    - Cigarette Egg - $650
    - See the psycharitic Doctor For Injection ~ $19
    - Add In value for Google Play ~ $150 (don't need to
   include.)</t>
  </si>
  <si>
    <t xml:space="preserve">Food And Transport Expenses
</t>
  </si>
  <si>
    <t>Additional Expense
    - Cigarette Egg - $650
    - See the psycharitic Doctor ~ $125
    - See the high blood pressure Doctor ~ $50</t>
  </si>
  <si>
    <t>31st October 2025</t>
  </si>
  <si>
    <t>31st November 2025</t>
  </si>
  <si>
    <t>30th December 2025</t>
  </si>
  <si>
    <t>Additional Expense
    - Cigarette Egg - $650
    - Add In value for Google Play ~ $150 (don't need to
   include.)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</si>
  <si>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</si>
  <si>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</si>
  <si>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</si>
  <si>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</si>
  <si>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Add In value for Google Play ~ $150  (don't need to
   include.)
    - See the psycharitic Doctor For Injection ~ $19</t>
  </si>
  <si>
    <t>Additional Expense
    - Cigarette Egg - $650
    - See the psycharitic Doctor ~ $310
    - See the high blood pressure Doctor ~ $160</t>
  </si>
  <si>
    <t>Additional Expense
    - Cigarette Egg - $650
    - See the psycharitic Doctor For Injection ~ $19</t>
  </si>
  <si>
    <t>30th April 2026</t>
  </si>
  <si>
    <t>31st May 2026</t>
  </si>
  <si>
    <t>30th June 2026</t>
  </si>
  <si>
    <t>Additional Expense
    - Add In value for Google Play ~ $150 (don't need to
   include.)
    - Cigarette Egg - $650
    - See the psycharitic Doctor ~ $310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</si>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</sst>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3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4" borderId="42" applyNumberFormat="0" applyAlignment="0" applyProtection="0">
      <alignment vertical="center"/>
    </xf>
    <xf numFmtId="0" fontId="33" fillId="15" borderId="43" applyNumberFormat="0" applyAlignment="0" applyProtection="0">
      <alignment vertical="center"/>
    </xf>
    <xf numFmtId="0" fontId="34" fillId="15" borderId="42" applyNumberFormat="0" applyAlignment="0" applyProtection="0">
      <alignment vertical="center"/>
    </xf>
    <xf numFmtId="0" fontId="35" fillId="16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1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6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8" borderId="1" xfId="50" applyFont="1" applyFill="1" applyBorder="1" applyAlignment="1" applyProtection="1">
      <alignment horizontal="center" vertical="center" wrapText="1"/>
    </xf>
    <xf numFmtId="0" fontId="9" fillId="8" borderId="11" xfId="0" applyFont="1" applyFill="1" applyBorder="1" applyAlignment="1">
      <alignment horizontal="left" vertical="center" wrapText="1"/>
    </xf>
    <xf numFmtId="0" fontId="9" fillId="8" borderId="8" xfId="0" applyFont="1" applyFill="1" applyBorder="1" applyAlignment="1">
      <alignment horizontal="left" vertical="center" wrapText="1"/>
    </xf>
    <xf numFmtId="176" fontId="7" fillId="8" borderId="11" xfId="49" applyFont="1" applyFill="1" applyBorder="1" applyAlignment="1">
      <alignment horizontal="center" vertical="center"/>
    </xf>
    <xf numFmtId="176" fontId="7" fillId="8" borderId="13" xfId="49" applyFont="1" applyFill="1" applyBorder="1" applyAlignment="1">
      <alignment horizontal="center" vertical="center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9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10" borderId="1" xfId="0" applyFont="1" applyFill="1" applyBorder="1" applyAlignment="1">
      <alignment horizontal="center" vertical="center"/>
    </xf>
    <xf numFmtId="49" fontId="1" fillId="11" borderId="34" xfId="52" applyFont="1" applyBorder="1" applyAlignment="1" applyProtection="1">
      <alignment horizontal="center" vertical="center" wrapText="1"/>
    </xf>
    <xf numFmtId="49" fontId="1" fillId="11" borderId="3" xfId="52" applyFont="1" applyBorder="1" applyAlignment="1" applyProtection="1">
      <alignment horizontal="center" vertical="center" wrapText="1"/>
    </xf>
    <xf numFmtId="49" fontId="1" fillId="11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49" fontId="1" fillId="11" borderId="11" xfId="52" applyFont="1" applyBorder="1" applyAlignment="1" applyProtection="1">
      <alignment horizontal="center" vertical="center" wrapText="1"/>
    </xf>
    <xf numFmtId="49" fontId="1" fillId="11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1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2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2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2" borderId="0" xfId="0" applyFont="1" applyFill="1" applyBorder="1" applyAlignment="1">
      <alignment horizontal="center"/>
    </xf>
    <xf numFmtId="0" fontId="22" fillId="12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workbookViewId="0">
      <selection activeCell="AA2" sqref="AA2"/>
    </sheetView>
  </sheetViews>
  <sheetFormatPr defaultColWidth="8.88888888888889" defaultRowHeight="17.6"/>
  <sheetData>
    <row r="1" spans="1:26">
      <c r="A1" s="258" t="s">
        <v>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</row>
    <row r="2" spans="1:26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</row>
    <row r="3" spans="1:26">
      <c r="A3" s="258"/>
      <c r="B3" s="258"/>
      <c r="C3" s="258"/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  <c r="Z3" s="258"/>
    </row>
    <row r="4" spans="1:26">
      <c r="A4" s="258"/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58"/>
      <c r="V4" s="258"/>
      <c r="W4" s="258"/>
      <c r="X4" s="258"/>
      <c r="Y4" s="258"/>
      <c r="Z4" s="258"/>
    </row>
    <row r="5" spans="1:26">
      <c r="A5" s="258"/>
      <c r="B5" s="258"/>
      <c r="C5" s="258"/>
      <c r="D5" s="258"/>
      <c r="E5" s="258"/>
      <c r="F5" s="258"/>
      <c r="G5" s="258"/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</row>
    <row r="6" spans="1:26">
      <c r="A6" s="258"/>
      <c r="B6" s="258"/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</row>
    <row r="7" spans="1:26">
      <c r="A7" s="258"/>
      <c r="B7" s="258"/>
      <c r="C7" s="258"/>
      <c r="D7" s="258"/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</row>
    <row r="8" spans="1:26">
      <c r="A8" s="258"/>
      <c r="B8" s="258"/>
      <c r="C8" s="258"/>
      <c r="D8" s="258"/>
      <c r="E8" s="258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</row>
    <row r="9" spans="1:26">
      <c r="A9" s="258"/>
      <c r="B9" s="258"/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</row>
    <row r="10" spans="1:26">
      <c r="A10" s="258"/>
      <c r="B10" s="258"/>
      <c r="C10" s="258"/>
      <c r="D10" s="258"/>
      <c r="E10" s="258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</row>
    <row r="11" spans="1:26">
      <c r="A11" s="258"/>
      <c r="B11" s="258"/>
      <c r="C11" s="258"/>
      <c r="D11" s="258"/>
      <c r="E11" s="258"/>
      <c r="F11" s="258"/>
      <c r="G11" s="258"/>
      <c r="H11" s="258"/>
      <c r="I11" s="258"/>
      <c r="J11" s="258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58"/>
      <c r="V11" s="258"/>
      <c r="W11" s="258"/>
      <c r="X11" s="258"/>
      <c r="Y11" s="258"/>
      <c r="Z11" s="258"/>
    </row>
    <row r="12" spans="1:26">
      <c r="A12" s="258"/>
      <c r="B12" s="258"/>
      <c r="C12" s="258"/>
      <c r="D12" s="258"/>
      <c r="E12" s="258"/>
      <c r="F12" s="258"/>
      <c r="G12" s="258"/>
      <c r="H12" s="258"/>
      <c r="I12" s="258"/>
      <c r="J12" s="258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58"/>
      <c r="V12" s="258"/>
      <c r="W12" s="258"/>
      <c r="X12" s="258"/>
      <c r="Y12" s="258"/>
      <c r="Z12" s="258"/>
    </row>
    <row r="13" spans="1:26">
      <c r="A13" s="258"/>
      <c r="B13" s="258"/>
      <c r="C13" s="258"/>
      <c r="D13" s="258"/>
      <c r="E13" s="258"/>
      <c r="F13" s="258"/>
      <c r="G13" s="258"/>
      <c r="H13" s="258"/>
      <c r="I13" s="258"/>
      <c r="J13" s="258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58"/>
      <c r="V13" s="258"/>
      <c r="W13" s="258"/>
      <c r="X13" s="258"/>
      <c r="Y13" s="258"/>
      <c r="Z13" s="258"/>
    </row>
    <row r="14" spans="1:26">
      <c r="A14" s="258"/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</row>
    <row r="15" spans="1:26">
      <c r="A15" s="258"/>
      <c r="B15" s="258"/>
      <c r="C15" s="258"/>
      <c r="D15" s="258"/>
      <c r="E15" s="258"/>
      <c r="F15" s="258"/>
      <c r="G15" s="258"/>
      <c r="H15" s="258"/>
      <c r="I15" s="258"/>
      <c r="J15" s="258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</row>
    <row r="16" spans="1:26">
      <c r="A16" s="258"/>
      <c r="B16" s="258"/>
      <c r="C16" s="258"/>
      <c r="D16" s="258"/>
      <c r="E16" s="258"/>
      <c r="F16" s="258"/>
      <c r="G16" s="258"/>
      <c r="H16" s="258"/>
      <c r="I16" s="258"/>
      <c r="J16" s="258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8"/>
      <c r="Z16" s="258"/>
    </row>
    <row r="17" spans="1:26">
      <c r="A17" s="258"/>
      <c r="B17" s="258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</row>
    <row r="18" spans="1:26">
      <c r="A18" s="258"/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8"/>
      <c r="Z18" s="258"/>
    </row>
    <row r="19" spans="1:26">
      <c r="A19" s="258"/>
      <c r="B19" s="258"/>
      <c r="C19" s="258"/>
      <c r="D19" s="258"/>
      <c r="E19" s="258"/>
      <c r="F19" s="258"/>
      <c r="G19" s="258"/>
      <c r="H19" s="258"/>
      <c r="I19" s="258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</row>
    <row r="20" spans="1:26">
      <c r="A20" s="258"/>
      <c r="B20" s="258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</row>
    <row r="21" spans="1:26">
      <c r="A21" s="258"/>
      <c r="B21" s="258"/>
      <c r="C21" s="258"/>
      <c r="D21" s="258"/>
      <c r="E21" s="258"/>
      <c r="F21" s="258"/>
      <c r="G21" s="258"/>
      <c r="H21" s="258"/>
      <c r="I21" s="258"/>
      <c r="J21" s="258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58"/>
      <c r="V21" s="258"/>
      <c r="W21" s="258"/>
      <c r="X21" s="258"/>
      <c r="Y21" s="258"/>
      <c r="Z21" s="258"/>
    </row>
    <row r="22" spans="1:26">
      <c r="A22" s="258"/>
      <c r="B22" s="258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</row>
    <row r="23" spans="1:26">
      <c r="A23" s="258"/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</row>
    <row r="24" spans="1:26">
      <c r="A24" s="258"/>
      <c r="B24" s="258"/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</row>
    <row r="25" spans="1:26">
      <c r="A25" s="258"/>
      <c r="B25" s="258"/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58"/>
      <c r="V25" s="258"/>
      <c r="W25" s="258"/>
      <c r="X25" s="258"/>
      <c r="Y25" s="258"/>
      <c r="Z25" s="258"/>
    </row>
    <row r="26" spans="1:26">
      <c r="A26" s="258"/>
      <c r="B26" s="258"/>
      <c r="C26" s="258"/>
      <c r="D26" s="258"/>
      <c r="E26" s="258"/>
      <c r="F26" s="258"/>
      <c r="G26" s="258"/>
      <c r="H26" s="258"/>
      <c r="I26" s="258"/>
      <c r="J26" s="258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</row>
    <row r="27" spans="1:26">
      <c r="A27" s="258"/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58"/>
      <c r="V27" s="258"/>
      <c r="W27" s="258"/>
      <c r="X27" s="258"/>
      <c r="Y27" s="258"/>
      <c r="Z27" s="258"/>
    </row>
    <row r="28" spans="1:26">
      <c r="A28" s="258"/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58"/>
      <c r="V28" s="258"/>
      <c r="W28" s="258"/>
      <c r="X28" s="258"/>
      <c r="Y28" s="258"/>
      <c r="Z28" s="258"/>
    </row>
    <row r="29" spans="1:26">
      <c r="A29" s="258"/>
      <c r="B29" s="258"/>
      <c r="C29" s="258"/>
      <c r="D29" s="258"/>
      <c r="E29" s="258"/>
      <c r="F29" s="258"/>
      <c r="G29" s="258"/>
      <c r="H29" s="258"/>
      <c r="I29" s="258"/>
      <c r="J29" s="258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58"/>
      <c r="V29" s="258"/>
      <c r="W29" s="258"/>
      <c r="X29" s="258"/>
      <c r="Y29" s="258"/>
      <c r="Z29" s="258"/>
    </row>
    <row r="30" spans="1:26">
      <c r="A30" s="258"/>
      <c r="B30" s="258"/>
      <c r="C30" s="258"/>
      <c r="D30" s="258"/>
      <c r="E30" s="258"/>
      <c r="F30" s="258"/>
      <c r="G30" s="258"/>
      <c r="H30" s="258"/>
      <c r="I30" s="258"/>
      <c r="J30" s="258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58"/>
      <c r="V30" s="258"/>
      <c r="W30" s="258"/>
      <c r="X30" s="258"/>
      <c r="Y30" s="258"/>
      <c r="Z30" s="258"/>
    </row>
    <row r="31" spans="1:26">
      <c r="A31" s="258"/>
      <c r="B31" s="258"/>
      <c r="C31" s="258"/>
      <c r="D31" s="258"/>
      <c r="E31" s="258"/>
      <c r="F31" s="258"/>
      <c r="G31" s="258"/>
      <c r="H31" s="258"/>
      <c r="I31" s="258"/>
      <c r="J31" s="258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58"/>
      <c r="V31" s="258"/>
      <c r="W31" s="258"/>
      <c r="X31" s="258"/>
      <c r="Y31" s="258"/>
      <c r="Z31" s="258"/>
    </row>
    <row r="32" spans="1:26">
      <c r="A32" s="259" t="s">
        <v>1</v>
      </c>
      <c r="B32" s="259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</row>
    <row r="33" spans="1:26">
      <c r="A33" s="259"/>
      <c r="B33" s="259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</row>
    <row r="34" spans="1:26">
      <c r="A34" s="259"/>
      <c r="B34" s="259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</row>
    <row r="35" spans="1:26">
      <c r="A35" s="259"/>
      <c r="B35" s="259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</row>
    <row r="36" spans="1:26">
      <c r="A36" s="259"/>
      <c r="B36" s="259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</row>
    <row r="37" spans="1:26">
      <c r="A37" s="259"/>
      <c r="B37" s="259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</row>
    <row r="38" spans="1:26">
      <c r="A38" s="259"/>
      <c r="B38" s="259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</row>
    <row r="39" spans="1:26">
      <c r="A39" s="259"/>
      <c r="B39" s="259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</row>
    <row r="40" spans="1:26">
      <c r="A40" s="259"/>
      <c r="B40" s="259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</row>
    <row r="41" spans="1:26">
      <c r="A41" s="259"/>
      <c r="B41" s="259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</row>
    <row r="42" spans="1:26">
      <c r="A42" s="259"/>
      <c r="B42" s="259"/>
      <c r="C42" s="259"/>
      <c r="D42" s="259"/>
      <c r="E42" s="259"/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</row>
    <row r="43" spans="1:26">
      <c r="A43" s="259"/>
      <c r="B43" s="259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>
      <c r="A44" s="259"/>
      <c r="B44" s="259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>
      <c r="A45" s="259"/>
      <c r="B45" s="259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</row>
    <row r="46" spans="1:26">
      <c r="A46" s="259"/>
      <c r="B46" s="259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</row>
    <row r="47" spans="1:26">
      <c r="A47" s="259"/>
      <c r="B47" s="259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</row>
    <row r="48" spans="1:26">
      <c r="A48" s="259"/>
      <c r="B48" s="259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</row>
    <row r="49" spans="1:26">
      <c r="A49" s="259"/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</row>
    <row r="50" spans="1:26">
      <c r="A50" s="259"/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</row>
    <row r="51" spans="1:26">
      <c r="A51" s="259"/>
      <c r="B51" s="259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</row>
    <row r="52" spans="1:26">
      <c r="A52" s="259"/>
      <c r="B52" s="259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</row>
    <row r="53" spans="1:26">
      <c r="A53" s="259"/>
      <c r="B53" s="259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</row>
    <row r="54" spans="1:26">
      <c r="A54" s="259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</row>
    <row r="55" spans="1:26">
      <c r="A55" s="259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</row>
    <row r="56" spans="1:26">
      <c r="A56" s="259"/>
      <c r="B56" s="259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</row>
    <row r="57" spans="1:26">
      <c r="A57" s="259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>
      <c r="A58" s="259"/>
      <c r="B58" s="259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</row>
    <row r="59" spans="1:26">
      <c r="A59" s="259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</row>
    <row r="60" spans="1:26">
      <c r="A60" s="259"/>
      <c r="B60" s="259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</row>
    <row r="61" spans="1:26">
      <c r="A61" s="259"/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</row>
    <row r="62" spans="1:26">
      <c r="A62" s="259"/>
      <c r="B62" s="259"/>
      <c r="C62" s="259"/>
      <c r="D62" s="259"/>
      <c r="E62" s="25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A4" sqref="A4"/>
    </sheetView>
  </sheetViews>
  <sheetFormatPr defaultColWidth="9" defaultRowHeight="16.8" outlineLevelCol="1"/>
  <cols>
    <col min="1" max="1" width="43.25" style="238" customWidth="1"/>
    <col min="2" max="2" width="34.125" style="238" customWidth="1"/>
    <col min="3" max="16384" width="9" style="238"/>
  </cols>
  <sheetData>
    <row r="1" ht="45" customHeight="1" spans="1:2">
      <c r="A1" s="239" t="s">
        <v>2</v>
      </c>
      <c r="B1" s="240" t="s">
        <v>3</v>
      </c>
    </row>
    <row r="2" ht="45" customHeight="1" spans="1:2">
      <c r="A2" s="241" t="s">
        <v>4</v>
      </c>
      <c r="B2" s="242" t="b">
        <v>1</v>
      </c>
    </row>
    <row r="3" ht="36" customHeight="1" spans="1:2">
      <c r="A3" s="243" t="s">
        <v>5</v>
      </c>
      <c r="B3" s="244">
        <v>45402</v>
      </c>
    </row>
    <row r="4" ht="45" customHeight="1" spans="1:2">
      <c r="A4" s="239" t="s">
        <v>6</v>
      </c>
      <c r="B4" s="245" t="str">
        <f>IF(B2,TEXT(EDATE(B3,1)-1,"dd-mmm-yyyy"),TEXT(EDATE(B3,1)-1,"dd-mmm-yyyy"))</f>
        <v>19-May-2024</v>
      </c>
    </row>
    <row r="5" ht="45" customHeight="1" spans="1:2">
      <c r="A5" s="241" t="s">
        <v>7</v>
      </c>
      <c r="B5" s="246">
        <v>45777</v>
      </c>
    </row>
    <row r="6" ht="45" customHeight="1" spans="1:2">
      <c r="A6" s="241"/>
      <c r="B6" s="246"/>
    </row>
    <row r="7" ht="24.75" customHeight="1" spans="1:2">
      <c r="A7" s="247"/>
      <c r="B7" s="248"/>
    </row>
    <row r="8" ht="40" customHeight="1" spans="1:2">
      <c r="A8" s="249" t="s">
        <v>8</v>
      </c>
      <c r="B8" s="249"/>
    </row>
    <row r="9" ht="20.25" customHeight="1" spans="1:2">
      <c r="A9" s="250" t="str">
        <f>TEXT(B3,"dd mmmm yyyy")&amp;" - "&amp;IF(B2,TEXT(EDATE(B3,1)-1,"dd mmmm yyyy"),TEXT(B3+B5-B3,"dd mmmm yyyy"))</f>
        <v>20 April 2024 - 19 May 2024</v>
      </c>
      <c r="B9" s="251" t="s">
        <v>9</v>
      </c>
    </row>
    <row r="10" ht="20.25" customHeight="1" spans="1:2">
      <c r="A10" s="242" t="str">
        <f>IF(B2,TEXT(EDATE(B3,1),"dd mmmm yyyy"),TEXT(B3+(B5-B3)+1,"dd mmmm yyyy"))&amp;" - "&amp;IF(B2,TEXT(EDATE(B3,2)-1,"dd mmmm yyyy"),TEXT(B3+(B5-B3)*2+1,"dd mmmm yyyy"))</f>
        <v>20 May 2024 - 19 June 2024</v>
      </c>
      <c r="B10" s="251"/>
    </row>
    <row r="11" ht="20.25" customHeight="1" spans="1:2">
      <c r="A11" s="242" t="str">
        <f>IF(B2,TEXT(EDATE(B3,2),"dd mmmm yyyy"),TEXT(B3+((B5-B3)*2)+2,"dd mmmm yyyy"))&amp;" - "&amp;IF(B2,TEXT(EDATE(B3,3)-1,"dd mmmm yyyy"),TEXT(B3+((B5-B3)*3+2),"dd mmmm yyyy"))</f>
        <v>20 June 2024 - 19 July 2024</v>
      </c>
      <c r="B11" s="252"/>
    </row>
    <row r="12" ht="20.25" customHeight="1" spans="1:2">
      <c r="A12" s="253" t="str">
        <f>IF(B2,TEXT(EDATE(B3,3),"dd mmmm yyyy"),TEXT(B3+((B5-B3)*3)+3,"dd mmmm yyyy"))&amp;" - "&amp;IF(B2,TEXT(EDATE(B3,4)-1,"dd mmmm yyyy"),TEXT(B3+(((B5-B3)*4)+3),"dd mmmm yyyy"))</f>
        <v>20 July 2024 - 19 August 2024</v>
      </c>
      <c r="B12" s="240" t="s">
        <v>10</v>
      </c>
    </row>
    <row r="13" ht="20.25" customHeight="1" spans="1:2">
      <c r="A13" s="253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54"/>
    </row>
    <row r="14" ht="20.25" customHeight="1" spans="1:2">
      <c r="A14" s="242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5"/>
    </row>
    <row r="15" ht="20.25" customHeight="1" spans="1:2">
      <c r="A15" s="242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40" t="s">
        <v>11</v>
      </c>
    </row>
    <row r="16" ht="20.25" customHeight="1" spans="1:2">
      <c r="A16" s="242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54"/>
    </row>
    <row r="17" ht="20.25" customHeight="1" spans="1:2">
      <c r="A17" s="242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5"/>
    </row>
    <row r="18" ht="20.25" customHeight="1" spans="1:2">
      <c r="A18" s="242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40" t="s">
        <v>12</v>
      </c>
    </row>
    <row r="19" ht="20.25" customHeight="1" spans="1:2">
      <c r="A19" s="242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54"/>
    </row>
    <row r="20" ht="20.25" customHeight="1" spans="1:2">
      <c r="A20" s="256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5"/>
    </row>
    <row r="21" ht="20.25" customHeight="1" spans="1:2">
      <c r="A21" s="257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42" t="s">
        <v>13</v>
      </c>
    </row>
    <row r="22" ht="20.25" customHeight="1" spans="1:2">
      <c r="A22" s="257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42"/>
    </row>
    <row r="23" ht="20.25" customHeight="1" spans="1:2">
      <c r="A23" s="256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40"/>
    </row>
    <row r="24" ht="20.25" customHeight="1" spans="1:2">
      <c r="A24" s="242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42" t="s">
        <v>14</v>
      </c>
    </row>
    <row r="25" ht="20.25" customHeight="1" spans="1:2">
      <c r="A25" s="242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42"/>
    </row>
    <row r="26" ht="20.25" customHeight="1" spans="1:2">
      <c r="A26" s="240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40"/>
    </row>
    <row r="27" ht="20.25" customHeight="1" spans="1:2">
      <c r="A27" s="242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42" t="s">
        <v>15</v>
      </c>
    </row>
    <row r="28" ht="20.25" customHeight="1" spans="1:2">
      <c r="A28" s="242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42"/>
    </row>
    <row r="29" ht="20.25" customHeight="1" spans="1:2">
      <c r="A29" s="240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40"/>
    </row>
    <row r="30" ht="20.25" customHeight="1" spans="1:2">
      <c r="A30" s="242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42" t="s">
        <v>16</v>
      </c>
    </row>
    <row r="31" ht="20.25" customHeight="1" spans="1:2">
      <c r="A31" s="242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42"/>
    </row>
    <row r="32" ht="20.25" customHeight="1" spans="1:2">
      <c r="A32" s="240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40"/>
    </row>
    <row r="33" ht="20.25" customHeight="1" spans="1:2">
      <c r="A33" s="242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42" t="s">
        <v>17</v>
      </c>
    </row>
    <row r="34" ht="20.25" customHeight="1" spans="1:2">
      <c r="A34" s="242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42"/>
    </row>
    <row r="35" ht="20.25" customHeight="1" spans="1:2">
      <c r="A35" s="240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40"/>
    </row>
    <row r="36" ht="20.25" customHeight="1" spans="1:2">
      <c r="A36" s="242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42" t="s">
        <v>18</v>
      </c>
    </row>
    <row r="37" ht="20.25" customHeight="1" spans="1:2">
      <c r="A37" s="242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42"/>
    </row>
    <row r="38" ht="20.25" customHeight="1" spans="1:2">
      <c r="A38" s="240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40"/>
    </row>
    <row r="39" ht="20.25" customHeight="1" spans="1:2">
      <c r="A39" s="242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42" t="s">
        <v>19</v>
      </c>
    </row>
    <row r="40" ht="20.25" customHeight="1" spans="1:2">
      <c r="A40" s="242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42"/>
    </row>
    <row r="41" ht="20.25" customHeight="1" spans="1:2">
      <c r="A41" s="240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40"/>
    </row>
    <row r="42" ht="20.25" customHeight="1" spans="1:2">
      <c r="A42" s="242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42" t="s">
        <v>20</v>
      </c>
    </row>
    <row r="43" ht="20.25" customHeight="1" spans="1:2">
      <c r="A43" s="242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42"/>
    </row>
    <row r="44" ht="20.25" customHeight="1" spans="1:2">
      <c r="A44" s="240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40"/>
    </row>
    <row r="45" ht="20.25" customHeight="1" spans="1:2">
      <c r="A45" s="242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42" t="s">
        <v>21</v>
      </c>
    </row>
    <row r="46" ht="20.25" customHeight="1" spans="1:2">
      <c r="A46" s="242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42"/>
    </row>
    <row r="47" ht="20.25" customHeight="1" spans="1:2">
      <c r="A47" s="240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40"/>
    </row>
    <row r="48" ht="20.25" customHeight="1" spans="1:2">
      <c r="A48" s="242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42" t="s">
        <v>22</v>
      </c>
    </row>
    <row r="49" ht="20.25" customHeight="1" spans="1:2">
      <c r="A49" s="242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42"/>
    </row>
    <row r="50" ht="20.25" customHeight="1" spans="1:2">
      <c r="A50" s="240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40"/>
    </row>
    <row r="51" ht="20.25" customHeight="1" spans="1:2">
      <c r="A51" s="242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42" t="s">
        <v>23</v>
      </c>
    </row>
    <row r="52" ht="20.25" customHeight="1" spans="1:2">
      <c r="A52" s="242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42"/>
    </row>
    <row r="53" ht="20.25" customHeight="1" spans="1:2">
      <c r="A53" s="240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40"/>
    </row>
    <row r="54" ht="20.25" customHeight="1" spans="1:2">
      <c r="A54" s="242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42" t="s">
        <v>24</v>
      </c>
    </row>
    <row r="55" ht="20.25" customHeight="1" spans="1:2">
      <c r="A55" s="242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42"/>
    </row>
    <row r="56" ht="20.25" customHeight="1" spans="1:2">
      <c r="A56" s="242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42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8" customFormat="1" ht="20.25" customHeight="1"/>
    <row r="66" s="238" customFormat="1" ht="20.25" customHeight="1"/>
    <row r="67" s="238" customFormat="1" ht="20.25" customHeight="1"/>
    <row r="68" s="238" customFormat="1" ht="20.25" customHeight="1"/>
    <row r="69" s="238" customFormat="1" ht="20.25" customHeight="1"/>
    <row r="70" s="238" customFormat="1" ht="20.25" customHeight="1"/>
    <row r="71" s="238" customFormat="1" ht="20.25" customHeight="1"/>
    <row r="72" s="238" customFormat="1" ht="20.25" customHeight="1"/>
    <row r="73" s="238" customFormat="1" ht="20.25" customHeight="1"/>
    <row r="74" s="238" customFormat="1" ht="20.25" customHeight="1"/>
    <row r="75" s="238" customFormat="1" ht="20.25" customHeight="1"/>
    <row r="76" s="238" customFormat="1" ht="20.25" customHeight="1"/>
    <row r="77" s="238" customFormat="1" ht="20.25" customHeight="1"/>
    <row r="78" s="238" customFormat="1" ht="20.25" customHeight="1"/>
    <row r="79" s="238" customFormat="1" ht="20.25" customHeight="1"/>
    <row r="80" s="238" customFormat="1" ht="20.25" customHeight="1"/>
    <row r="81" s="238" customFormat="1" ht="20.25" customHeight="1"/>
    <row r="82" s="238" customFormat="1" ht="20.25" customHeight="1"/>
    <row r="83" s="238" customFormat="1" ht="20.25" customHeight="1"/>
    <row r="84" s="238" customFormat="1" ht="20.25" customHeight="1"/>
    <row r="85" s="238" customFormat="1" ht="20.25" customHeight="1"/>
    <row r="86" s="238" customFormat="1" ht="20.25" customHeight="1"/>
    <row r="87" s="238" customFormat="1" ht="20.25" customHeight="1"/>
    <row r="88" s="238" customFormat="1" ht="20.25" customHeight="1"/>
    <row r="89" s="238" customFormat="1" ht="20.25" customHeight="1"/>
    <row r="90" s="238" customFormat="1" ht="20.25" customHeight="1"/>
    <row r="91" s="238" customFormat="1" ht="20.25" customHeight="1"/>
    <row r="92" s="238" customFormat="1" ht="20.25" customHeight="1"/>
    <row r="93" s="238" customFormat="1" ht="20.25" customHeight="1"/>
    <row r="94" s="238" customFormat="1" ht="20.25" customHeight="1"/>
    <row r="95" s="238" customFormat="1" ht="20.25" customHeight="1"/>
    <row r="96" s="238" customFormat="1" ht="20.25" customHeight="1"/>
    <row r="97" s="238" customFormat="1" ht="20.25" customHeight="1"/>
    <row r="98" s="238" customFormat="1" ht="20.25" customHeight="1"/>
    <row r="99" s="238" customFormat="1" ht="20.25" customHeight="1"/>
    <row r="100" s="238" customFormat="1" ht="20.25" customHeight="1"/>
    <row r="101" s="238" customFormat="1" ht="20.25" customHeight="1"/>
    <row r="102" s="238" customFormat="1" ht="20.25" customHeight="1"/>
    <row r="103" s="238" customFormat="1" ht="20.25" customHeight="1"/>
    <row r="104" s="238" customFormat="1" ht="20.25" customHeight="1"/>
    <row r="105" s="238" customFormat="1" ht="20.25" customHeight="1"/>
    <row r="106" s="238" customFormat="1" ht="20.25" customHeight="1"/>
    <row r="107" s="238" customFormat="1" ht="20.25" customHeight="1"/>
    <row r="108" s="238" customFormat="1" ht="20.25" customHeight="1"/>
    <row r="109" s="238" customFormat="1" ht="20.25" customHeight="1"/>
    <row r="110" s="238" customFormat="1" ht="20.25" customHeight="1"/>
    <row r="111" s="238" customFormat="1" ht="20.25" customHeight="1"/>
    <row r="112" s="238" customFormat="1" ht="20.25" customHeight="1"/>
    <row r="113" s="238" customFormat="1" ht="20.25" customHeight="1"/>
    <row r="114" s="238" customFormat="1" ht="20.25" customHeight="1"/>
    <row r="115" s="238" customFormat="1" ht="20.25" customHeight="1"/>
    <row r="116" s="238" customFormat="1" ht="20.25" customHeight="1"/>
    <row r="117" s="238" customFormat="1" ht="20.25" customHeight="1"/>
    <row r="118" s="238" customFormat="1" ht="20.25" customHeight="1"/>
    <row r="119" s="238" customFormat="1" ht="20.25" customHeight="1"/>
    <row r="120" s="238" customFormat="1" ht="20.25" customHeight="1"/>
    <row r="121" s="238" customFormat="1" ht="20.25" customHeight="1"/>
    <row r="122" s="238" customFormat="1" ht="20.25" customHeight="1"/>
    <row r="123" s="238" customFormat="1" ht="20.25" customHeight="1"/>
    <row r="124" s="238" customFormat="1" ht="20.25" customHeight="1"/>
    <row r="125" s="238" customFormat="1" ht="20.25" customHeight="1"/>
    <row r="126" s="238" customFormat="1" ht="20.25" customHeight="1"/>
    <row r="127" s="238" customFormat="1" ht="20.25" customHeight="1"/>
    <row r="129" s="238" customFormat="1" ht="20.25" customHeight="1"/>
    <row r="130" s="238" customFormat="1" ht="20.25" customHeight="1"/>
    <row r="131" s="238" customFormat="1" ht="20.25" customHeight="1"/>
    <row r="132" s="238" customFormat="1" ht="20.25" customHeight="1"/>
    <row r="133" s="238" customFormat="1" ht="20.25" customHeight="1"/>
    <row r="134" s="238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abSelected="1" topLeftCell="A68" workbookViewId="0">
      <selection activeCell="D23" sqref="D23:E23"/>
    </sheetView>
  </sheetViews>
  <sheetFormatPr defaultColWidth="9" defaultRowHeight="17.6"/>
  <cols>
    <col min="1" max="1" width="24.0694444444444" style="167" customWidth="1"/>
    <col min="2" max="2" width="32.9861111111111" style="167" customWidth="1"/>
    <col min="3" max="4" width="20.625" style="167" customWidth="1"/>
    <col min="5" max="5" width="25.625" style="167" customWidth="1"/>
    <col min="6" max="6" width="20.625" style="167" customWidth="1"/>
    <col min="7" max="7" width="9" style="167"/>
    <col min="8" max="8" width="23" style="167" customWidth="1"/>
    <col min="9" max="9" width="40.75" style="47" customWidth="1"/>
    <col min="10" max="10" width="28.625" style="167" customWidth="1"/>
    <col min="11" max="12" width="9" style="167"/>
    <col min="13" max="13" width="36.625" style="167" customWidth="1"/>
    <col min="14" max="14" width="21.125" style="167" customWidth="1"/>
    <col min="15" max="16384" width="9" style="167"/>
  </cols>
  <sheetData>
    <row r="1" ht="35" customHeight="1" spans="1:14">
      <c r="A1" s="168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8"/>
      <c r="C1" s="168"/>
      <c r="D1" s="168"/>
      <c r="E1" s="168"/>
      <c r="F1" s="168"/>
      <c r="I1" s="207" t="s">
        <v>25</v>
      </c>
      <c r="J1" s="207"/>
      <c r="M1" s="207" t="s">
        <v>26</v>
      </c>
      <c r="N1" s="207"/>
    </row>
    <row r="2" ht="35" customHeight="1" spans="1:14">
      <c r="A2" s="169" t="s">
        <v>27</v>
      </c>
      <c r="B2" s="170"/>
      <c r="C2" s="170"/>
      <c r="D2" s="171" t="s">
        <v>28</v>
      </c>
      <c r="E2" s="171"/>
      <c r="F2" s="171"/>
      <c r="I2" s="208" t="s">
        <v>29</v>
      </c>
      <c r="J2" s="209" t="s">
        <v>30</v>
      </c>
      <c r="M2" s="219" t="s">
        <v>31</v>
      </c>
      <c r="N2" s="209" t="s">
        <v>32</v>
      </c>
    </row>
    <row r="3" ht="35" customHeight="1" spans="1:14">
      <c r="A3" s="172" t="s">
        <v>33</v>
      </c>
      <c r="B3" s="173" t="s">
        <v>34</v>
      </c>
      <c r="C3" s="174">
        <v>12</v>
      </c>
      <c r="D3" s="175" t="s">
        <v>33</v>
      </c>
      <c r="E3" s="5" t="s">
        <v>34</v>
      </c>
      <c r="F3" s="202">
        <v>62</v>
      </c>
      <c r="I3" s="210" t="str">
        <f>TEXT(Main!B3,"dd mmmm yyyy")&amp;" - "&amp;IF(Main!B2,TEXT(EDATE(Main!B3,1)-1,"dd mmmm yyyy"),TEXT(Main!B3+(Main!B5-Main!B3)*1,"dd mmmm yyyy"))</f>
        <v>20 April 2024 - 19 May 2024</v>
      </c>
      <c r="J3" s="211">
        <f>E149</f>
        <v>0</v>
      </c>
      <c r="M3" s="216" t="str">
        <f>TEXT(Main!B3,"dd mmmm yyyy")&amp;" - "&amp;IF(Main!B2,TEXT(EDATE(Main!B3,3)-1,"dd mmmm yyyy"),TEXT(Main!B3+((Main!B5-Main!B3)*3+2),"dd mmmm yyyy"))</f>
        <v>20 April 2024 - 19 July 2024</v>
      </c>
      <c r="N3" s="211">
        <f>-C122</f>
        <v>-24333</v>
      </c>
    </row>
    <row r="4" ht="35" customHeight="1" spans="1:14">
      <c r="A4" s="172"/>
      <c r="B4" s="173" t="s">
        <v>35</v>
      </c>
      <c r="C4" s="174">
        <v>0</v>
      </c>
      <c r="D4" s="176"/>
      <c r="E4" s="5" t="s">
        <v>35</v>
      </c>
      <c r="F4" s="202">
        <v>0</v>
      </c>
      <c r="I4" s="212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11">
        <f>E176</f>
        <v>-416.68</v>
      </c>
      <c r="M4" s="216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11">
        <f ca="1">'July 2024 - September 2024'!C5</f>
        <v>-11683</v>
      </c>
    </row>
    <row r="5" ht="35" customHeight="1" spans="1:14">
      <c r="A5" s="172"/>
      <c r="B5" s="173" t="s">
        <v>36</v>
      </c>
      <c r="C5" s="174">
        <v>0</v>
      </c>
      <c r="D5" s="176"/>
      <c r="E5" s="5" t="s">
        <v>36</v>
      </c>
      <c r="F5" s="202">
        <v>0</v>
      </c>
      <c r="I5" s="212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11">
        <f>E203</f>
        <v>3260.12</v>
      </c>
      <c r="M5" s="216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11">
        <f ca="1">'October 2024 - December 2024'!C5</f>
        <v>-10683</v>
      </c>
    </row>
    <row r="6" ht="35" customHeight="1" spans="1:14">
      <c r="A6" s="172"/>
      <c r="B6" s="173" t="s">
        <v>37</v>
      </c>
      <c r="C6" s="174">
        <v>0</v>
      </c>
      <c r="D6" s="176"/>
      <c r="E6" s="5" t="s">
        <v>37</v>
      </c>
      <c r="F6" s="202">
        <v>0</v>
      </c>
      <c r="I6" s="213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11">
        <f ca="1">'July 2024 - September 2024'!E136</f>
        <v>699.839999999999</v>
      </c>
      <c r="M6" s="216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11">
        <f ca="1">'January 2025 - March 2025'!C5</f>
        <v>-6983</v>
      </c>
    </row>
    <row r="7" ht="35" customHeight="1" spans="1:14">
      <c r="A7" s="172"/>
      <c r="B7" s="173" t="s">
        <v>38</v>
      </c>
      <c r="C7" s="174">
        <v>40.1</v>
      </c>
      <c r="D7" s="176"/>
      <c r="E7" s="5" t="s">
        <v>38</v>
      </c>
      <c r="F7" s="202">
        <v>0</v>
      </c>
      <c r="I7" s="213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11">
        <f ca="1">'July 2024 - September 2024'!E163</f>
        <v>625.069999999999</v>
      </c>
      <c r="M7" s="216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11">
        <f ca="1">'April 2025 - June 2025'!C5</f>
        <v>-6483</v>
      </c>
    </row>
    <row r="8" ht="35" customHeight="1" spans="1:14">
      <c r="A8" s="172"/>
      <c r="B8" s="173" t="s">
        <v>39</v>
      </c>
      <c r="C8" s="174">
        <v>0</v>
      </c>
      <c r="D8" s="176"/>
      <c r="E8" s="5" t="s">
        <v>39</v>
      </c>
      <c r="F8" s="202">
        <v>0</v>
      </c>
      <c r="H8" s="203"/>
      <c r="I8" s="212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11">
        <f ca="1">'July 2024 - September 2024'!E190</f>
        <v>502.71</v>
      </c>
      <c r="M8" s="220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11">
        <f ca="1">'July 2025 - September 2025'!C5</f>
        <v>-6483</v>
      </c>
    </row>
    <row r="9" ht="35" customHeight="1" spans="1:14">
      <c r="A9" s="172"/>
      <c r="B9" s="173" t="s">
        <v>40</v>
      </c>
      <c r="C9" s="174">
        <v>0</v>
      </c>
      <c r="D9" s="176"/>
      <c r="E9" s="5" t="s">
        <v>40</v>
      </c>
      <c r="F9" s="202">
        <v>0</v>
      </c>
      <c r="I9" s="212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11">
        <f ca="1">'October 2024 - December 2024'!E136</f>
        <v>125.16</v>
      </c>
      <c r="M9" s="216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21">
        <f ca="1">'October 2025 - December 2025'!C5</f>
        <v>-6483</v>
      </c>
    </row>
    <row r="10" ht="35" customHeight="1" spans="1:14">
      <c r="A10" s="172"/>
      <c r="B10" s="173" t="s">
        <v>41</v>
      </c>
      <c r="C10" s="174">
        <v>0</v>
      </c>
      <c r="D10" s="176"/>
      <c r="E10" s="5" t="s">
        <v>41</v>
      </c>
      <c r="F10" s="202">
        <v>0</v>
      </c>
      <c r="I10" s="212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11">
        <f ca="1">'October 2024 - December 2024'!E163</f>
        <v>229.400000000001</v>
      </c>
      <c r="M10" s="222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11">
        <f ca="1">'January 2026 - March 2026'!C5</f>
        <v>-6483</v>
      </c>
    </row>
    <row r="11" ht="35" customHeight="1" spans="1:14">
      <c r="A11" s="172"/>
      <c r="B11" s="173" t="s">
        <v>42</v>
      </c>
      <c r="C11" s="174">
        <v>15</v>
      </c>
      <c r="D11" s="176"/>
      <c r="E11" s="5" t="s">
        <v>42</v>
      </c>
      <c r="F11" s="202">
        <v>15</v>
      </c>
      <c r="H11" s="203"/>
      <c r="I11" s="212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11">
        <f ca="1">'October 2024 - December 2024'!E190</f>
        <v>173.340000000001</v>
      </c>
      <c r="M11" s="216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5">
        <f ca="1">'April 2026 - June 2026'!C5</f>
        <v>-6483</v>
      </c>
    </row>
    <row r="12" ht="35" customHeight="1" spans="1:14">
      <c r="A12" s="172"/>
      <c r="B12" s="173" t="s">
        <v>43</v>
      </c>
      <c r="C12" s="174">
        <v>70</v>
      </c>
      <c r="D12" s="176"/>
      <c r="E12" s="204" t="s">
        <v>43</v>
      </c>
      <c r="F12" s="202">
        <v>70</v>
      </c>
      <c r="I12" s="212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11">
        <f ca="1">'January 2025 - March 2025'!E136</f>
        <v>112.000000000001</v>
      </c>
      <c r="M12" s="212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5">
        <f ca="1">'July 2026 - September 2026'!C5</f>
        <v>-6483</v>
      </c>
    </row>
    <row r="13" ht="35" customHeight="1" spans="1:14">
      <c r="A13" s="172"/>
      <c r="B13" s="173" t="s">
        <v>44</v>
      </c>
      <c r="C13" s="174">
        <v>9</v>
      </c>
      <c r="D13" s="176"/>
      <c r="E13" s="204" t="s">
        <v>44</v>
      </c>
      <c r="F13" s="202">
        <v>9</v>
      </c>
      <c r="I13" s="214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11">
        <f ca="1">'January 2025 - March 2025'!E163</f>
        <v>355.200000000001</v>
      </c>
      <c r="M13" s="212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5">
        <f ca="1">'October 2026 - December 2026'!C5</f>
        <v>-6483</v>
      </c>
    </row>
    <row r="14" ht="35" customHeight="1" spans="1:14">
      <c r="A14" s="172"/>
      <c r="B14" s="173" t="s">
        <v>45</v>
      </c>
      <c r="C14" s="174">
        <v>-14.6</v>
      </c>
      <c r="D14" s="176"/>
      <c r="E14" s="204" t="s">
        <v>45</v>
      </c>
      <c r="F14" s="202">
        <v>24.4</v>
      </c>
      <c r="I14" s="214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5">
        <f ca="1">'January 2025 - March 2025'!E190</f>
        <v>191.500000000001</v>
      </c>
      <c r="M14" s="212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5">
        <f ca="1">'January 2027 - March 2027'!C5</f>
        <v>-6483</v>
      </c>
    </row>
    <row r="15" ht="35" customHeight="1" spans="1:14">
      <c r="A15" s="172"/>
      <c r="B15" s="177" t="s">
        <v>46</v>
      </c>
      <c r="C15" s="174">
        <v>60</v>
      </c>
      <c r="D15" s="176"/>
      <c r="E15" s="204" t="s">
        <v>46</v>
      </c>
      <c r="F15" s="202">
        <v>60</v>
      </c>
      <c r="I15" s="216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5">
        <f ca="1">'April 2025 - June 2025'!E136</f>
        <v>1018.3</v>
      </c>
      <c r="M15" s="212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5">
        <f ca="1">'April 2027 - June 2027'!C5</f>
        <v>-6483</v>
      </c>
    </row>
    <row r="16" ht="35" customHeight="1" spans="1:14">
      <c r="A16" s="178"/>
      <c r="B16" s="179" t="s">
        <v>47</v>
      </c>
      <c r="C16" s="180">
        <f>SUM(C3:C15)</f>
        <v>191.5</v>
      </c>
      <c r="D16" s="181"/>
      <c r="E16" s="179" t="s">
        <v>47</v>
      </c>
      <c r="F16" s="205">
        <f>SUM(F3:F15)</f>
        <v>240.4</v>
      </c>
      <c r="I16" s="216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5">
        <f ca="1">'April 2025 - June 2025'!E163</f>
        <v>1188.1</v>
      </c>
      <c r="M16" s="212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5">
        <f ca="1">Forecast_14!C5</f>
        <v>-6483</v>
      </c>
    </row>
    <row r="17" ht="35" customHeight="1" spans="9:14">
      <c r="I17" s="216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5">
        <f ca="1">'April 2025 - June 2025'!E190</f>
        <v>1864.9</v>
      </c>
      <c r="M17" s="212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5">
        <f ca="1">Forecast_15!C5</f>
        <v>-6483</v>
      </c>
    </row>
    <row r="18" ht="35" customHeight="1" spans="9:14">
      <c r="I18" s="216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5">
        <f ca="1">'July 2025 - September 2025'!E136</f>
        <v>2647.7</v>
      </c>
      <c r="M18" s="212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11">
        <f ca="1">Forecast_16!C5</f>
        <v>-6483</v>
      </c>
    </row>
    <row r="19" ht="35" customHeight="1" spans="9:10">
      <c r="I19" s="216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5">
        <f ca="1">'July 2025 - September 2025'!E163</f>
        <v>3274.5</v>
      </c>
    </row>
    <row r="20" ht="35" customHeight="1" spans="9:10">
      <c r="I20" s="216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5">
        <f ca="1">'July 2025 - September 2025'!E190</f>
        <v>4057.3</v>
      </c>
    </row>
    <row r="21" ht="35" customHeight="1" spans="9:10">
      <c r="I21" s="216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5">
        <f ca="1">'October 2025 - December 2025'!E136</f>
        <v>4734.1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7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5">
        <f ca="1">'October 2025 - December 2025'!E163</f>
        <v>5466.9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7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5">
        <f ca="1">'October 2025 - December 2025'!E190</f>
        <v>5958.7</v>
      </c>
    </row>
    <row r="24" ht="35" customHeight="1" spans="1:10">
      <c r="A24" s="19" t="s">
        <v>51</v>
      </c>
      <c r="B24" s="182" t="s">
        <v>52</v>
      </c>
      <c r="C24" s="20"/>
      <c r="D24" s="20" t="s">
        <v>53</v>
      </c>
      <c r="E24" s="20"/>
      <c r="F24" s="41">
        <v>2405</v>
      </c>
      <c r="G24" s="42"/>
      <c r="I24" s="216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5">
        <f ca="1">'January 2026 - March 2026'!E136</f>
        <v>6741.5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6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5">
        <f ca="1">'January 2026 - March 2026'!E163</f>
        <v>7073.3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14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5">
        <f ca="1">'January 2026 - March 2026'!E190</f>
        <v>7856.1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6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5">
        <f ca="1">'April 2026 - June 2026'!E136</f>
        <v>8347.9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6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5">
        <f ca="1">'April 2026 - June 2026'!E163</f>
        <v>8970.7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12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11">
        <f ca="1">'April 2026 - June 2026'!E190</f>
        <v>9462.5</v>
      </c>
    </row>
    <row r="30" ht="35" customHeight="1" spans="1:10">
      <c r="A30" s="183"/>
      <c r="B30" s="184"/>
      <c r="C30" s="185"/>
      <c r="D30" s="27" t="s">
        <v>54</v>
      </c>
      <c r="E30" s="44"/>
      <c r="F30" s="45">
        <f>SUM(F24:G29)</f>
        <v>2405</v>
      </c>
      <c r="G30" s="46"/>
      <c r="I30" s="216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8">
        <f ca="1">'July 2026 - September 2026'!E136</f>
        <v>10245.3</v>
      </c>
    </row>
    <row r="31" ht="35" customHeight="1" spans="9:10">
      <c r="I31" s="216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5">
        <f ca="1">'July 2026 - September 2026'!E163</f>
        <v>10577.1</v>
      </c>
    </row>
    <row r="32" ht="35" customHeight="1" spans="9:10">
      <c r="I32" s="216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5">
        <f ca="1">'July 2026 - September 2026'!E190</f>
        <v>11359.9</v>
      </c>
    </row>
    <row r="33" ht="35" customHeight="1" spans="9:10">
      <c r="I33" s="216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5">
        <f ca="1">'October 2026 - December 2026'!E136</f>
        <v>11851.7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6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5">
        <f ca="1">'October 2026 - December 2026'!E163</f>
        <v>12474.5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6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5">
        <f ca="1">'October 2026 - December 2026'!E190</f>
        <v>12966.3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6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5">
        <f ca="1">'January 2027 - March 2027'!E136</f>
        <v>13749.1</v>
      </c>
    </row>
    <row r="37" ht="35" customHeight="1" spans="1:10">
      <c r="A37" s="19" t="s">
        <v>56</v>
      </c>
      <c r="B37" s="21" t="s">
        <v>52</v>
      </c>
      <c r="C37" s="22"/>
      <c r="D37" s="114" t="s">
        <v>57</v>
      </c>
      <c r="E37" s="114"/>
      <c r="F37" s="41">
        <v>1035</v>
      </c>
      <c r="G37" s="42"/>
      <c r="I37" s="216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5">
        <f ca="1">'January 2027 - March 2027'!E163</f>
        <v>14080.9</v>
      </c>
    </row>
    <row r="38" ht="35" customHeight="1" spans="1:10">
      <c r="A38" s="19" t="s">
        <v>58</v>
      </c>
      <c r="B38" s="186" t="s">
        <v>59</v>
      </c>
      <c r="C38" s="22"/>
      <c r="D38" s="21" t="s">
        <v>60</v>
      </c>
      <c r="E38" s="22"/>
      <c r="F38" s="41">
        <v>50</v>
      </c>
      <c r="G38" s="42"/>
      <c r="I38" s="216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5">
        <f ca="1">'January 2027 - March 2027'!E190</f>
        <v>14863.7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6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5">
        <f ca="1">'April 2027 - June 2027'!E136</f>
        <v>15355.5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6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5">
        <f ca="1">'April 2027 - June 2027'!E163</f>
        <v>15978.3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12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5">
        <f ca="1">'April 2027 - June 2027'!E190</f>
        <v>16470.1</v>
      </c>
    </row>
    <row r="42" ht="35" customHeight="1" spans="1:10">
      <c r="A42" s="183"/>
      <c r="B42" s="184"/>
      <c r="C42" s="185"/>
      <c r="D42" s="27" t="s">
        <v>54</v>
      </c>
      <c r="E42" s="44"/>
      <c r="F42" s="45">
        <f>SUM(F36:G41)</f>
        <v>3490</v>
      </c>
      <c r="G42" s="46"/>
      <c r="I42" s="212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5">
        <f ca="1">Forecast_14!E136</f>
        <v>16470.1</v>
      </c>
    </row>
    <row r="43" ht="35" customHeight="1" spans="9:10">
      <c r="I43" s="212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5">
        <f ca="1">Forecast_14!E163</f>
        <v>16470.1</v>
      </c>
    </row>
    <row r="44" ht="35" customHeight="1" spans="9:10">
      <c r="I44" s="212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5">
        <f ca="1">Forecast_14!E190</f>
        <v>16470.1</v>
      </c>
    </row>
    <row r="45" ht="35" customHeight="1" spans="9:10">
      <c r="I45" s="212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5">
        <f ca="1">Forecast_15!E136</f>
        <v>16470.1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12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5">
        <f ca="1">Forecast_15!E163</f>
        <v>16470.1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12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5">
        <f ca="1">Forecast_15!E190</f>
        <v>16470.1</v>
      </c>
    </row>
    <row r="48" ht="35" customHeight="1" spans="1:10">
      <c r="A48" s="95" t="s">
        <v>61</v>
      </c>
      <c r="B48" s="96" t="s">
        <v>62</v>
      </c>
      <c r="C48" s="96"/>
      <c r="D48" s="187" t="s">
        <v>63</v>
      </c>
      <c r="E48" s="187"/>
      <c r="F48" s="206">
        <v>150</v>
      </c>
      <c r="G48" s="42"/>
      <c r="I48" s="212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5">
        <f ca="1">Forecast_16!E136</f>
        <v>16470.1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6">
        <v>2405</v>
      </c>
      <c r="G49" s="42"/>
      <c r="I49" s="212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5">
        <f ca="1">Forecast_16!E163</f>
        <v>16470.1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6">
        <v>7700</v>
      </c>
      <c r="G50" s="42"/>
      <c r="I50" s="212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11">
        <f ca="1">Forecast_16!E190</f>
        <v>16470.1</v>
      </c>
    </row>
    <row r="51" ht="35" customHeight="1" spans="1:7">
      <c r="A51" s="188" t="s">
        <v>68</v>
      </c>
      <c r="B51" s="189" t="s">
        <v>69</v>
      </c>
      <c r="C51" s="189"/>
      <c r="D51" s="97"/>
      <c r="E51" s="97"/>
      <c r="F51" s="206">
        <v>411.5</v>
      </c>
      <c r="G51" s="42"/>
    </row>
    <row r="52" ht="35" customHeight="1" spans="1:7">
      <c r="A52" s="190" t="s">
        <v>70</v>
      </c>
      <c r="B52" s="96" t="s">
        <v>71</v>
      </c>
      <c r="C52" s="96"/>
      <c r="D52" s="96" t="s">
        <v>72</v>
      </c>
      <c r="E52" s="96"/>
      <c r="F52" s="206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83"/>
      <c r="B54" s="184"/>
      <c r="C54" s="185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91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92"/>
      <c r="C58" s="193"/>
    </row>
    <row r="59" ht="35" customHeight="1" spans="1:3">
      <c r="A59" s="194" t="s">
        <v>48</v>
      </c>
      <c r="B59" s="194" t="s">
        <v>49</v>
      </c>
      <c r="C59" s="195" t="s">
        <v>50</v>
      </c>
    </row>
    <row r="60" ht="35" customHeight="1" spans="1:3">
      <c r="A60" s="196" t="s">
        <v>73</v>
      </c>
      <c r="B60" s="197"/>
      <c r="C60" s="198"/>
    </row>
    <row r="61" ht="35" customHeight="1" spans="1:3">
      <c r="A61" s="50" t="s">
        <v>74</v>
      </c>
      <c r="B61" s="199"/>
      <c r="C61" s="155">
        <v>204</v>
      </c>
    </row>
    <row r="62" ht="35" customHeight="1" spans="1:3">
      <c r="A62" s="50" t="s">
        <v>75</v>
      </c>
      <c r="B62" s="199"/>
      <c r="C62" s="155">
        <v>197</v>
      </c>
    </row>
    <row r="63" ht="35" customHeight="1" spans="1:3">
      <c r="A63" s="200" t="s">
        <v>76</v>
      </c>
      <c r="B63" s="199"/>
      <c r="C63" s="155">
        <v>0</v>
      </c>
    </row>
    <row r="64" ht="35" customHeight="1" spans="1:3">
      <c r="A64" s="50" t="s">
        <v>59</v>
      </c>
      <c r="B64" s="201"/>
      <c r="C64" s="155">
        <v>42</v>
      </c>
    </row>
    <row r="65" ht="35" customHeight="1" spans="1:3">
      <c r="A65" s="50" t="s">
        <v>77</v>
      </c>
      <c r="B65" s="199"/>
      <c r="C65" s="223">
        <v>0</v>
      </c>
    </row>
    <row r="66" ht="35" customHeight="1" spans="1:3">
      <c r="A66" s="50"/>
      <c r="B66" s="199"/>
      <c r="C66" s="223">
        <v>0</v>
      </c>
    </row>
    <row r="67" ht="35" customHeight="1" spans="1:3">
      <c r="A67" s="50"/>
      <c r="B67" s="199"/>
      <c r="C67" s="223">
        <v>0</v>
      </c>
    </row>
    <row r="68" ht="35" customHeight="1" spans="1:3">
      <c r="A68" s="50"/>
      <c r="B68" s="199"/>
      <c r="C68" s="223">
        <v>0</v>
      </c>
    </row>
    <row r="69" ht="35" customHeight="1" spans="1:3">
      <c r="A69" s="38"/>
      <c r="B69" s="39" t="s">
        <v>78</v>
      </c>
      <c r="C69" s="223">
        <f>SUM(C61:C68)</f>
        <v>443</v>
      </c>
    </row>
    <row r="70" ht="35" customHeight="1" spans="1:3">
      <c r="A70" s="196" t="s">
        <v>79</v>
      </c>
      <c r="B70" s="197"/>
      <c r="C70" s="198"/>
    </row>
    <row r="71" ht="35" customHeight="1" spans="1:3">
      <c r="A71" s="50" t="s">
        <v>80</v>
      </c>
      <c r="B71" s="199"/>
      <c r="C71" s="223">
        <v>0</v>
      </c>
    </row>
    <row r="72" ht="35" customHeight="1" spans="1:3">
      <c r="A72" s="50" t="s">
        <v>81</v>
      </c>
      <c r="B72" s="199"/>
      <c r="C72" s="223">
        <v>0</v>
      </c>
    </row>
    <row r="73" ht="35" customHeight="1" spans="1:3">
      <c r="A73" s="50" t="s">
        <v>82</v>
      </c>
      <c r="B73" s="199"/>
      <c r="C73" s="223">
        <v>0</v>
      </c>
    </row>
    <row r="74" ht="35" customHeight="1" spans="1:3">
      <c r="A74" s="50" t="s">
        <v>83</v>
      </c>
      <c r="B74" s="199"/>
      <c r="C74" s="223">
        <v>0</v>
      </c>
    </row>
    <row r="75" ht="35" customHeight="1" spans="1:3">
      <c r="A75" s="50"/>
      <c r="B75" s="199"/>
      <c r="C75" s="223">
        <v>0</v>
      </c>
    </row>
    <row r="76" ht="35" customHeight="1" spans="1:3">
      <c r="A76" s="50"/>
      <c r="B76" s="199"/>
      <c r="C76" s="223">
        <v>0</v>
      </c>
    </row>
    <row r="77" ht="35" customHeight="1" spans="1:3">
      <c r="A77" s="50"/>
      <c r="B77" s="199"/>
      <c r="C77" s="223">
        <v>0</v>
      </c>
    </row>
    <row r="78" ht="35" customHeight="1" spans="1:3">
      <c r="A78" s="50"/>
      <c r="B78" s="199"/>
      <c r="C78" s="223">
        <v>0</v>
      </c>
    </row>
    <row r="79" ht="35" customHeight="1" spans="1:3">
      <c r="A79" s="50"/>
      <c r="B79" s="199"/>
      <c r="C79" s="223">
        <v>0</v>
      </c>
    </row>
    <row r="80" ht="35" customHeight="1" spans="1:3">
      <c r="A80" s="224"/>
      <c r="B80" s="225" t="s">
        <v>78</v>
      </c>
      <c r="C80" s="223">
        <f>SUM(C71:C79)</f>
        <v>0</v>
      </c>
    </row>
    <row r="81" ht="35" customHeight="1" spans="1:3">
      <c r="A81" s="196" t="s">
        <v>84</v>
      </c>
      <c r="B81" s="197"/>
      <c r="C81" s="198"/>
    </row>
    <row r="82" ht="35" customHeight="1" spans="1:3">
      <c r="A82" s="50" t="s">
        <v>85</v>
      </c>
      <c r="B82" s="201" t="s">
        <v>86</v>
      </c>
      <c r="C82" s="36">
        <v>0</v>
      </c>
    </row>
    <row r="83" ht="35" customHeight="1" spans="1:3">
      <c r="A83" s="226" t="s">
        <v>87</v>
      </c>
      <c r="B83" s="199" t="s">
        <v>88</v>
      </c>
      <c r="C83" s="36">
        <v>0</v>
      </c>
    </row>
    <row r="84" ht="35" customHeight="1" spans="1:3">
      <c r="A84" s="51"/>
      <c r="B84" s="199"/>
      <c r="C84" s="36">
        <v>0</v>
      </c>
    </row>
    <row r="85" ht="35" customHeight="1" spans="1:3">
      <c r="A85" s="50"/>
      <c r="B85" s="199"/>
      <c r="C85" s="36">
        <v>0</v>
      </c>
    </row>
    <row r="86" ht="35" customHeight="1" spans="1:3">
      <c r="A86" s="50"/>
      <c r="B86" s="199"/>
      <c r="C86" s="36">
        <v>0</v>
      </c>
    </row>
    <row r="87" ht="35" customHeight="1" spans="1:3">
      <c r="A87" s="50"/>
      <c r="B87" s="199"/>
      <c r="C87" s="36">
        <v>0</v>
      </c>
    </row>
    <row r="88" ht="35" customHeight="1" spans="1:3">
      <c r="A88" s="50"/>
      <c r="B88" s="199"/>
      <c r="C88" s="36">
        <v>0</v>
      </c>
    </row>
    <row r="89" ht="35" customHeight="1" spans="1:3">
      <c r="A89" s="224"/>
      <c r="B89" s="225" t="s">
        <v>78</v>
      </c>
      <c r="C89" s="36">
        <f>SUM(C82:C88)</f>
        <v>0</v>
      </c>
    </row>
    <row r="90" ht="35" customHeight="1" spans="1:3">
      <c r="A90" s="196" t="s">
        <v>89</v>
      </c>
      <c r="B90" s="197"/>
      <c r="C90" s="198"/>
    </row>
    <row r="91" ht="35" customHeight="1" spans="1:3">
      <c r="A91" s="227" t="s">
        <v>90</v>
      </c>
      <c r="B91" s="228"/>
      <c r="C91" s="223">
        <v>0</v>
      </c>
    </row>
    <row r="92" ht="35" customHeight="1" spans="1:3">
      <c r="A92" s="51"/>
      <c r="B92" s="199"/>
      <c r="C92" s="223">
        <v>0</v>
      </c>
    </row>
    <row r="93" ht="35" customHeight="1" spans="1:3">
      <c r="A93" s="51"/>
      <c r="B93" s="199"/>
      <c r="C93" s="223">
        <v>0</v>
      </c>
    </row>
    <row r="94" ht="35" customHeight="1" spans="1:3">
      <c r="A94" s="50"/>
      <c r="B94" s="199"/>
      <c r="C94" s="223">
        <v>0</v>
      </c>
    </row>
    <row r="95" ht="35" customHeight="1" spans="1:3">
      <c r="A95" s="50"/>
      <c r="B95" s="199"/>
      <c r="C95" s="223">
        <v>0</v>
      </c>
    </row>
    <row r="96" ht="35" customHeight="1" spans="1:3">
      <c r="A96" s="50"/>
      <c r="B96" s="199"/>
      <c r="C96" s="223">
        <v>0</v>
      </c>
    </row>
    <row r="97" ht="35" customHeight="1" spans="1:3">
      <c r="A97" s="50"/>
      <c r="B97" s="199"/>
      <c r="C97" s="223">
        <v>0</v>
      </c>
    </row>
    <row r="98" ht="35" customHeight="1" spans="1:3">
      <c r="A98" s="50"/>
      <c r="B98" s="199"/>
      <c r="C98" s="223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6" t="s">
        <v>91</v>
      </c>
      <c r="B100" s="197"/>
      <c r="C100" s="198"/>
    </row>
    <row r="101" ht="35" customHeight="1" spans="1:3">
      <c r="A101" s="50" t="s">
        <v>92</v>
      </c>
      <c r="B101" s="229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9"/>
      <c r="C105" s="223">
        <v>0</v>
      </c>
    </row>
    <row r="106" ht="35" customHeight="1" spans="1:3">
      <c r="A106" s="50"/>
      <c r="B106" s="199"/>
      <c r="C106" s="223">
        <v>0</v>
      </c>
    </row>
    <row r="107" ht="35" customHeight="1" spans="1:3">
      <c r="A107" s="50"/>
      <c r="B107" s="199"/>
      <c r="C107" s="223">
        <v>0</v>
      </c>
    </row>
    <row r="108" ht="35" customHeight="1" spans="1:3">
      <c r="A108" s="50"/>
      <c r="B108" s="199"/>
      <c r="C108" s="223">
        <v>0</v>
      </c>
    </row>
    <row r="109" ht="35" customHeight="1" spans="1:3">
      <c r="A109" s="51"/>
      <c r="B109" s="39" t="s">
        <v>78</v>
      </c>
      <c r="C109" s="223">
        <f>SUM(C101:C108)</f>
        <v>1060</v>
      </c>
    </row>
    <row r="110" ht="35" customHeight="1" spans="1:3">
      <c r="A110" s="49"/>
      <c r="B110" s="39" t="s">
        <v>100</v>
      </c>
      <c r="C110" s="223">
        <f>C69+C80+C89+C99+C109</f>
        <v>1503</v>
      </c>
    </row>
    <row r="111" ht="35" customHeight="1" spans="1:3">
      <c r="A111" s="196" t="s">
        <v>101</v>
      </c>
      <c r="B111" s="197"/>
      <c r="C111" s="198"/>
    </row>
    <row r="112" ht="35" customHeight="1" spans="1:8">
      <c r="A112" s="230" t="s">
        <v>102</v>
      </c>
      <c r="B112" s="231"/>
      <c r="C112" s="232">
        <v>14950</v>
      </c>
      <c r="D112" s="14"/>
      <c r="E112" s="94"/>
      <c r="F112" s="14"/>
      <c r="G112" s="14"/>
      <c r="H112" s="14"/>
    </row>
    <row r="113" ht="35" customHeight="1" spans="1:8">
      <c r="A113" s="230" t="s">
        <v>103</v>
      </c>
      <c r="B113" s="199"/>
      <c r="C113" s="233">
        <f>5000</f>
        <v>5000</v>
      </c>
      <c r="D113" s="14"/>
      <c r="E113" s="14"/>
      <c r="F113" s="14"/>
      <c r="G113" s="14"/>
      <c r="H113" s="14"/>
    </row>
    <row r="114" ht="35" customHeight="1" spans="1:8">
      <c r="A114" s="230" t="s">
        <v>104</v>
      </c>
      <c r="B114" s="199"/>
      <c r="C114" s="234">
        <f>3300</f>
        <v>3300</v>
      </c>
      <c r="D114" s="14"/>
      <c r="E114" s="14"/>
      <c r="F114" s="14"/>
      <c r="G114" s="14"/>
      <c r="H114" s="14"/>
    </row>
    <row r="115" ht="35" customHeight="1" spans="1:8">
      <c r="A115" s="235" t="s">
        <v>105</v>
      </c>
      <c r="B115" s="199"/>
      <c r="C115" s="234">
        <v>0</v>
      </c>
      <c r="D115" s="14"/>
      <c r="E115" s="14"/>
      <c r="F115" s="14"/>
      <c r="G115" s="14"/>
      <c r="H115" s="14"/>
    </row>
    <row r="116" ht="35" customHeight="1" spans="1:8">
      <c r="A116" s="235" t="s">
        <v>106</v>
      </c>
      <c r="B116" s="199"/>
      <c r="C116" s="234">
        <v>0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9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9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9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9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9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24"/>
      <c r="B122" s="225" t="s">
        <v>108</v>
      </c>
      <c r="C122" s="223">
        <f>SUM(C112:C121)</f>
        <v>24333</v>
      </c>
    </row>
    <row r="123" ht="35" customHeight="1" spans="1:3">
      <c r="A123" s="224"/>
      <c r="B123" s="225" t="s">
        <v>109</v>
      </c>
      <c r="C123" s="36">
        <f>C122+C110</f>
        <v>25836</v>
      </c>
    </row>
    <row r="124" ht="35" customHeight="1" spans="5:5">
      <c r="E124" s="236"/>
    </row>
    <row r="125" ht="35" customHeight="1" spans="5:5">
      <c r="E125" s="236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7"/>
      <c r="D156" s="237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4" t="s">
        <v>117</v>
      </c>
      <c r="D169" s="114"/>
      <c r="E169" s="98">
        <v>140</v>
      </c>
    </row>
    <row r="170" ht="35" customHeight="1" spans="1:5">
      <c r="A170" s="62"/>
      <c r="B170" s="63"/>
      <c r="C170" s="114" t="s">
        <v>118</v>
      </c>
      <c r="D170" s="114"/>
      <c r="E170" s="98">
        <v>68</v>
      </c>
    </row>
    <row r="171" ht="35" customHeight="1" spans="1:5">
      <c r="A171" s="62"/>
      <c r="B171" s="63"/>
      <c r="C171" s="114" t="s">
        <v>119</v>
      </c>
      <c r="D171" s="114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7"/>
      <c r="D183" s="237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4" t="s">
        <v>121</v>
      </c>
      <c r="D185" s="114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4" t="s">
        <v>123</v>
      </c>
      <c r="D196" s="114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4" t="s">
        <v>125</v>
      </c>
      <c r="D198" s="114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formatCells="0" formatColumns="0" formatRows="0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0" workbookViewId="0">
      <selection activeCell="A51" sqref="A51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694.21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-11683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7" t="s">
        <v>131</v>
      </c>
      <c r="B10" s="148" t="s">
        <v>52</v>
      </c>
      <c r="C10" s="149"/>
      <c r="D10" s="150" t="s">
        <v>53</v>
      </c>
      <c r="E10" s="156"/>
      <c r="F10" s="41">
        <v>2405</v>
      </c>
      <c r="G10" s="42"/>
      <c r="H10" s="14"/>
      <c r="I10" s="47"/>
    </row>
    <row r="11" ht="24.75" customHeight="1" spans="1:9">
      <c r="A11" s="147"/>
      <c r="B11" s="119" t="s">
        <v>132</v>
      </c>
      <c r="C11" s="120"/>
      <c r="D11" s="138"/>
      <c r="E11" s="157"/>
      <c r="F11" s="41">
        <v>27</v>
      </c>
      <c r="G11" s="42"/>
      <c r="H11" s="14"/>
      <c r="I11" s="47"/>
    </row>
    <row r="12" ht="24.75" customHeight="1" spans="1:9">
      <c r="A12" s="147"/>
      <c r="B12" s="119" t="s">
        <v>133</v>
      </c>
      <c r="C12" s="120"/>
      <c r="D12" s="138"/>
      <c r="E12" s="157"/>
      <c r="F12" s="41">
        <v>17</v>
      </c>
      <c r="G12" s="42"/>
      <c r="H12" s="14"/>
      <c r="I12" s="47"/>
    </row>
    <row r="13" ht="24.75" customHeight="1" spans="1:9">
      <c r="A13" s="147" t="s">
        <v>134</v>
      </c>
      <c r="B13" s="151" t="s">
        <v>135</v>
      </c>
      <c r="C13" s="152"/>
      <c r="D13" s="138"/>
      <c r="E13" s="157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7" t="s">
        <v>136</v>
      </c>
      <c r="B22" s="148" t="s">
        <v>137</v>
      </c>
      <c r="C22" s="149"/>
      <c r="D22" s="148" t="s">
        <v>138</v>
      </c>
      <c r="E22" s="156"/>
      <c r="F22" s="158">
        <v>411.5</v>
      </c>
      <c r="G22" s="159"/>
      <c r="H22" s="14"/>
      <c r="I22" s="47"/>
    </row>
    <row r="23" ht="46" customHeight="1" spans="1:9">
      <c r="A23" s="147" t="s">
        <v>139</v>
      </c>
      <c r="B23" s="119" t="s">
        <v>140</v>
      </c>
      <c r="C23" s="120"/>
      <c r="D23" s="153" t="s">
        <v>141</v>
      </c>
      <c r="E23" s="160"/>
      <c r="F23" s="7">
        <v>900</v>
      </c>
      <c r="G23" s="7"/>
      <c r="H23" s="14"/>
      <c r="I23" s="47"/>
    </row>
    <row r="24" ht="24.75" customHeight="1" spans="1:9">
      <c r="A24" s="147" t="s">
        <v>142</v>
      </c>
      <c r="B24" s="119" t="s">
        <v>52</v>
      </c>
      <c r="C24" s="120"/>
      <c r="D24" s="138" t="s">
        <v>53</v>
      </c>
      <c r="E24" s="157"/>
      <c r="F24" s="106">
        <v>2405</v>
      </c>
      <c r="G24" s="107"/>
      <c r="H24" s="14"/>
      <c r="I24" s="47"/>
    </row>
    <row r="25" ht="24.75" customHeight="1" spans="1:9">
      <c r="A25" s="147"/>
      <c r="B25" s="119" t="s">
        <v>133</v>
      </c>
      <c r="C25" s="120"/>
      <c r="D25" s="138"/>
      <c r="E25" s="157"/>
      <c r="F25" s="41">
        <v>17</v>
      </c>
      <c r="G25" s="42"/>
      <c r="H25" s="14"/>
      <c r="I25" s="47"/>
    </row>
    <row r="26" ht="24.75" customHeight="1" spans="1:9">
      <c r="A26" s="147"/>
      <c r="B26" s="119" t="s">
        <v>132</v>
      </c>
      <c r="C26" s="120"/>
      <c r="D26" s="138"/>
      <c r="E26" s="130"/>
      <c r="F26" s="161">
        <v>27</v>
      </c>
      <c r="G26" s="42"/>
      <c r="H26" s="14"/>
      <c r="I26" s="47"/>
    </row>
    <row r="27" ht="32" customHeight="1" spans="1:9">
      <c r="A27" s="147" t="s">
        <v>143</v>
      </c>
      <c r="B27" s="151" t="s">
        <v>66</v>
      </c>
      <c r="C27" s="152"/>
      <c r="D27" s="154" t="s">
        <v>144</v>
      </c>
      <c r="E27" s="162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7" t="s">
        <v>145</v>
      </c>
      <c r="B34" s="148" t="s">
        <v>66</v>
      </c>
      <c r="C34" s="149"/>
      <c r="D34" s="150" t="s">
        <v>144</v>
      </c>
      <c r="E34" s="156"/>
      <c r="F34" s="158">
        <v>0</v>
      </c>
      <c r="G34" s="159"/>
      <c r="H34" s="14"/>
      <c r="I34" s="47"/>
    </row>
    <row r="35" ht="24.75" customHeight="1" spans="1:9">
      <c r="A35" s="147"/>
      <c r="B35" s="119" t="s">
        <v>146</v>
      </c>
      <c r="C35" s="120"/>
      <c r="D35" s="138"/>
      <c r="E35" s="163"/>
      <c r="F35" s="7">
        <v>270</v>
      </c>
      <c r="G35" s="7"/>
      <c r="H35" s="14"/>
      <c r="I35" s="47"/>
    </row>
    <row r="36" ht="24.75" customHeight="1" spans="1:9">
      <c r="A36" s="147" t="s">
        <v>145</v>
      </c>
      <c r="B36" s="119" t="s">
        <v>52</v>
      </c>
      <c r="C36" s="120"/>
      <c r="D36" s="138" t="s">
        <v>53</v>
      </c>
      <c r="E36" s="163"/>
      <c r="F36" s="7">
        <v>2405</v>
      </c>
      <c r="G36" s="7"/>
      <c r="H36" s="14"/>
      <c r="I36" s="48"/>
    </row>
    <row r="37" ht="24.75" customHeight="1" spans="1:9">
      <c r="A37" s="147"/>
      <c r="B37" s="119" t="s">
        <v>147</v>
      </c>
      <c r="C37" s="120"/>
      <c r="D37" s="138"/>
      <c r="E37" s="163"/>
      <c r="F37" s="7">
        <v>204</v>
      </c>
      <c r="G37" s="7"/>
      <c r="H37" s="14"/>
      <c r="I37" s="47"/>
    </row>
    <row r="38" ht="24.75" customHeight="1" spans="1:9">
      <c r="A38" s="147" t="s">
        <v>145</v>
      </c>
      <c r="B38" s="119" t="s">
        <v>148</v>
      </c>
      <c r="C38" s="120"/>
      <c r="D38" s="138"/>
      <c r="E38" s="157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5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5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5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5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20.2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64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-11683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-13711.5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4" t="s">
        <v>153</v>
      </c>
      <c r="D129" s="114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4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4" t="s">
        <v>155</v>
      </c>
      <c r="D131" s="114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4" t="s">
        <v>156</v>
      </c>
      <c r="D132" s="114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40" t="s">
        <v>157</v>
      </c>
      <c r="D133" s="140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4" t="s">
        <v>123</v>
      </c>
      <c r="D156" s="114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4" t="s">
        <v>159</v>
      </c>
      <c r="D157" s="114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4" t="s">
        <v>160</v>
      </c>
      <c r="D158" s="114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4" t="s">
        <v>161</v>
      </c>
      <c r="D159" s="114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40" t="s">
        <v>157</v>
      </c>
      <c r="D160" s="140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163</v>
      </c>
      <c r="D172" s="114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4" t="s">
        <v>158</v>
      </c>
      <c r="D174" s="114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4" t="s">
        <v>161</v>
      </c>
      <c r="D183" s="114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4" t="s">
        <v>164</v>
      </c>
      <c r="D184" s="114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4" t="s">
        <v>165</v>
      </c>
      <c r="D185" s="114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5" t="s">
        <v>157</v>
      </c>
      <c r="D188" s="166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82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364.840000000001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-10683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30" t="s">
        <v>144</v>
      </c>
      <c r="E10" s="138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30" t="s">
        <v>170</v>
      </c>
      <c r="E11" s="138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30" t="s">
        <v>172</v>
      </c>
      <c r="E12" s="138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30" t="s">
        <v>53</v>
      </c>
      <c r="E13" s="138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30" t="s">
        <v>53</v>
      </c>
      <c r="E14" s="138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30" t="s">
        <v>53</v>
      </c>
      <c r="E15" s="138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21"/>
      <c r="D22" s="97" t="s">
        <v>144</v>
      </c>
      <c r="E22" s="122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21"/>
      <c r="D23" s="97" t="s">
        <v>53</v>
      </c>
      <c r="E23" s="122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21"/>
      <c r="D25" s="96" t="s">
        <v>183</v>
      </c>
      <c r="E25" s="121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21"/>
      <c r="D26" s="97" t="s">
        <v>186</v>
      </c>
      <c r="E26" s="122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21"/>
      <c r="D27" s="96" t="s">
        <v>189</v>
      </c>
      <c r="E27" s="121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31" t="s">
        <v>66</v>
      </c>
      <c r="C34" s="132"/>
      <c r="D34" s="97" t="s">
        <v>144</v>
      </c>
      <c r="E34" s="122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31" t="s">
        <v>52</v>
      </c>
      <c r="C35" s="132"/>
      <c r="D35" s="97" t="s">
        <v>53</v>
      </c>
      <c r="E35" s="122"/>
      <c r="F35" s="7">
        <v>2405</v>
      </c>
      <c r="G35" s="7"/>
      <c r="H35" s="14"/>
      <c r="I35" s="47"/>
    </row>
    <row r="36" ht="30" customHeight="1" spans="1:9">
      <c r="A36" s="95"/>
      <c r="B36" s="131" t="s">
        <v>192</v>
      </c>
      <c r="C36" s="132"/>
      <c r="D36" s="97" t="s">
        <v>193</v>
      </c>
      <c r="E36" s="122"/>
      <c r="F36" s="7">
        <v>900</v>
      </c>
      <c r="G36" s="7"/>
      <c r="H36" s="14"/>
      <c r="I36" s="48"/>
    </row>
    <row r="37" ht="210" customHeight="1" spans="1:9">
      <c r="A37" s="133" t="s">
        <v>194</v>
      </c>
      <c r="B37" s="134" t="s">
        <v>195</v>
      </c>
      <c r="C37" s="135"/>
      <c r="D37" s="134" t="s">
        <v>196</v>
      </c>
      <c r="E37" s="135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31" t="s">
        <v>197</v>
      </c>
      <c r="C38" s="132"/>
      <c r="D38" s="131" t="s">
        <v>198</v>
      </c>
      <c r="E38" s="132"/>
      <c r="F38" s="7">
        <v>200</v>
      </c>
      <c r="G38" s="7"/>
      <c r="H38" s="14"/>
      <c r="I38" s="47"/>
    </row>
    <row r="39" ht="30" customHeight="1" spans="1:9">
      <c r="A39" s="95"/>
      <c r="B39" s="136" t="s">
        <v>199</v>
      </c>
      <c r="C39" s="137"/>
      <c r="D39" s="136" t="s">
        <v>200</v>
      </c>
      <c r="E39" s="137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9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-10683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-12052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4" t="s">
        <v>201</v>
      </c>
      <c r="D120" s="114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4" t="s">
        <v>203</v>
      </c>
      <c r="D130" s="114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4" t="s">
        <v>204</v>
      </c>
      <c r="D131" s="114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40" t="s">
        <v>157</v>
      </c>
      <c r="D132" s="140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6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4" t="s">
        <v>206</v>
      </c>
      <c r="D147" s="114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41" t="s">
        <v>157</v>
      </c>
      <c r="D158" s="141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42" t="s">
        <v>115</v>
      </c>
      <c r="D172" s="142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43"/>
      <c r="D173" s="144"/>
      <c r="E173" s="146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42" t="s">
        <v>158</v>
      </c>
      <c r="D174" s="142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42" t="s">
        <v>209</v>
      </c>
      <c r="D183" s="142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42" t="s">
        <v>210</v>
      </c>
      <c r="D184" s="142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42" t="s">
        <v>211</v>
      </c>
      <c r="D185" s="142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42" t="s">
        <v>212</v>
      </c>
      <c r="D186" s="142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5" t="s">
        <v>157</v>
      </c>
      <c r="D187" s="142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" workbookViewId="0">
      <selection activeCell="F184" sqref="F184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191.500000000001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383.000000000001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-6983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21"/>
      <c r="D10" s="97" t="s">
        <v>53</v>
      </c>
      <c r="E10" s="122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21"/>
      <c r="D11" s="97" t="s">
        <v>144</v>
      </c>
      <c r="E11" s="122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2" t="s">
        <v>53</v>
      </c>
      <c r="E34" s="126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2" t="s">
        <v>144</v>
      </c>
      <c r="E35" s="126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2" t="s">
        <v>226</v>
      </c>
      <c r="E36" s="126"/>
      <c r="F36" s="7">
        <v>50</v>
      </c>
      <c r="G36" s="7"/>
      <c r="H36" s="14"/>
      <c r="I36" s="48"/>
    </row>
    <row r="37" ht="24.75" customHeight="1" spans="1:9">
      <c r="A37" s="123" t="s">
        <v>232</v>
      </c>
      <c r="B37" s="124" t="s">
        <v>104</v>
      </c>
      <c r="C37" s="125"/>
      <c r="D37" s="124" t="s">
        <v>233</v>
      </c>
      <c r="E37" s="125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24.75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4047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-6983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-7380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239</v>
      </c>
      <c r="D118" s="114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9" t="s">
        <v>242</v>
      </c>
      <c r="D131" s="120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243</v>
      </c>
      <c r="D172" s="114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864.7</v>
      </c>
      <c r="F184" s="14"/>
      <c r="G184" s="14"/>
      <c r="H184" s="14"/>
      <c r="I184" s="47"/>
    </row>
    <row r="185" ht="24.75" customHeight="1" spans="1:9">
      <c r="A185" s="62"/>
      <c r="B185" s="63"/>
      <c r="C185" s="127" t="s">
        <v>250</v>
      </c>
      <c r="D185" s="128"/>
      <c r="E185" s="129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191.500000000001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160" sqref="C160:D160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1864.9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2056.4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96" t="s">
        <v>253</v>
      </c>
      <c r="C13" s="96"/>
      <c r="D13" s="97" t="s">
        <v>254</v>
      </c>
      <c r="E13" s="97"/>
      <c r="F13" s="7">
        <v>0</v>
      </c>
      <c r="G13" s="7"/>
      <c r="H13" s="14"/>
      <c r="I13" s="47"/>
    </row>
    <row r="14" ht="25" customHeight="1" spans="1:9">
      <c r="A14" s="19"/>
      <c r="B14" s="21"/>
      <c r="C14" s="22"/>
      <c r="D14" s="21"/>
      <c r="E14" s="22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255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5"/>
      <c r="B24" s="116" t="s">
        <v>52</v>
      </c>
      <c r="C24" s="116"/>
      <c r="D24" s="117" t="s">
        <v>256</v>
      </c>
      <c r="E24" s="117"/>
      <c r="F24" s="118">
        <v>1035</v>
      </c>
      <c r="G24" s="118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191.500000000001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258</v>
      </c>
      <c r="D118" s="114"/>
      <c r="E118" s="36">
        <v>500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259</v>
      </c>
      <c r="D129" s="114"/>
      <c r="E129" s="98">
        <v>125</v>
      </c>
      <c r="F129" s="14"/>
      <c r="G129" s="14"/>
      <c r="H129" s="14"/>
      <c r="I129" s="47"/>
    </row>
    <row r="130" ht="40" customHeight="1" spans="1:9">
      <c r="A130" s="62"/>
      <c r="B130" s="63"/>
      <c r="C130" s="119" t="s">
        <v>260</v>
      </c>
      <c r="D130" s="12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1018.3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1018.3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/>
      <c r="D145" s="114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261</v>
      </c>
      <c r="D156" s="100"/>
      <c r="E156" s="98">
        <v>719</v>
      </c>
      <c r="F156" s="14"/>
      <c r="G156" s="14"/>
      <c r="H156" s="14"/>
      <c r="I156" s="47"/>
    </row>
    <row r="157" ht="20" customHeight="1" spans="1:9">
      <c r="A157" s="62"/>
      <c r="B157" s="63"/>
      <c r="C157" s="100" t="s">
        <v>262</v>
      </c>
      <c r="D157" s="100"/>
      <c r="E157" s="98">
        <v>586.2</v>
      </c>
      <c r="F157" s="14"/>
      <c r="G157" s="14"/>
      <c r="H157" s="14"/>
      <c r="I157" s="47"/>
    </row>
    <row r="158" ht="25" customHeight="1" spans="1:9">
      <c r="A158" s="62"/>
      <c r="B158" s="63"/>
      <c r="C158" s="72" t="s">
        <v>263</v>
      </c>
      <c r="D158" s="73"/>
      <c r="E158" s="86">
        <v>1598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1188.1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1188.1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264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1864.9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4" priority="37" operator="greaterThanOrEqual">
      <formula>0</formula>
    </cfRule>
    <cfRule type="cellIs" dxfId="5" priority="36" operator="lessThan">
      <formula>0</formula>
    </cfRule>
  </conditionalFormatting>
  <conditionalFormatting sqref="E118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36">
    <cfRule type="cellIs" dxfId="4" priority="68" operator="greaterThanOrEqual">
      <formula>0</formula>
    </cfRule>
    <cfRule type="cellIs" dxfId="5" priority="67" operator="lessThan">
      <formula>0</formula>
    </cfRule>
  </conditionalFormatting>
  <conditionalFormatting sqref="E14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45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6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7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72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4">
    <cfRule type="cellIs" dxfId="7" priority="10" operator="equal">
      <formula>0</formula>
    </cfRule>
  </conditionalFormatting>
  <conditionalFormatting sqref="E19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6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3" priority="44" operator="greaterThanOrEqual">
      <formula>0</formula>
    </cfRule>
  </conditionalFormatting>
  <conditionalFormatting sqref="E119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6" priority="9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2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44 E155 E158:E162">
    <cfRule type="cellIs" dxfId="3" priority="58" operator="equal">
      <formula>0</formula>
    </cfRule>
  </conditionalFormatting>
  <conditionalFormatting sqref="E171 E182 E185:E189">
    <cfRule type="cellIs" dxfId="3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0" workbookViewId="0">
      <selection activeCell="D88" sqref="D88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4057.3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4248.8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266</v>
      </c>
      <c r="C12" s="96"/>
      <c r="D12" s="97" t="s">
        <v>267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268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269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270</v>
      </c>
      <c r="C36" s="111"/>
      <c r="D36" s="110" t="s">
        <v>271</v>
      </c>
      <c r="E36" s="111"/>
      <c r="F36" s="112">
        <v>0</v>
      </c>
      <c r="G36" s="113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1864.9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272</v>
      </c>
      <c r="D129" s="100"/>
      <c r="E129" s="98">
        <v>669</v>
      </c>
      <c r="F129" s="14"/>
      <c r="G129" s="14"/>
      <c r="H129" s="14"/>
      <c r="I129" s="47"/>
    </row>
    <row r="130" ht="149" customHeight="1" spans="1:9">
      <c r="A130" s="62"/>
      <c r="B130" s="63"/>
      <c r="C130" s="100" t="s">
        <v>273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2647.7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2647.7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 t="s">
        <v>115</v>
      </c>
      <c r="D145" s="114"/>
      <c r="E145" s="98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274</v>
      </c>
      <c r="D156" s="100"/>
      <c r="E156" s="98">
        <v>825</v>
      </c>
      <c r="F156" s="14"/>
      <c r="G156" s="14"/>
      <c r="H156" s="14"/>
      <c r="I156" s="47"/>
    </row>
    <row r="157" ht="150" customHeight="1" spans="1:9">
      <c r="A157" s="62"/>
      <c r="B157" s="63"/>
      <c r="C157" s="100" t="s">
        <v>273</v>
      </c>
      <c r="D157" s="100"/>
      <c r="E157" s="98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3274.5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3274.5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272</v>
      </c>
      <c r="D183" s="100"/>
      <c r="E183" s="98">
        <v>669</v>
      </c>
      <c r="F183" s="14"/>
      <c r="G183" s="14"/>
      <c r="H183" s="14"/>
      <c r="I183" s="47"/>
    </row>
    <row r="184" ht="163" customHeight="1" spans="1:9">
      <c r="A184" s="62"/>
      <c r="B184" s="63"/>
      <c r="C184" s="100" t="s">
        <v>273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4057.3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90">
    <cfRule type="cellIs" dxfId="7" priority="19" operator="equal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18">
    <cfRule type="cellIs" dxfId="6" priority="17" operator="equal">
      <formula>0</formula>
    </cfRule>
  </conditionalFormatting>
  <conditionalFormatting sqref="E129">
    <cfRule type="cellIs" dxfId="6" priority="16" operator="equal">
      <formula>0</formula>
    </cfRule>
  </conditionalFormatting>
  <conditionalFormatting sqref="E130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45">
    <cfRule type="cellIs" dxfId="6" priority="11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6" priority="5" operator="equal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5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7:C90">
    <cfRule type="cellIs" dxfId="6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9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6:E15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E151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77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8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6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6" workbookViewId="0">
      <selection activeCell="D91" sqref="D91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5958.7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6150.2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275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276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277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4057.3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264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4734.1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4734.1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278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5466.9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5466.9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279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5958.7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6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6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6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7" workbookViewId="0">
      <selection activeCell="F107" sqref="F107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7856.1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8047.6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5958.7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283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6741.5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6741.5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7073.3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7073.3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7856.1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4" workbookViewId="0">
      <selection activeCell="C88" sqref="C88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9462.5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9654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7856.1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289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8347.9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8347.9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8970.7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8970.7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291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9462.5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0" workbookViewId="0">
      <selection activeCell="D96" sqref="D96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11359.9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11551.4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9462.5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10245.3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10245.3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10577.1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10577.1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295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11359.9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12966.3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13157.8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11359.9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11851.7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11851.7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12474.5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12474.5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12966.3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14863.7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15055.2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12966.3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13749.1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13749.1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284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14080.9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14080.9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14863.7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75" workbookViewId="0">
      <selection activeCell="D88" sqref="D88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-6880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14863.7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15355.5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15355.5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15978.3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15978.3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E89" sqref="E89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300</v>
      </c>
      <c r="C102" s="36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14" sqref="F11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-6483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-5400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-6483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-6483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2025-03-17T13:27:00Z</dcterms:created>
  <dcterms:modified xsi:type="dcterms:W3CDTF">2025-04-15T04:07:51Z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