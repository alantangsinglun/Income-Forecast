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560"/>
  </bookViews>
  <sheets>
    <sheet name="Cover Page" sheetId="18" r:id="rId1"/>
    <sheet name="Main" sheetId="3" r:id="rId2"/>
    <sheet name="April 2024 - June 2024" sheetId="1" r:id="rId3"/>
    <sheet name="July 2024 - September 2024" sheetId="2" r:id="rId4"/>
    <sheet name="October 2024 - December 2024" sheetId="4" r:id="rId5"/>
    <sheet name="January 2025 - March 2025" sheetId="5" r:id="rId6"/>
    <sheet name="April 2025 - June 2025" sheetId="6" r:id="rId7"/>
    <sheet name="July 2025 - September 2025" sheetId="7" r:id="rId8"/>
    <sheet name="October 2025 - December 2025" sheetId="8" r:id="rId9"/>
    <sheet name="January 2026 - March 2026" sheetId="9" r:id="rId10"/>
    <sheet name="April 2026 - June 2026" sheetId="10" r:id="rId11"/>
    <sheet name="July 2026 - September 2026" sheetId="11" r:id="rId12"/>
    <sheet name="October 2026 - December 2026" sheetId="12" r:id="rId13"/>
    <sheet name="January 2027 - March 2027" sheetId="13" r:id="rId14"/>
    <sheet name="April 2027 - June 2027" sheetId="14" r:id="rId15"/>
    <sheet name="Forecast_14" sheetId="15" r:id="rId16"/>
    <sheet name="Forecast_15" sheetId="16" r:id="rId17"/>
    <sheet name="Forecast_16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<sst xmlns="http://schemas.openxmlformats.org/spreadsheetml/2006/main" count="1534" uniqueCount="306">
  <si>
    <t>Income Forecast</t>
  </si>
  <si>
    <t>Your Personal Finance Organizer</t>
  </si>
  <si>
    <t>Money In Terms Of
(tens, hundred, thousands, millions)</t>
  </si>
  <si>
    <t>tens</t>
  </si>
  <si>
    <t>A Month
(TRUE or FALSE)</t>
  </si>
  <si>
    <t>Date Range Start From
(dd/mm/yyyy)</t>
  </si>
  <si>
    <t>Date Range End To
(A month dd/mm/yyyy)</t>
  </si>
  <si>
    <t>Specify Date Range End To
(dd/mm/yyyy)
(If a month is not checked)</t>
  </si>
  <si>
    <t>Work Sheet Name</t>
  </si>
  <si>
    <t>April 2024 - June 2024</t>
  </si>
  <si>
    <t>July 2024 - September 2024</t>
  </si>
  <si>
    <t>October 2024 - December 2024</t>
  </si>
  <si>
    <t>January 2025 - March 2025</t>
  </si>
  <si>
    <t>April 2025 - June 2025</t>
  </si>
  <si>
    <t>July 2025 - September 2025</t>
  </si>
  <si>
    <t>October 2025 - December 2025</t>
  </si>
  <si>
    <t>January 2026 - March 2026</t>
  </si>
  <si>
    <t>April 2026 - June 2026</t>
  </si>
  <si>
    <t>July 2026 - September 2026</t>
  </si>
  <si>
    <t>October 2026 - December 2026</t>
  </si>
  <si>
    <t>January 2027 - March 2027</t>
  </si>
  <si>
    <t>April 2027 - June 2027</t>
  </si>
  <si>
    <t>Forecast_14</t>
  </si>
  <si>
    <t>Forecast_15</t>
  </si>
  <si>
    <t>Forecast_16</t>
  </si>
  <si>
    <t>Monthly Balance</t>
  </si>
  <si>
    <t>Quarterly Debts</t>
  </si>
  <si>
    <t xml:space="preserve">Current </t>
  </si>
  <si>
    <t>Previous</t>
  </si>
  <si>
    <t>Date</t>
  </si>
  <si>
    <t>Last Balance</t>
  </si>
  <si>
    <t>Quarter</t>
  </si>
  <si>
    <t>Debts Amount</t>
  </si>
  <si>
    <t>Assets</t>
  </si>
  <si>
    <t>HSBC Bank Account</t>
  </si>
  <si>
    <t>cash</t>
  </si>
  <si>
    <t>Unit Trusts / Charity Trusts</t>
  </si>
  <si>
    <t>Bank Cheque From Tax</t>
  </si>
  <si>
    <t>Payment System (Alipay)</t>
  </si>
  <si>
    <t>Payment System (internet)</t>
  </si>
  <si>
    <t>Fixed Assest 
Properties / Data Centers</t>
  </si>
  <si>
    <t>Removable Assets</t>
  </si>
  <si>
    <t>Coins</t>
  </si>
  <si>
    <t>Google Play 
(play.google.com/redeem)</t>
  </si>
  <si>
    <t>yuu / MoneyBack / Bestmart 360</t>
  </si>
  <si>
    <t>Octopus Remain Value</t>
  </si>
  <si>
    <t>Starbucks Gold Card</t>
  </si>
  <si>
    <t>Total</t>
  </si>
  <si>
    <t>Name</t>
  </si>
  <si>
    <t>Description</t>
  </si>
  <si>
    <t>Amount</t>
  </si>
  <si>
    <t>17th January 2025</t>
  </si>
  <si>
    <t>Social Welfare</t>
  </si>
  <si>
    <t>N/A</t>
  </si>
  <si>
    <t>Total Revenue</t>
  </si>
  <si>
    <t>20th May 2024</t>
  </si>
  <si>
    <t>04th June 2024</t>
  </si>
  <si>
    <t>Additional half month</t>
  </si>
  <si>
    <t>7th June 2024</t>
  </si>
  <si>
    <t>Sosim</t>
  </si>
  <si>
    <t xml:space="preserve">Sosim Prepaid	</t>
  </si>
  <si>
    <t>18th June 2024</t>
  </si>
  <si>
    <t>Google Play Store Add in Value</t>
  </si>
  <si>
    <t>Add in Value Used For Sportify Monthly Fee</t>
  </si>
  <si>
    <t>20th June 2024</t>
  </si>
  <si>
    <t>24th June 2024</t>
  </si>
  <si>
    <t>Salary</t>
  </si>
  <si>
    <t>Salary From 24th June to End Of June - No MPF Deduction (not over 3 months)</t>
  </si>
  <si>
    <t xml:space="preserve">15th July 2024
15th July 2024
</t>
  </si>
  <si>
    <t>Prepaid HGC BroadBand - $204
Prepaid China Mobile - $207.5</t>
  </si>
  <si>
    <t>15th July 2024</t>
  </si>
  <si>
    <t>Last Salary</t>
  </si>
  <si>
    <t xml:space="preserve"> End Of Service - Last Salary Paid On 15th July 2024</t>
  </si>
  <si>
    <t>Mobile And Communications/ Housing Expenses</t>
  </si>
  <si>
    <t>Broadband</t>
  </si>
  <si>
    <t>China Mobile</t>
  </si>
  <si>
    <t>Telephone (Fixed Line)</t>
  </si>
  <si>
    <t>Birdie Sim Card 
Pay date (7th Of Each Month)</t>
  </si>
  <si>
    <t>Total Expenses</t>
  </si>
  <si>
    <t>Credit Card Installments/Government Installments</t>
  </si>
  <si>
    <t>Citi Bank</t>
  </si>
  <si>
    <t xml:space="preserve">SC Bank </t>
  </si>
  <si>
    <t>Bank Of China</t>
  </si>
  <si>
    <t>HSBC</t>
  </si>
  <si>
    <t>Donation</t>
  </si>
  <si>
    <t>Traversy</t>
  </si>
  <si>
    <t>Traversy Media</t>
  </si>
  <si>
    <t>Orbis</t>
  </si>
  <si>
    <t>Orbis Eye Flight</t>
  </si>
  <si>
    <t>Insurance (Personal / Properties / Medical)</t>
  </si>
  <si>
    <t>AIA</t>
  </si>
  <si>
    <t>Other Expenses</t>
  </si>
  <si>
    <t>Other Stuff</t>
  </si>
  <si>
    <t>Food, Transport….</t>
  </si>
  <si>
    <t>Entertainment</t>
  </si>
  <si>
    <t>Sportify Music / Changed to Apple Music on 13th May 2025</t>
  </si>
  <si>
    <t>Hair Cutting</t>
  </si>
  <si>
    <t>Hair Cut not Include Color treatment</t>
  </si>
  <si>
    <t>Cigarettes</t>
  </si>
  <si>
    <t>30 packets</t>
  </si>
  <si>
    <t>Grand Expenses Total</t>
  </si>
  <si>
    <t>Debts</t>
  </si>
  <si>
    <t>Mother</t>
  </si>
  <si>
    <t>Ng Wing Lam</t>
  </si>
  <si>
    <t>Lawrence</t>
  </si>
  <si>
    <t>Hong Kong Government Hospital Authority</t>
  </si>
  <si>
    <t>Bankruptcy Department / Bank</t>
  </si>
  <si>
    <t>Mother Air Ticket</t>
  </si>
  <si>
    <t>Total Debts</t>
  </si>
  <si>
    <t>Grand Total</t>
  </si>
  <si>
    <t>Principal</t>
  </si>
  <si>
    <t>1. Direct Payback</t>
  </si>
  <si>
    <t>2. Additional Expenses</t>
  </si>
  <si>
    <t>Fixed Expense</t>
  </si>
  <si>
    <r>
      <rPr>
        <b/>
        <sz val="11"/>
        <color rgb="FFFF0000"/>
        <rFont val="Arial"/>
        <charset val="134"/>
      </rPr>
      <t>Total Debts / </t>
    </r>
    <r>
      <rPr>
        <b/>
        <sz val="11"/>
        <color rgb="FF4A86E8"/>
        <rFont val="Arial"/>
        <charset val="134"/>
      </rPr>
      <t>Credits</t>
    </r>
  </si>
  <si>
    <t>Payback $0 to Mom</t>
  </si>
  <si>
    <t>Payback $1000 to Ng Wing Lam on 24th May 2024</t>
  </si>
  <si>
    <t>Additional Expense For Cigarette</t>
  </si>
  <si>
    <t>Sportify Music</t>
  </si>
  <si>
    <t>Hair Cutting And Bleaching</t>
  </si>
  <si>
    <t>Additional Expense
     - Expenses</t>
  </si>
  <si>
    <t>Payback $4500 to Mom</t>
  </si>
  <si>
    <t>Payback $4000 to Ng Wing Lam</t>
  </si>
  <si>
    <t>Additional Expense - Approximately</t>
  </si>
  <si>
    <t>Mom Salary For 7 days $2400 Per Month - $2400 / 30 days</t>
  </si>
  <si>
    <t>Half Day No Pay Leave</t>
  </si>
  <si>
    <t>Additional Expense 
- Cigarettes 20 Packets plus one packet ~ $700
- Delonghi Agent ~ $498
- Tp-link router ~ $368
- Prepaid HGC BroadBand ~ $204
- Prepaid China Mobile ~ $207.5
- Paid the Remaining Broadband Fees $187
- Shopping List for 18th July 2024 Approximately ~ $391.5</t>
  </si>
  <si>
    <t>Additional Expense - Not Recorded</t>
  </si>
  <si>
    <t>Overall</t>
  </si>
  <si>
    <t>Forecasts</t>
  </si>
  <si>
    <t>Net Debts:</t>
  </si>
  <si>
    <t>20th July 2024</t>
  </si>
  <si>
    <t>Balance the expense for Hair Cutting And Bleaching</t>
  </si>
  <si>
    <t>Original Expense Hair Cutting And Bleaching Expense is $62</t>
  </si>
  <si>
    <t>12th August 2024</t>
  </si>
  <si>
    <t>Borrowed $1500 From Lawrence</t>
  </si>
  <si>
    <t>16th August 2024
16th August 2024
1st September 2024</t>
  </si>
  <si>
    <t>1. HGC BroadBand Fee
2. China Mobile Fee
3. Broadband</t>
  </si>
  <si>
    <t>1. Last Payment Prepaid HGC Broadband Fee ~ $204
2. Prepaid China Mobile Fee ~ $ $207.5
3. Switch to China Mobile Broadband</t>
  </si>
  <si>
    <t>17th August 2024</t>
  </si>
  <si>
    <t>30 Packet of Cigarette</t>
  </si>
  <si>
    <t>Prepaid Cigarette Fee</t>
  </si>
  <si>
    <t>20th August 2024</t>
  </si>
  <si>
    <t>31st August 2024</t>
  </si>
  <si>
    <t>Deduct 5% MPF</t>
  </si>
  <si>
    <t>20th September 2024</t>
  </si>
  <si>
    <t>Food And Transport Expense Switched to $600 to $330</t>
  </si>
  <si>
    <t>HGC BroadBand End Of Service</t>
  </si>
  <si>
    <t>Cancel Color Treatment</t>
  </si>
  <si>
    <t xml:space="preserve">21th September 2024
21th September 2024
6th October 2024
</t>
  </si>
  <si>
    <t>1. Birthday Present From Lawrence - $1000
2. $100 From Lawrence
3. $500 From Lawrence
4. Sell Safe to Mom</t>
  </si>
  <si>
    <t xml:space="preserve">
2. Receive $100 HKD from Lawrence, no need to return back
3. Help Lawrence to print, scan the documents and export to PDF.
4. Sell Safe to Mom of the price $800
</t>
  </si>
  <si>
    <t>Payback $1000 to Mom</t>
  </si>
  <si>
    <t>Buy Microsoft Surface 13.8 Inches Laptop</t>
  </si>
  <si>
    <t xml:space="preserve">Additional Expense 
- Approximately ~ $788
- Gamble Lost ~ $318
- Cigarette ~ $600
- Nicotin Chew Gum ~ $264
- Additional For Cigarette ~ $60
- 30 Packet of Cigarette ~ $900
</t>
  </si>
  <si>
    <t>Prepaid HGC Broadband Fee</t>
  </si>
  <si>
    <t>Prepaid China Mobile Fee</t>
  </si>
  <si>
    <t>Balance with the Total Asset</t>
  </si>
  <si>
    <t>Payback $500 to Lawrence</t>
  </si>
  <si>
    <t>Water Services Department</t>
  </si>
  <si>
    <t>Demand Rates and Government Rent</t>
  </si>
  <si>
    <t>Additional For Cigarette</t>
  </si>
  <si>
    <t>Balance Brought Forward From July 2024</t>
  </si>
  <si>
    <t>Payback $1150 to Mom</t>
  </si>
  <si>
    <t>China Mobile broadband fee for 2 months</t>
  </si>
  <si>
    <t>HKT IDD last Payment $60</t>
  </si>
  <si>
    <t xml:space="preserve">Additional Expense:
     - Books From Amazon $927.22
     - $16 HKD For Bangkok Hotel Protection
     - Additional $3 HKD giving To Mom For Bangkok 
       Round trip Flight
     - Excess Expense -$0.3  </t>
  </si>
  <si>
    <t>31st October 2024</t>
  </si>
  <si>
    <t>26th September 2024</t>
  </si>
  <si>
    <t>China Mobile Broadband</t>
  </si>
  <si>
    <t>Prepaid October Broadband Fees</t>
  </si>
  <si>
    <t>18th October 2024</t>
  </si>
  <si>
    <t>Joox Refund - Total 3 Months</t>
  </si>
  <si>
    <t>Sportify Monthly Payment</t>
  </si>
  <si>
    <t>18th November 2024</t>
  </si>
  <si>
    <t>20th October 2024</t>
  </si>
  <si>
    <t>30th November 2024</t>
  </si>
  <si>
    <t>20th November 2024</t>
  </si>
  <si>
    <t>29rd November 2024
3rd December 2024
11th December 2024
17th December 2024
23rd November 2024
2nd December 2024</t>
  </si>
  <si>
    <t>1. Mother
2. Lawrence
3. Lawrence
4. Lawrence
5. WingOn Travel
6. Return Taxi Remaining</t>
  </si>
  <si>
    <t>1. Give $500 without return
2. Lawrence give $500 For Mother Hospital Expenses
3. Borrow $1000 From Lawrence
4. Lawrence give $600 For Mother Hospital Expenses
5. Bangkok Air ticket refund – Money is refund to Mother’s HSBC credit card account.
6. Receive $100 From Mom For return Taxi. Still remain $12.</t>
  </si>
  <si>
    <t>2nd December 2024</t>
  </si>
  <si>
    <t>Remaining Add In Value For Octopus.</t>
  </si>
  <si>
    <t>Octopus Add In value $50 
1.  $9.5 For Water
2. -$8.6 Negative Deposit.
3. $4 round trip to hospital.
4. U-mart expenses $20.8
5. add in value $50
6. $4 round trip to Kowloon Hospital.
7. $4 round trip to East Kowloon Hospital.</t>
  </si>
  <si>
    <r>
      <rPr>
        <b/>
        <sz val="11"/>
        <color rgb="FF000000"/>
        <rFont val="Arial"/>
        <charset val="134"/>
      </rPr>
      <t>21</t>
    </r>
    <r>
      <rPr>
        <b/>
        <vertAlign val="superscript"/>
        <sz val="11"/>
        <color rgb="FF000000"/>
        <rFont val="Arial"/>
        <charset val="134"/>
      </rPr>
      <t>st</t>
    </r>
    <r>
      <rPr>
        <b/>
        <sz val="11"/>
        <color rgb="FF000000"/>
        <rFont val="Arial"/>
        <charset val="134"/>
      </rPr>
      <t xml:space="preserve"> November 2024</t>
    </r>
  </si>
  <si>
    <t>Cigarette</t>
  </si>
  <si>
    <t>Deduct 10 packet of Cigarette</t>
  </si>
  <si>
    <t>3rd December 2024</t>
  </si>
  <si>
    <t>Alipay</t>
  </si>
  <si>
    <t>Alipay $3 discount plus $2.04 Alipay Points Used</t>
  </si>
  <si>
    <t>31st December 2024</t>
  </si>
  <si>
    <t>20th December 2024</t>
  </si>
  <si>
    <t>Deduct Cigarette</t>
  </si>
  <si>
    <t>Deduct 30 packet of Cigarette</t>
  </si>
  <si>
    <t xml:space="preserve">1. 25th December 2024
2. 27th December 2024
3. 28th December 2024
4. 28th December 2024
5. 31st December 2024
6. 1st December 2024
</t>
  </si>
  <si>
    <t>1. Lawrence
2. Mother
3. Mother
4. Mother
5. Lawrence
6. Lawrence
7. Mother</t>
  </si>
  <si>
    <t xml:space="preserve">1. Lawrence give $100 For Christmas
2. Mother give $900 For Car License Renewal.
3. Mother borrow $50 
4. Mother give $16.14 coins
5. Lawrence give $50 For Octopus Add In Value 
6. Lawrence give $100 For the help of Carrying luggages to the bus station.
7. Mother Owe Me $78.4 for Taxi to QE Hospital, Plus Give me $100 for Return Taxi to home from QE Hospital. 
Return Taxi Fee is $78.4, $12 remaining.
Therefore total Mom still owes me $78.4 - $12 which is equal to $66.4.
</t>
  </si>
  <si>
    <t>Food And Transport Expenses</t>
  </si>
  <si>
    <t>Deduct $200 From Food And Transport Expenses.</t>
  </si>
  <si>
    <t xml:space="preserve">Balance Assets </t>
  </si>
  <si>
    <t xml:space="preserve">Balance The Total Assets </t>
  </si>
  <si>
    <t>Payback $200 to Lawrence</t>
  </si>
  <si>
    <t xml:space="preserve">Additional Expense 
 - Add In Value $50 For Octopus
 - Add In Value $150 For Google Play
 - Excess Expenses $451.7
</t>
  </si>
  <si>
    <t>Additional China Mobile Fee For Joox Refund $207 - $149</t>
  </si>
  <si>
    <t>Additional 20 packet of Cigarette</t>
  </si>
  <si>
    <t xml:space="preserve">Payback $0 to Mom </t>
  </si>
  <si>
    <t>Payback $300 to Lawrence</t>
  </si>
  <si>
    <r>
      <rPr>
        <sz val="11"/>
        <color rgb="FF000000"/>
        <rFont val="Arial"/>
        <charset val="134"/>
      </rPr>
      <t xml:space="preserve">Additional Expense     
-  China Mobile Broadband Fees $78   
-  additional cigarette charge $80
-  additional cigarette charge $300
- 28th-Nov additional nicotinell charge $263.9
- Add In Value $50 For Octopus Card
- Expenses For Mom $68.9 Taxi plus water $9.5
   Total Expenses: $68.9 + $9.5 which is equal </t>
    </r>
    <r>
      <rPr>
        <b/>
        <sz val="11"/>
        <color rgb="FFFF0000"/>
        <rFont val="Arial"/>
        <charset val="134"/>
      </rPr>
      <t xml:space="preserve">$78.4
</t>
    </r>
    <r>
      <rPr>
        <sz val="11"/>
        <color rgb="FF000000"/>
        <rFont val="Arial"/>
        <charset val="134"/>
      </rPr>
      <t>- 3rd December Mother QE Hospital Expenses $149
- Expenses For Nokia Phone $352
- 9th-December additional nicotinell charge $126.9
- additional electronic cigarette machine plus egg
   $610
- Add In Value $50 For Octopus Card
- Expenses For Mother Kowloon Hospital $230 
- Water Supplies Department Water Fees $122.2 
-  Excess Expenses $898.6</t>
    </r>
  </si>
  <si>
    <t>Additional expense for Mom $200</t>
  </si>
  <si>
    <t>Still owe Lawrence $351 after Mom QE Hospital Expenses.</t>
  </si>
  <si>
    <t>Payback Remaining Expenses From Mother Kowloon Hospital to Lawrence</t>
  </si>
  <si>
    <t>Additional Expense
  - China Mobile Broadband Fee $78
  - $2 Handling Fees For Add In Value For Octopus.
  - 27th December 2024 $900 Car License Renewal 
    (a gift from Mom)
  - Birdie Sim Card 3 months Fees ($50 per month)- $150
  - Additional Birdie Sim Card - $50
  - $2.5 Handling Fees For Add In Value For Octopus.</t>
  </si>
  <si>
    <t xml:space="preserve">Food And Transport Expenses
- Instant Noodles (1 box 30 packets) ~ $99
- Instant Noodles (20 packets) ~ $66
- Potatoes 17  ~ $36
- Campbell’s Chunky New England Clam Chowder
   505GM – 7 cans ~ $167.3 
- Vegetables 1.5kg ~ $18
- Onion 8  ~ $25
- OK Store expenses 20th December 2024 - $52
- Lindor X 2 - $78
- Coffee Mate $32
- Sausage X 2 - $40
- Congee X 4 - $19.6 
- Nugget X 2 - $38
- Hair Bleaching - $80.8
- U-Store - $66
- Best Mart - $19.9
- Best Mart – $65.8
- A1 Bakery - $39
- OK Store expenses $30
- Travel Expense For Driving License Renewal - $6
- Best Mart - $15
- Big C - $17
- Round Trip to Holywood Plaza $4
- Single Trip to North Temple Mall $2
- Welcome Supermarket – Mayonaise Paste $40
- Single Trip to North Temple Mall $2
- Brought Jelly From Chuk Yuen Plaza - $28.4
- Brought Ingredients For Green Curry Chicken - $33
- Round Trip to Hospital $4
- Best Mart - $19.9
- welcome expenses $40
- Transport Fees $2
- Round Trip to Robert Black Hospital $4
- Round Trip Fees for visiting dad $5
- Round Trip Fees to QE Hospital $4
- Round Trip Fees to East Kowloon Hospital $4
- Round Trip Fees to Hollywood Plaza $4
- Best Mart - $14
- Welcome plastic glove - $10
- $2 Phone Booth
</t>
  </si>
  <si>
    <t>20th January 2025</t>
  </si>
  <si>
    <t>31th January 2025</t>
  </si>
  <si>
    <t>1. 29th January 2025
2. 28th January 2025
3. 2nd Feburary 2025
4. 8th Feburary 2025</t>
  </si>
  <si>
    <t>1. Chineses New Year (Mother and Father)
2. Chineses New Year (Lawrence)
3. Mother
4. Mother
5. Mother</t>
  </si>
  <si>
    <t xml:space="preserve">1. Chinese New Year Pocket Lai See ~ $1000
2. Chinese New Year Pocket Lai See ~ $1000
3. Borrow $500 From Mother for buying whey protein
4. Remaining of $4.5 HK Dollar of $50 give by Mother 
5. Mother give me $2 </t>
  </si>
  <si>
    <t>1. 7th Feburary 2025
2. 7th Feburary 2025
3. 18th Feburary 2025</t>
  </si>
  <si>
    <t>1. yuu
2. Wellcome Supermarket
3. yuu
4. OK Store</t>
  </si>
  <si>
    <t>1. Newly added / remain yuu points ~ $6
2. Redeem Yuu Points ~ $10
3. Newly added / remain yuu points ~ $1
4. Received Additional $1 when billed ~ $1</t>
  </si>
  <si>
    <t>20th February 2025</t>
  </si>
  <si>
    <t>29th February 2025</t>
  </si>
  <si>
    <t>Cigarette Egg</t>
  </si>
  <si>
    <t>Brought in Advance</t>
  </si>
  <si>
    <t>Birdie Sim Card</t>
  </si>
  <si>
    <t>Pay in advance For Birdie Sim Card</t>
  </si>
  <si>
    <t>25th Feburary 2025</t>
  </si>
  <si>
    <t>Remaining of $16 HK Dollar of $100 give by Mother for visiting Dad.</t>
  </si>
  <si>
    <t>1st March 2025</t>
  </si>
  <si>
    <t xml:space="preserve">Borrowed $800 For Electronic Cigarettes </t>
  </si>
  <si>
    <t>31st March 2025</t>
  </si>
  <si>
    <t>22th March 2025</t>
  </si>
  <si>
    <t>Lawrence give me $1000 as a gift for selling his house</t>
  </si>
  <si>
    <t>1st April 2025</t>
  </si>
  <si>
    <t>1. Yuu
2. Starbucks</t>
  </si>
  <si>
    <t>1. Newly added / remain yuu points ~ $2
2. Newly added Starbucks Card ~ $60</t>
  </si>
  <si>
    <t>7th April 2025</t>
  </si>
  <si>
    <t>1. Borrowed $500 From Mother.
2. Receive $25 From Mother</t>
  </si>
  <si>
    <t xml:space="preserve">Payback $1400 to Mom including $900 borrowed </t>
  </si>
  <si>
    <t>Additional Expense
    - Playstation Plus Subscribtion ~ $425
    - Street Fighter 6 ~ $229
    - EA Sports FC 25 ~ $219.6
    - Sonic Super stars ~ $135.2
    - HKTV Mall - Wireless wearable air pressure leg 
      massage machine ~ $499
    - Puma - Slippers ~ $159
    - Puma - Bag ~ $1
    - iHerbs - Whey Protein ~ $465.14</t>
  </si>
  <si>
    <r>
      <rPr>
        <sz val="11"/>
        <color rgb="FF000000"/>
        <rFont val="Arial"/>
        <charset val="134"/>
      </rPr>
      <t>Food And Transport Expenses
- Potatoes For Curry Chicken ~</t>
    </r>
    <r>
      <rPr>
        <sz val="11"/>
        <color rgb="FFFF0000"/>
        <rFont val="Arial"/>
        <charset val="134"/>
      </rPr>
      <t xml:space="preserve"> </t>
    </r>
    <r>
      <rPr>
        <sz val="11"/>
        <color rgb="FF000000"/>
        <rFont val="Arial"/>
        <charset val="134"/>
      </rPr>
      <t>$10
- Chicken Chops for Curry Chicken 2 Pieces ~ $20
- Curry 1 Bottle ~ $16.9
- Coconut Milk  ~ $8
- Vegetable 1kg  ~ $9
- Welcome Plastic Bag ~ $1
- OK Store coke ~ $20
- Ustore ~ $31.8
- 759 Store ~ $24.4
- OK Store pepsi coke ~ $13.5
- Wellcome Store evaporate milk ~ $11
- Wellcome Store condensed milk ~ $14
- single transport to temple mall ~ $2
- $10 charged for Hair Cut
- Service Charge for transfer coins to octopus ~ $2.8
- Round Trip Fees for visiting dad ~ $9.5
- Sau Tau Beijin Noodle ~ $15
- Select Choice Chicken Powder ~ $18
- Quaker Oat Meal 1000g ~ $26
- Longevity Filled Evaporated 400g ~ $11
- Eagle Condensed Milk 350g ~ $13
- Red Onion 1 piece ~ $5
- Chicken Chops 2 pieces ~ $23
- Single Trip to North Temple Mall ~ $2</t>
    </r>
  </si>
  <si>
    <t>Food And Transport Expenses
- Longevity Filled Evaporated 400g ~ $36
- Eagle Condensed Milk 350g ~ $28
- Chicken Chops ~ $24
- Welcome shopping ~ $56.8
- Round Trip to East Kowloon Hospital ~ $4
- Chicken Chops and Apples ~ $30
- Chicken Chops ~ $13
- Vegetables ~ $9
- Wellcome Supermarket Milk ~ $14.9
- Post Office Stamp ~ $3.3
- Single Trip from Fung Tak to Chuk Yuen ~ $2
- Chicken Chops ~ $11
- Vegetable ~ $12</t>
  </si>
  <si>
    <t>Payback $500 to Mom</t>
  </si>
  <si>
    <t>1. Additional Expense
- Brilliant Course Annually ~ $777.5
- Add Value For Google Play ~ $150 (don't need to
   include.)</t>
  </si>
  <si>
    <t>2. Food And Transport Expenses
- Chicken 6 piecies ~ $63
- Tangerines 9 ones ~ $20
- Milk 1 Litre 7 ~ $118.3
- Vegetables 1kg ~ $14
- Best Mart 360 peanuts ~ $25
- OK Convinient Store ~ $18.4
- Round Trip for visiting dad ~ $6
- Apples From Market ~ $20
- Vegetables 2kg From Market ~ $16
- Snacks From DS Groceries ~ $39
- Best Mart 360 and 759 Store ~ $65.6
- Market Chicken Chops ~ $17
- Market Kwun Kee ~ $21
- Transport Fee to East Kowloon Hospital $4
- Transport Fee Round Trip to Mong Kok $4
- Transport Fee from Kowloon Tong To WTS $2
- Ngan Lung Restaurant $55
- Oat meal $19
- Transport Fee to WTS Temple Mall $2
- Transport Fee to Prince Edward And Back $4</t>
  </si>
  <si>
    <t>3.. Food And Transport Expenses
- Brought Electronic Cigarettes Buds ~ $800
- Transport Fees For Electronic Buds ~ $50</t>
  </si>
  <si>
    <t>Payback $800 to Lawrence</t>
  </si>
  <si>
    <t>1. Additional Expense
    - Cigarette Egg - $650</t>
  </si>
  <si>
    <t>2. Food And Transport Expenses
- Chicken 11 piecies ~ $125
- Vegetables 2kg ~ $0
- Rice 5kg ~ $49
- Meadows Vanilla Chocolate Biscuit x 2 ~ $26.8
- Edo Pack Oat Biscuit x 3 ~  $39 
- Longevity Filled Evaporated 3 cans $24
- Ice Cream $30
- Fanta soft drinks $16
- Best Mart 360 pepsi ~ $20
- Vegetables 1kg ~ $14
- OK Store Pepsi ~ $11.5
- Best Mart 360 ~ $39.9
- A1 Bakery ~ $34
- U Mart Miggi Seasoning ~ $14.9
- OK Store soft drinks ~ $22
- Kwun Kee Food Store ~ $34
- Trip to Eldery Center ~ $9.5
- Market Vegetable 1 Kg ~ $12
- U Mart Instant Noodles ~ $9.9
- Market Vegetable 1 Kg ~ $12
- OK Store soft drinks ~ $21.4
- Trip to Eldery Center ~ $9.5
- Quaker Oat ~ $20
- Satay King Restaurant ~ $83
- Best Mart 360 Chocolate ~ $30
- Devondale Milk ParknShop ~ $107.4
- Best Mart Granola 500gm ~ $36
- U Store ~ $9.9
- Trip to East Kowloon hospital ~ $4
- Starbucks Saussage Rolls ~ $50</t>
  </si>
  <si>
    <t>3. Brought a Brother Printer For $999</t>
  </si>
  <si>
    <t>4. Birdie Mothly Fees $50</t>
  </si>
  <si>
    <t>30th April 2025</t>
  </si>
  <si>
    <t>Birdie</t>
  </si>
  <si>
    <t>Birdie Paid in advance</t>
  </si>
  <si>
    <t>1.  yuu
2. Google Play</t>
  </si>
  <si>
    <t>1. Newly added / remain yuu points ~ $1
2. Google Play Newly top up $136</t>
  </si>
  <si>
    <t>31th May 2025</t>
  </si>
  <si>
    <t>Additional Half Month Of Allowance</t>
  </si>
  <si>
    <t>30th June 2025</t>
  </si>
  <si>
    <t xml:space="preserve">Payback $500 plus additional $500 (Borrowed on 07 April 2025)  to Mom </t>
  </si>
  <si>
    <t>1. Additional Expense
    - Cigarette Egg - $0 (Paided in Advance 7th April 2025)
    - See the psycharitic Doctor ~ $125</t>
  </si>
  <si>
    <t>2. Food And Transport Expenses
- Chicken 4 pieces Market ~ $38
- Rice 5kg Best Mart 360 ~ $49
- Garden Biscuit (8 packets) x 4 ~ $73 plus Longevity Filled Evaporated
  3 cans ~ $27~ $90  
- Oat Meal 1kg Best Mart ~ $20
- yuu use $10 voucher</t>
  </si>
  <si>
    <t>Payback $1800 to Mom</t>
  </si>
  <si>
    <t>1. Additional Expense
    - Cigarette Egg - $650
    - See the psycharitic Doctor For Injection ~ $19
    - See the high blood pressure Doctor ~ $50</t>
  </si>
  <si>
    <t xml:space="preserve">2. Food And Transport Expenses
</t>
  </si>
  <si>
    <t>Payback $1100 to Mom</t>
  </si>
  <si>
    <t>Additional Expense
    - Cigarette Egg - $650
    - See the psycharitic Doctor ~ $125</t>
  </si>
  <si>
    <t>31st July 2025</t>
  </si>
  <si>
    <t>Mother Salary</t>
  </si>
  <si>
    <t>Deferred Salary to next Month</t>
  </si>
  <si>
    <t>31st August 2025</t>
  </si>
  <si>
    <t>30th September 2025</t>
  </si>
  <si>
    <t>Sing Lun Birthday</t>
  </si>
  <si>
    <t>Receive cash</t>
  </si>
  <si>
    <t>Deffered Mobile to next month</t>
  </si>
  <si>
    <t>Additional Expense
    - Cigarette Egg - $650
    - See the psycharitic Doctor For Injection ~ $19</t>
  </si>
  <si>
    <t xml:space="preserve">Food And Transport Expenses
</t>
  </si>
  <si>
    <t>Payback $800 to Mom</t>
  </si>
  <si>
    <t>Additional Expense
    - Cigarette Egg - $650
    - See the psycharitic Doctor ~ $125
    - See the high blood pressure Doctor ~ $50</t>
  </si>
  <si>
    <t>Payback $100 to Mom</t>
  </si>
  <si>
    <t>Payback $1083 Air Ticket to Mom</t>
  </si>
  <si>
    <t>31st October 2025</t>
  </si>
  <si>
    <t>31st November 2025</t>
  </si>
  <si>
    <t>30th December 2025</t>
  </si>
  <si>
    <t>Pay Mobile</t>
  </si>
  <si>
    <t>Additional Expense
    - Cigarette Egg - $650
    - See the psycharitic Doctor For Injection ~ $19
    - See the high blood pressure Doctor ~ $50</t>
  </si>
  <si>
    <t>Additional Expense
    - Cigarette Egg - $650
    - See the psycharitic Doctor ~ $310</t>
  </si>
  <si>
    <t>31st January 2026</t>
  </si>
  <si>
    <t>28th February 2026</t>
  </si>
  <si>
    <t>31th March 2026</t>
  </si>
  <si>
    <t>Additional Expense
    - Cigarette Egg - $650
    - See the psycharitic Doctor ~ $310
    - See the high blood pressure Doctor ~ $160</t>
  </si>
  <si>
    <t>30th April 2026</t>
  </si>
  <si>
    <t>31st May 2026</t>
  </si>
  <si>
    <t>30th June 2026</t>
  </si>
  <si>
    <t>Additional Expense
    - Cigarette Egg - $650
    - See the psycharitic Doctor For Injection ~ $19
    - See the high blood pressure Doctor ~ $160</t>
  </si>
  <si>
    <t>1. Additional Expense
    - Cigarette Egg - $650
    - See the psycharitic Doctor ~ $310</t>
  </si>
  <si>
    <t>31st July 2026</t>
  </si>
  <si>
    <t>31st August 2026</t>
  </si>
  <si>
    <t>30th September 2026</t>
  </si>
  <si>
    <t>1. Additional Expense
    - Cigarette Egg - $650
    - See the psycharitic Doctor For Injection ~ $19</t>
  </si>
  <si>
    <t>31st October 2026</t>
  </si>
  <si>
    <t>30th November 2026</t>
  </si>
  <si>
    <t>31st December 2026</t>
  </si>
  <si>
    <t>31st March 2026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</si>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</sst>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409]#,##0.00;[Red]\-[$$-409]#,##0.00"/>
    <numFmt numFmtId="177" formatCode="&quot;$&quot;#,##0.00_);[Red]\(&quot;$&quot;#,##0.00\)"/>
    <numFmt numFmtId="178" formatCode="&quot;$&quot;#,##0.00"/>
    <numFmt numFmtId="179" formatCode="mmm\-yy"/>
    <numFmt numFmtId="180" formatCode="[$-409]d\-mmm\-yyyy;@"/>
  </numFmts>
  <fonts count="48">
    <font>
      <sz val="12"/>
      <color theme="1"/>
      <name val="Aptos Narrow"/>
      <charset val="134"/>
      <scheme val="minor"/>
    </font>
    <font>
      <b/>
      <sz val="14"/>
      <color rgb="FF000000"/>
      <name val="Arial"/>
      <charset val="134"/>
    </font>
    <font>
      <b/>
      <sz val="11"/>
      <color rgb="FF000000"/>
      <name val="Arial"/>
      <charset val="134"/>
    </font>
    <font>
      <b/>
      <sz val="11"/>
      <color rgb="FF4A86E8"/>
      <name val="Arial"/>
      <charset val="134"/>
    </font>
    <font>
      <b/>
      <sz val="11"/>
      <color rgb="FFFF0000"/>
      <name val="Calibri"/>
      <charset val="1"/>
    </font>
    <font>
      <b/>
      <sz val="11"/>
      <color rgb="FFFF0000"/>
      <name val="Arial"/>
      <charset val="134"/>
    </font>
    <font>
      <sz val="12"/>
      <color theme="1"/>
      <name val="Arial"/>
      <charset val="134"/>
    </font>
    <font>
      <b/>
      <sz val="11"/>
      <color theme="0"/>
      <name val="Arial"/>
      <charset val="134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b/>
      <sz val="12"/>
      <color rgb="FF000000"/>
      <name val="Arial"/>
      <charset val="134"/>
    </font>
    <font>
      <sz val="11"/>
      <color rgb="FF000000"/>
      <name val="Arial"/>
      <charset val="134"/>
    </font>
    <font>
      <b/>
      <sz val="12"/>
      <color rgb="FFFFFFFF"/>
      <name val="Arial"/>
      <charset val="134"/>
    </font>
    <font>
      <sz val="11"/>
      <color rgb="FF000000"/>
      <name val="Calibri"/>
      <charset val="1"/>
    </font>
    <font>
      <sz val="11"/>
      <color rgb="FFFF0000"/>
      <name val="Arial"/>
      <charset val="134"/>
    </font>
    <font>
      <b/>
      <sz val="18"/>
      <color theme="1"/>
      <name val="Arial"/>
      <charset val="134"/>
    </font>
    <font>
      <b/>
      <sz val="12"/>
      <color theme="1"/>
      <name val="Arial"/>
      <charset val="134"/>
    </font>
    <font>
      <sz val="11"/>
      <color rgb="FF000000"/>
      <name val="Arial"/>
      <charset val="1"/>
    </font>
    <font>
      <b/>
      <sz val="11"/>
      <color theme="1"/>
      <name val="Arial"/>
      <charset val="134"/>
    </font>
    <font>
      <b/>
      <sz val="11"/>
      <name val="Arial"/>
      <charset val="134"/>
    </font>
    <font>
      <b/>
      <sz val="12"/>
      <color theme="0"/>
      <name val="Arial"/>
      <charset val="134"/>
    </font>
    <font>
      <sz val="72"/>
      <color theme="0"/>
      <name val="Arial Black"/>
      <charset val="134"/>
    </font>
    <font>
      <i/>
      <sz val="26"/>
      <color theme="0"/>
      <name val="Arial Black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4A86E8"/>
      <name val="Calibri"/>
      <charset val="1"/>
    </font>
    <font>
      <b/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2"/>
      <color rgb="FFFFFFFF"/>
      <name val="Calibri"/>
      <charset val="1"/>
    </font>
    <font>
      <b/>
      <vertAlign val="superscript"/>
      <sz val="11"/>
      <color rgb="FF000000"/>
      <name val="Arial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5B9BD5"/>
        <bgColor indexed="64"/>
      </patternFill>
    </fill>
    <fill>
      <patternFill patternType="solid">
        <fgColor rgb="FF5B9BD5"/>
        <bgColor rgb="FF4A86E8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3" tint="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56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2" borderId="3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30" fillId="0" borderId="40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3" borderId="42" applyNumberFormat="0" applyAlignment="0" applyProtection="0">
      <alignment vertical="center"/>
    </xf>
    <xf numFmtId="0" fontId="33" fillId="14" borderId="43" applyNumberFormat="0" applyAlignment="0" applyProtection="0">
      <alignment vertical="center"/>
    </xf>
    <xf numFmtId="0" fontId="34" fillId="14" borderId="42" applyNumberFormat="0" applyAlignment="0" applyProtection="0">
      <alignment vertical="center"/>
    </xf>
    <xf numFmtId="0" fontId="35" fillId="15" borderId="44" applyNumberFormat="0" applyAlignment="0" applyProtection="0">
      <alignment vertical="center"/>
    </xf>
    <xf numFmtId="0" fontId="36" fillId="0" borderId="45" applyNumberFormat="0" applyFill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176" fontId="43" fillId="3" borderId="47">
      <alignment horizontal="center" vertical="center"/>
    </xf>
    <xf numFmtId="49" fontId="44" fillId="0" borderId="0" applyProtection="0">
      <alignment horizontal="center" vertical="center"/>
    </xf>
    <xf numFmtId="49" fontId="13" fillId="0" borderId="0" applyProtection="0">
      <alignment horizontal="left" vertical="center"/>
    </xf>
    <xf numFmtId="49" fontId="45" fillId="10" borderId="0" applyProtection="0">
      <alignment horizontal="center" vertical="center"/>
    </xf>
    <xf numFmtId="49" fontId="46" fillId="5" borderId="0" applyBorder="0" applyProtection="0">
      <alignment horizontal="center" vertical="center"/>
    </xf>
    <xf numFmtId="49" fontId="4" fillId="0" borderId="0" applyProtection="0">
      <alignment horizontal="right" vertical="center"/>
    </xf>
    <xf numFmtId="176" fontId="4" fillId="0" borderId="0" applyBorder="0" applyProtection="0">
      <alignment horizontal="center" vertical="center"/>
    </xf>
  </cellStyleXfs>
  <cellXfs count="2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2" xfId="50" applyFont="1" applyFill="1" applyBorder="1" applyAlignment="1" applyProtection="1">
      <alignment horizontal="center" vertical="center" wrapText="1"/>
    </xf>
    <xf numFmtId="49" fontId="2" fillId="3" borderId="3" xfId="50" applyFont="1" applyFill="1" applyBorder="1" applyAlignment="1" applyProtection="1">
      <alignment horizontal="center" vertical="center" wrapText="1"/>
    </xf>
    <xf numFmtId="176" fontId="3" fillId="3" borderId="2" xfId="49" applyNumberFormat="1" applyFont="1" applyBorder="1" applyAlignment="1">
      <alignment horizontal="center" vertical="center"/>
    </xf>
    <xf numFmtId="49" fontId="2" fillId="3" borderId="1" xfId="50" applyFont="1" applyFill="1" applyBorder="1" applyAlignment="1" applyProtection="1">
      <alignment horizontal="center" vertical="center" wrapText="1"/>
    </xf>
    <xf numFmtId="49" fontId="2" fillId="3" borderId="4" xfId="50" applyFont="1" applyFill="1" applyBorder="1" applyAlignment="1" applyProtection="1">
      <alignment horizontal="center" vertical="center" wrapText="1"/>
    </xf>
    <xf numFmtId="176" fontId="3" fillId="3" borderId="1" xfId="49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176" fontId="3" fillId="3" borderId="7" xfId="49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77" fontId="5" fillId="0" borderId="8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76" fontId="7" fillId="4" borderId="9" xfId="49" applyFont="1" applyFill="1" applyBorder="1" applyAlignment="1">
      <alignment horizontal="center" vertical="center"/>
    </xf>
    <xf numFmtId="176" fontId="7" fillId="4" borderId="10" xfId="49" applyFont="1" applyFill="1" applyBorder="1" applyAlignment="1">
      <alignment horizontal="center" vertical="center"/>
    </xf>
    <xf numFmtId="49" fontId="8" fillId="5" borderId="1" xfId="53" applyFont="1" applyBorder="1" applyAlignment="1" applyProtection="1">
      <alignment horizontal="center" vertical="center" wrapText="1"/>
    </xf>
    <xf numFmtId="49" fontId="8" fillId="5" borderId="1" xfId="53" applyFont="1" applyBorder="1" applyAlignment="1" applyProtection="1">
      <alignment horizontal="center" vertical="center"/>
    </xf>
    <xf numFmtId="49" fontId="2" fillId="0" borderId="1" xfId="50" applyFont="1" applyBorder="1" applyAlignment="1" applyProtection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49" fontId="5" fillId="0" borderId="11" xfId="54" applyFont="1" applyBorder="1" applyAlignment="1" applyProtection="1">
      <alignment horizontal="right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vertical="center" wrapText="1"/>
    </xf>
    <xf numFmtId="0" fontId="10" fillId="6" borderId="12" xfId="0" applyFont="1" applyFill="1" applyBorder="1" applyAlignment="1">
      <alignment vertical="center" wrapText="1"/>
    </xf>
    <xf numFmtId="0" fontId="10" fillId="6" borderId="8" xfId="0" applyFont="1" applyFill="1" applyBorder="1" applyAlignment="1">
      <alignment vertical="center" wrapText="1"/>
    </xf>
    <xf numFmtId="0" fontId="2" fillId="0" borderId="1" xfId="0" applyFont="1" applyBorder="1" applyAlignment="1" applyProtection="1">
      <alignment vertical="center"/>
    </xf>
    <xf numFmtId="177" fontId="5" fillId="0" borderId="1" xfId="0" applyNumberFormat="1" applyFont="1" applyBorder="1" applyAlignment="1">
      <alignment vertical="center"/>
    </xf>
    <xf numFmtId="0" fontId="2" fillId="0" borderId="1" xfId="0" applyFont="1" applyBorder="1" applyAlignment="1" applyProtection="1">
      <alignment vertical="center" wrapText="1"/>
    </xf>
    <xf numFmtId="0" fontId="11" fillId="0" borderId="2" xfId="0" applyFont="1" applyBorder="1" applyAlignment="1">
      <alignment vertical="center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176" fontId="3" fillId="3" borderId="11" xfId="49" applyFont="1" applyBorder="1" applyAlignment="1">
      <alignment horizontal="center" vertical="center"/>
    </xf>
    <xf numFmtId="176" fontId="3" fillId="3" borderId="13" xfId="49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49" fontId="5" fillId="0" borderId="8" xfId="54" applyFont="1" applyBorder="1" applyAlignment="1" applyProtection="1">
      <alignment horizontal="right" vertical="center" wrapText="1"/>
    </xf>
    <xf numFmtId="176" fontId="3" fillId="3" borderId="14" xfId="49" applyFont="1" applyBorder="1" applyAlignment="1">
      <alignment horizontal="center" vertical="center"/>
    </xf>
    <xf numFmtId="176" fontId="3" fillId="3" borderId="15" xfId="49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 wrapText="1"/>
    </xf>
    <xf numFmtId="4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 wrapText="1"/>
    </xf>
    <xf numFmtId="0" fontId="12" fillId="7" borderId="1" xfId="0" applyFont="1" applyFill="1" applyBorder="1" applyAlignment="1">
      <alignment horizontal="center" vertical="center"/>
    </xf>
    <xf numFmtId="178" fontId="9" fillId="0" borderId="8" xfId="0" applyNumberFormat="1" applyFont="1" applyBorder="1" applyAlignment="1">
      <alignment vertical="center" wrapText="1"/>
    </xf>
    <xf numFmtId="0" fontId="5" fillId="0" borderId="1" xfId="0" applyNumberFormat="1" applyFont="1" applyBorder="1" applyAlignment="1">
      <alignment vertical="center"/>
    </xf>
    <xf numFmtId="49" fontId="11" fillId="0" borderId="11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12" fillId="7" borderId="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177" fontId="5" fillId="0" borderId="7" xfId="0" applyNumberFormat="1" applyFont="1" applyBorder="1" applyAlignment="1">
      <alignment vertical="center"/>
    </xf>
    <xf numFmtId="178" fontId="6" fillId="0" borderId="8" xfId="0" applyNumberFormat="1" applyFont="1" applyBorder="1" applyAlignment="1">
      <alignment vertical="center"/>
    </xf>
    <xf numFmtId="0" fontId="12" fillId="7" borderId="7" xfId="0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178" fontId="9" fillId="0" borderId="8" xfId="0" applyNumberFormat="1" applyFont="1" applyBorder="1" applyAlignment="1">
      <alignment vertical="center"/>
    </xf>
    <xf numFmtId="0" fontId="10" fillId="6" borderId="11" xfId="0" applyFont="1" applyFill="1" applyBorder="1" applyAlignment="1">
      <alignment horizontal="left" vertical="center" wrapText="1"/>
    </xf>
    <xf numFmtId="0" fontId="10" fillId="6" borderId="12" xfId="0" applyFont="1" applyFill="1" applyBorder="1" applyAlignment="1">
      <alignment horizontal="left" vertical="center" wrapText="1"/>
    </xf>
    <xf numFmtId="0" fontId="10" fillId="6" borderId="8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49" fontId="2" fillId="0" borderId="21" xfId="50" applyFont="1" applyBorder="1" applyAlignment="1" applyProtection="1">
      <alignment horizontal="center" vertical="center" wrapText="1"/>
    </xf>
    <xf numFmtId="49" fontId="11" fillId="0" borderId="1" xfId="51" applyFont="1" applyBorder="1" applyAlignment="1" applyProtection="1">
      <alignment horizontal="left" vertical="center" wrapText="1"/>
    </xf>
    <xf numFmtId="49" fontId="11" fillId="0" borderId="1" xfId="51" applyFont="1" applyBorder="1" applyAlignment="1" applyProtection="1">
      <alignment horizontal="left" vertical="center"/>
    </xf>
    <xf numFmtId="176" fontId="5" fillId="0" borderId="22" xfId="55" applyFont="1" applyBorder="1" applyAlignment="1" applyProtection="1">
      <alignment horizontal="right" vertical="center"/>
    </xf>
    <xf numFmtId="49" fontId="13" fillId="0" borderId="22" xfId="51" applyFont="1" applyBorder="1" applyAlignment="1" applyProtection="1">
      <alignment horizontal="left" vertical="center" wrapText="1"/>
    </xf>
    <xf numFmtId="49" fontId="11" fillId="0" borderId="22" xfId="51" applyFont="1" applyBorder="1" applyAlignment="1" applyProtection="1">
      <alignment horizontal="left" vertical="center" wrapText="1"/>
    </xf>
    <xf numFmtId="176" fontId="4" fillId="0" borderId="22" xfId="55" applyBorder="1" applyAlignment="1" applyProtection="1">
      <alignment horizontal="right" vertical="center"/>
    </xf>
    <xf numFmtId="176" fontId="5" fillId="0" borderId="22" xfId="55" applyFont="1" applyBorder="1" applyAlignment="1" applyProtection="1">
      <alignment vertical="center"/>
    </xf>
    <xf numFmtId="49" fontId="13" fillId="0" borderId="22" xfId="51" applyFont="1" applyBorder="1" applyAlignment="1" applyProtection="1">
      <alignment horizontal="left" vertical="center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176" fontId="3" fillId="3" borderId="19" xfId="49" applyFont="1" applyBorder="1" applyAlignment="1">
      <alignment horizontal="center" vertical="center"/>
    </xf>
    <xf numFmtId="176" fontId="3" fillId="3" borderId="23" xfId="49" applyFont="1" applyBorder="1" applyAlignment="1">
      <alignment horizontal="center" vertical="center"/>
    </xf>
    <xf numFmtId="177" fontId="5" fillId="0" borderId="1" xfId="0" applyNumberFormat="1" applyFont="1" applyBorder="1" applyAlignment="1" applyProtection="1">
      <alignment vertical="center"/>
    </xf>
    <xf numFmtId="49" fontId="2" fillId="0" borderId="1" xfId="50" applyFont="1" applyFill="1" applyBorder="1" applyAlignment="1" applyProtection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49" fontId="11" fillId="0" borderId="22" xfId="51" applyFont="1" applyBorder="1" applyAlignment="1" applyProtection="1">
      <alignment horizontal="left" vertical="center"/>
    </xf>
    <xf numFmtId="49" fontId="2" fillId="0" borderId="21" xfId="50" applyFont="1" applyFill="1" applyBorder="1" applyAlignment="1" applyProtection="1">
      <alignment horizontal="center" vertical="center" wrapText="1"/>
    </xf>
    <xf numFmtId="49" fontId="11" fillId="0" borderId="2" xfId="51" applyFont="1" applyFill="1" applyBorder="1" applyAlignment="1" applyProtection="1">
      <alignment horizontal="left" vertical="center" wrapText="1"/>
    </xf>
    <xf numFmtId="49" fontId="11" fillId="0" borderId="2" xfId="51" applyFont="1" applyFill="1" applyBorder="1" applyAlignment="1" applyProtection="1">
      <alignment horizontal="left" vertical="center"/>
    </xf>
    <xf numFmtId="176" fontId="3" fillId="0" borderId="2" xfId="49" applyFont="1" applyFill="1" applyBorder="1" applyAlignment="1">
      <alignment horizontal="center" vertical="center"/>
    </xf>
    <xf numFmtId="49" fontId="11" fillId="0" borderId="21" xfId="51" applyFont="1" applyBorder="1" applyAlignment="1" applyProtection="1">
      <alignment horizontal="left" vertical="center" wrapText="1"/>
    </xf>
    <xf numFmtId="49" fontId="11" fillId="0" borderId="24" xfId="51" applyFont="1" applyBorder="1" applyAlignment="1" applyProtection="1">
      <alignment horizontal="left" vertical="center" wrapText="1"/>
    </xf>
    <xf numFmtId="49" fontId="11" fillId="0" borderId="11" xfId="51" applyFont="1" applyBorder="1" applyAlignment="1" applyProtection="1">
      <alignment horizontal="left" vertical="center" wrapText="1"/>
    </xf>
    <xf numFmtId="49" fontId="11" fillId="0" borderId="11" xfId="51" applyFont="1" applyBorder="1" applyAlignment="1" applyProtection="1">
      <alignment horizontal="left" vertical="center"/>
    </xf>
    <xf numFmtId="49" fontId="11" fillId="0" borderId="8" xfId="51" applyFont="1" applyBorder="1" applyAlignment="1" applyProtection="1">
      <alignment horizontal="left" vertical="center"/>
    </xf>
    <xf numFmtId="49" fontId="11" fillId="0" borderId="11" xfId="0" applyNumberFormat="1" applyFont="1" applyFill="1" applyBorder="1" applyAlignment="1">
      <alignment horizontal="left" vertical="center"/>
    </xf>
    <xf numFmtId="49" fontId="11" fillId="0" borderId="8" xfId="0" applyNumberFormat="1" applyFont="1" applyFill="1" applyBorder="1" applyAlignment="1">
      <alignment horizontal="left" vertical="center"/>
    </xf>
    <xf numFmtId="177" fontId="5" fillId="8" borderId="7" xfId="0" applyNumberFormat="1" applyFont="1" applyFill="1" applyBorder="1" applyAlignment="1">
      <alignment vertical="center"/>
    </xf>
    <xf numFmtId="49" fontId="11" fillId="0" borderId="24" xfId="51" applyFont="1" applyBorder="1" applyAlignment="1" applyProtection="1">
      <alignment horizontal="left" vertical="center"/>
    </xf>
    <xf numFmtId="49" fontId="11" fillId="0" borderId="1" xfId="51" applyFont="1" applyBorder="1" applyAlignment="1" applyProtection="1">
      <alignment horizontal="center" vertical="center" wrapText="1"/>
    </xf>
    <xf numFmtId="49" fontId="11" fillId="0" borderId="11" xfId="51" applyFont="1" applyBorder="1" applyAlignment="1" applyProtection="1">
      <alignment horizontal="center" vertical="center" wrapText="1"/>
    </xf>
    <xf numFmtId="49" fontId="2" fillId="0" borderId="1" xfId="50" applyFont="1" applyBorder="1" applyAlignment="1" applyProtection="1">
      <alignment horizontal="center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49" fontId="2" fillId="0" borderId="1" xfId="51" applyFont="1" applyBorder="1" applyAlignment="1" applyProtection="1">
      <alignment horizontal="center" vertical="center" wrapText="1"/>
    </xf>
    <xf numFmtId="49" fontId="2" fillId="0" borderId="11" xfId="51" applyFont="1" applyBorder="1" applyAlignment="1" applyProtection="1">
      <alignment horizontal="center" vertical="center" wrapText="1"/>
    </xf>
    <xf numFmtId="49" fontId="11" fillId="0" borderId="21" xfId="51" applyFont="1" applyBorder="1" applyAlignment="1" applyProtection="1">
      <alignment horizontal="left" vertical="center"/>
    </xf>
    <xf numFmtId="177" fontId="5" fillId="0" borderId="1" xfId="0" applyNumberFormat="1" applyFont="1" applyBorder="1" applyAlignment="1">
      <alignment vertical="center" wrapText="1"/>
    </xf>
    <xf numFmtId="49" fontId="2" fillId="0" borderId="22" xfId="51" applyFont="1" applyBorder="1" applyAlignment="1" applyProtection="1">
      <alignment horizontal="left" vertical="center"/>
    </xf>
    <xf numFmtId="49" fontId="2" fillId="0" borderId="22" xfId="51" applyFont="1" applyBorder="1" applyAlignment="1" applyProtection="1">
      <alignment horizontal="left" vertical="center" wrapText="1"/>
    </xf>
    <xf numFmtId="49" fontId="11" fillId="0" borderId="22" xfId="51" applyFont="1" applyBorder="1" applyAlignment="1" applyProtection="1">
      <alignment vertical="center" wrapText="1"/>
    </xf>
    <xf numFmtId="49" fontId="11" fillId="0" borderId="11" xfId="0" applyNumberFormat="1" applyFont="1" applyBorder="1" applyAlignment="1">
      <alignment vertical="center"/>
    </xf>
    <xf numFmtId="49" fontId="11" fillId="0" borderId="8" xfId="0" applyNumberFormat="1" applyFont="1" applyBorder="1" applyAlignment="1">
      <alignment vertical="center"/>
    </xf>
    <xf numFmtId="49" fontId="2" fillId="0" borderId="22" xfId="51" applyFont="1" applyBorder="1" applyAlignment="1" applyProtection="1">
      <alignment vertical="center" wrapText="1"/>
    </xf>
    <xf numFmtId="177" fontId="5" fillId="0" borderId="1" xfId="0" applyNumberFormat="1" applyFont="1" applyBorder="1" applyAlignment="1">
      <alignment horizontal="right" vertical="center"/>
    </xf>
    <xf numFmtId="49" fontId="2" fillId="0" borderId="22" xfId="50" applyFont="1" applyBorder="1" applyAlignment="1" applyProtection="1">
      <alignment horizontal="center" vertical="center" wrapText="1"/>
    </xf>
    <xf numFmtId="49" fontId="11" fillId="0" borderId="25" xfId="51" applyFont="1" applyBorder="1" applyAlignment="1" applyProtection="1">
      <alignment horizontal="left" vertical="center" wrapText="1"/>
    </xf>
    <xf numFmtId="49" fontId="11" fillId="0" borderId="15" xfId="51" applyFont="1" applyBorder="1" applyAlignment="1" applyProtection="1">
      <alignment horizontal="left" vertical="center" wrapText="1"/>
    </xf>
    <xf numFmtId="49" fontId="11" fillId="0" borderId="25" xfId="51" applyFont="1" applyBorder="1" applyAlignment="1" applyProtection="1">
      <alignment horizontal="left" vertical="center"/>
    </xf>
    <xf numFmtId="49" fontId="11" fillId="0" borderId="26" xfId="51" applyFont="1" applyBorder="1" applyAlignment="1" applyProtection="1">
      <alignment horizontal="left" vertical="center" wrapText="1"/>
    </xf>
    <xf numFmtId="49" fontId="11" fillId="0" borderId="27" xfId="51" applyFont="1" applyBorder="1" applyAlignment="1" applyProtection="1">
      <alignment horizontal="left" vertical="center" wrapText="1"/>
    </xf>
    <xf numFmtId="49" fontId="14" fillId="0" borderId="21" xfId="51" applyFont="1" applyBorder="1" applyAlignment="1" applyProtection="1">
      <alignment horizontal="left" vertical="center"/>
    </xf>
    <xf numFmtId="49" fontId="11" fillId="0" borderId="26" xfId="51" applyFont="1" applyBorder="1" applyAlignment="1" applyProtection="1">
      <alignment horizontal="left" vertical="center"/>
    </xf>
    <xf numFmtId="177" fontId="5" fillId="0" borderId="1" xfId="0" applyNumberFormat="1" applyFont="1" applyBorder="1"/>
    <xf numFmtId="49" fontId="11" fillId="0" borderId="28" xfId="51" applyFont="1" applyBorder="1" applyAlignment="1" applyProtection="1">
      <alignment horizontal="left" vertical="center"/>
    </xf>
    <xf numFmtId="49" fontId="11" fillId="0" borderId="29" xfId="51" applyFont="1" applyBorder="1" applyAlignment="1" applyProtection="1">
      <alignment horizontal="left" vertical="center"/>
    </xf>
    <xf numFmtId="176" fontId="3" fillId="3" borderId="5" xfId="49" applyFont="1" applyBorder="1" applyAlignment="1">
      <alignment horizontal="center" vertical="center"/>
    </xf>
    <xf numFmtId="176" fontId="3" fillId="3" borderId="30" xfId="49" applyFont="1" applyBorder="1" applyAlignment="1">
      <alignment horizontal="center" vertical="center"/>
    </xf>
    <xf numFmtId="49" fontId="14" fillId="0" borderId="4" xfId="51" applyFont="1" applyBorder="1" applyAlignment="1" applyProtection="1">
      <alignment horizontal="left" vertical="center"/>
    </xf>
    <xf numFmtId="176" fontId="3" fillId="3" borderId="31" xfId="49" applyFont="1" applyBorder="1" applyAlignment="1">
      <alignment horizontal="center" vertical="center"/>
    </xf>
    <xf numFmtId="49" fontId="11" fillId="0" borderId="32" xfId="51" applyFont="1" applyBorder="1" applyAlignment="1" applyProtection="1">
      <alignment horizontal="left" vertical="center"/>
    </xf>
    <xf numFmtId="49" fontId="11" fillId="0" borderId="4" xfId="51" applyFont="1" applyBorder="1" applyAlignment="1" applyProtection="1">
      <alignment horizontal="left" vertical="center"/>
    </xf>
    <xf numFmtId="40" fontId="6" fillId="0" borderId="0" xfId="0" applyNumberFormat="1" applyFont="1" applyAlignment="1">
      <alignment vertical="center" wrapText="1"/>
    </xf>
    <xf numFmtId="49" fontId="2" fillId="0" borderId="33" xfId="51" applyFont="1" applyBorder="1" applyAlignment="1" applyProtection="1">
      <alignment horizontal="left" vertical="center" wrapText="1"/>
    </xf>
    <xf numFmtId="49" fontId="2" fillId="0" borderId="32" xfId="51" applyFont="1" applyBorder="1" applyAlignment="1" applyProtection="1">
      <alignment horizontal="left" vertical="center" wrapText="1"/>
    </xf>
    <xf numFmtId="0" fontId="6" fillId="0" borderId="0" xfId="0" applyFont="1"/>
    <xf numFmtId="0" fontId="15" fillId="9" borderId="1" xfId="0" applyFont="1" applyFill="1" applyBorder="1" applyAlignment="1">
      <alignment horizontal="center" vertical="center"/>
    </xf>
    <xf numFmtId="49" fontId="1" fillId="10" borderId="34" xfId="52" applyFont="1" applyBorder="1" applyAlignment="1" applyProtection="1">
      <alignment horizontal="center" vertical="center" wrapText="1"/>
    </xf>
    <xf numFmtId="49" fontId="1" fillId="10" borderId="3" xfId="52" applyFont="1" applyBorder="1" applyAlignment="1" applyProtection="1">
      <alignment horizontal="center" vertical="center" wrapText="1"/>
    </xf>
    <xf numFmtId="49" fontId="1" fillId="10" borderId="2" xfId="52" applyFont="1" applyBorder="1" applyAlignment="1" applyProtection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2" fillId="3" borderId="24" xfId="50" applyFont="1" applyFill="1" applyBorder="1" applyAlignment="1" applyProtection="1">
      <alignment horizontal="center" vertical="center" wrapText="1"/>
    </xf>
    <xf numFmtId="176" fontId="3" fillId="3" borderId="21" xfId="49" applyFont="1" applyBorder="1">
      <alignment horizontal="center" vertical="center"/>
    </xf>
    <xf numFmtId="49" fontId="2" fillId="3" borderId="5" xfId="50" applyFont="1" applyFill="1" applyBorder="1" applyAlignment="1" applyProtection="1">
      <alignment horizontal="center" vertical="center" wrapText="1"/>
    </xf>
    <xf numFmtId="49" fontId="2" fillId="3" borderId="17" xfId="50" applyFont="1" applyFill="1" applyBorder="1" applyAlignment="1" applyProtection="1">
      <alignment horizontal="center" vertical="center" wrapText="1"/>
    </xf>
    <xf numFmtId="49" fontId="2" fillId="3" borderId="35" xfId="50" applyFont="1" applyFill="1" applyBorder="1" applyAlignment="1" applyProtection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49" fontId="5" fillId="0" borderId="1" xfId="54" applyFont="1" applyBorder="1" applyAlignment="1" applyProtection="1">
      <alignment horizontal="right" vertical="center" wrapText="1"/>
    </xf>
    <xf numFmtId="176" fontId="3" fillId="3" borderId="4" xfId="49" applyNumberFormat="1" applyFont="1" applyBorder="1">
      <alignment horizontal="center" vertical="center"/>
    </xf>
    <xf numFmtId="49" fontId="2" fillId="3" borderId="19" xfId="50" applyFont="1" applyFill="1" applyBorder="1" applyAlignment="1" applyProtection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6" fillId="0" borderId="1" xfId="0" applyFont="1" applyBorder="1" applyAlignment="1"/>
    <xf numFmtId="0" fontId="6" fillId="0" borderId="1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7" fillId="0" borderId="11" xfId="0" applyFont="1" applyBorder="1" applyAlignment="1">
      <alignment horizontal="left" vertical="center" wrapText="1"/>
    </xf>
    <xf numFmtId="49" fontId="11" fillId="0" borderId="1" xfId="51" applyFont="1" applyBorder="1" applyProtection="1">
      <alignment horizontal="left" vertical="center"/>
    </xf>
    <xf numFmtId="49" fontId="2" fillId="0" borderId="21" xfId="50" applyFont="1" applyBorder="1" applyAlignment="1" applyProtection="1">
      <alignment horizontal="center" vertical="top" wrapText="1"/>
    </xf>
    <xf numFmtId="49" fontId="11" fillId="0" borderId="1" xfId="51" applyFont="1" applyBorder="1" applyAlignment="1" applyProtection="1">
      <alignment horizontal="left" vertical="top" wrapText="1"/>
    </xf>
    <xf numFmtId="49" fontId="2" fillId="0" borderId="36" xfId="50" applyFont="1" applyBorder="1" applyAlignment="1" applyProtection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0" fillId="6" borderId="11" xfId="0" applyFont="1" applyFill="1" applyBorder="1" applyAlignment="1">
      <alignment wrapText="1"/>
    </xf>
    <xf numFmtId="0" fontId="10" fillId="6" borderId="12" xfId="0" applyFont="1" applyFill="1" applyBorder="1" applyAlignment="1">
      <alignment wrapText="1"/>
    </xf>
    <xf numFmtId="0" fontId="10" fillId="6" borderId="8" xfId="0" applyFont="1" applyFill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1" fillId="0" borderId="8" xfId="0" applyFont="1" applyBorder="1" applyAlignment="1">
      <alignment vertical="center" wrapText="1"/>
    </xf>
    <xf numFmtId="176" fontId="3" fillId="3" borderId="1" xfId="49" applyFont="1" applyBorder="1">
      <alignment horizontal="center" vertical="center"/>
    </xf>
    <xf numFmtId="0" fontId="6" fillId="0" borderId="0" xfId="0" applyFont="1" applyAlignment="1">
      <alignment wrapText="1"/>
    </xf>
    <xf numFmtId="49" fontId="2" fillId="3" borderId="22" xfId="50" applyFont="1" applyFill="1" applyBorder="1" applyAlignment="1" applyProtection="1">
      <alignment horizontal="center" vertical="center" wrapText="1"/>
    </xf>
    <xf numFmtId="176" fontId="3" fillId="3" borderId="1" xfId="49" applyNumberFormat="1" applyFont="1" applyBorder="1">
      <alignment horizontal="center" vertical="center"/>
    </xf>
    <xf numFmtId="176" fontId="3" fillId="3" borderId="12" xfId="49" applyFont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49" fontId="1" fillId="10" borderId="11" xfId="52" applyFont="1" applyBorder="1" applyAlignment="1" applyProtection="1">
      <alignment horizontal="center" vertical="center" wrapText="1"/>
    </xf>
    <xf numFmtId="49" fontId="1" fillId="10" borderId="7" xfId="52" applyFont="1" applyBorder="1" applyAlignment="1" applyProtection="1">
      <alignment horizontal="center" vertical="center" wrapText="1"/>
    </xf>
    <xf numFmtId="179" fontId="18" fillId="0" borderId="19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177" fontId="18" fillId="0" borderId="7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77" fontId="18" fillId="0" borderId="37" xfId="0" applyNumberFormat="1" applyFont="1" applyBorder="1" applyAlignment="1">
      <alignment horizontal="center" vertical="center"/>
    </xf>
    <xf numFmtId="49" fontId="1" fillId="10" borderId="5" xfId="52" applyFont="1" applyBorder="1" applyAlignment="1" applyProtection="1">
      <alignment horizontal="center" vertical="center" wrapText="1"/>
    </xf>
    <xf numFmtId="0" fontId="18" fillId="0" borderId="7" xfId="0" applyFont="1" applyBorder="1" applyAlignment="1">
      <alignment horizontal="center" vertical="center"/>
    </xf>
    <xf numFmtId="177" fontId="18" fillId="0" borderId="8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77" fontId="5" fillId="0" borderId="1" xfId="0" applyNumberFormat="1" applyFont="1" applyBorder="1" applyAlignment="1"/>
    <xf numFmtId="0" fontId="11" fillId="0" borderId="1" xfId="0" applyFont="1" applyBorder="1" applyAlignment="1"/>
    <xf numFmtId="0" fontId="5" fillId="0" borderId="1" xfId="0" applyFont="1" applyBorder="1" applyAlignment="1">
      <alignment horizontal="right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49" fontId="11" fillId="0" borderId="22" xfId="51" applyFont="1" applyBorder="1" applyProtection="1">
      <alignment horizontal="left" vertical="center"/>
    </xf>
    <xf numFmtId="49" fontId="2" fillId="0" borderId="22" xfId="50" applyFont="1" applyBorder="1" applyAlignment="1" applyProtection="1">
      <alignment horizontal="left" vertical="center"/>
    </xf>
    <xf numFmtId="0" fontId="11" fillId="0" borderId="11" xfId="0" applyFont="1" applyBorder="1" applyAlignment="1">
      <alignment vertical="center" wrapText="1"/>
    </xf>
    <xf numFmtId="176" fontId="3" fillId="3" borderId="1" xfId="49" applyFont="1" applyBorder="1" applyAlignment="1">
      <alignment horizontal="right" vertical="center"/>
    </xf>
    <xf numFmtId="176" fontId="3" fillId="3" borderId="38" xfId="49" applyFont="1" applyBorder="1" applyAlignment="1">
      <alignment horizontal="right" vertical="center"/>
    </xf>
    <xf numFmtId="176" fontId="3" fillId="3" borderId="22" xfId="49" applyFont="1" applyBorder="1" applyAlignment="1">
      <alignment horizontal="right" vertical="center"/>
    </xf>
    <xf numFmtId="49" fontId="2" fillId="0" borderId="22" xfId="50" applyFont="1" applyBorder="1" applyAlignment="1" applyProtection="1">
      <alignment horizontal="left" vertical="center" wrapText="1"/>
    </xf>
    <xf numFmtId="0" fontId="6" fillId="0" borderId="0" xfId="0" applyFont="1" applyAlignment="1"/>
    <xf numFmtId="0" fontId="13" fillId="0" borderId="1" xfId="0" applyFont="1" applyBorder="1" applyAlignment="1"/>
    <xf numFmtId="0" fontId="9" fillId="0" borderId="0" xfId="0" applyFont="1"/>
    <xf numFmtId="0" fontId="20" fillId="11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0" fillId="11" borderId="37" xfId="0" applyFont="1" applyFill="1" applyBorder="1" applyAlignment="1">
      <alignment horizontal="center" vertical="center" wrapText="1"/>
    </xf>
    <xf numFmtId="180" fontId="9" fillId="0" borderId="37" xfId="0" applyNumberFormat="1" applyFont="1" applyBorder="1" applyAlignment="1">
      <alignment horizontal="center" vertical="center" wrapText="1"/>
    </xf>
    <xf numFmtId="180" fontId="9" fillId="0" borderId="7" xfId="0" applyNumberFormat="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21" fillId="11" borderId="0" xfId="0" applyFont="1" applyFill="1" applyBorder="1" applyAlignment="1">
      <alignment horizontal="center"/>
    </xf>
    <xf numFmtId="0" fontId="22" fillId="11" borderId="0" xfId="0" applyFont="1" applyFill="1" applyBorder="1" applyAlignment="1">
      <alignment horizontal="center" vertical="top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 Value" xfId="49"/>
    <cellStyle name="Item Label" xfId="50"/>
    <cellStyle name="Item Text" xfId="51"/>
    <cellStyle name="Legend Sub Header" xfId="52"/>
    <cellStyle name="Revenue Header Font" xfId="53"/>
    <cellStyle name="Total Label" xfId="54"/>
    <cellStyle name="Expense Value" xfId="55"/>
  </cellStyles>
  <dxfs count="9">
    <dxf>
      <font>
        <color theme="3" tint="0.499984740745262"/>
      </font>
      <fill>
        <patternFill patternType="solid">
          <bgColor theme="0"/>
        </patternFill>
      </fill>
    </dxf>
    <dxf>
      <font>
        <color rgb="FFFF0000"/>
      </font>
      <fill>
        <patternFill patternType="solid">
          <bgColor theme="0"/>
        </patternFill>
      </fill>
    </dxf>
    <dxf>
      <font>
        <color theme="3" tint="0.5"/>
      </font>
    </dxf>
    <dxf>
      <font>
        <color rgb="FF5B9BD5"/>
      </font>
      <fill>
        <patternFill patternType="solid">
          <bgColor theme="0"/>
        </patternFill>
      </fill>
    </dxf>
    <dxf>
      <font>
        <b val="1"/>
        <i val="0"/>
        <color rgb="FF5B9BD5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  <dxf>
      <font>
        <name val="Calibri"/>
        <scheme val="none"/>
        <charset val="1"/>
        <b val="1"/>
        <sz val="11"/>
        <color rgb="FF2A6099"/>
      </font>
      <numFmt numFmtId="176" formatCode="[$$-409]#,##0.00;[Red]\-[$$-409]#,##0.00"/>
    </dxf>
    <dxf>
      <font>
        <name val="Calibri"/>
        <scheme val="none"/>
        <charset val="1"/>
        <b val="1"/>
        <i val="0"/>
        <strike val="0"/>
        <u val="none"/>
        <sz val="11"/>
        <color rgb="FF2A6099"/>
      </font>
      <numFmt numFmtId="176" formatCode="[$$-409]#,##0.00;[Red]\-[$$-409]#,##0.00"/>
    </dxf>
    <dxf>
      <font>
        <name val="Calibri"/>
        <scheme val="none"/>
        <charset val="1"/>
        <family val="0"/>
        <b val="1"/>
        <sz val="11"/>
        <color rgb="FF2A6099"/>
      </font>
      <numFmt numFmtId="176" formatCode="[$$-409]#,##0.00;[Red]\-[$$-409]#,##0.00"/>
    </dxf>
  </dxfs>
  <tableStyles count="0" defaultTableStyle="TableStyleMedium2" defaultPivotStyle="PivotStyleMedium9"/>
  <colors>
    <mruColors>
      <color rgb="005B9B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eetMetadata" Target="metadata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2"/>
  <sheetViews>
    <sheetView tabSelected="1" workbookViewId="0">
      <selection activeCell="AA2" sqref="AA2"/>
    </sheetView>
  </sheetViews>
  <sheetFormatPr defaultColWidth="8.88888888888889" defaultRowHeight="17.6"/>
  <sheetData>
    <row r="1" spans="1:26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</row>
    <row r="2" spans="1:26">
      <c r="A2" s="254"/>
      <c r="B2" s="254"/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</row>
    <row r="3" spans="1:26">
      <c r="A3" s="254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</row>
    <row r="4" spans="1:26">
      <c r="A4" s="254"/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4"/>
      <c r="W4" s="254"/>
      <c r="X4" s="254"/>
      <c r="Y4" s="254"/>
      <c r="Z4" s="254"/>
    </row>
    <row r="5" spans="1:26">
      <c r="A5" s="254"/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</row>
    <row r="6" spans="1:26">
      <c r="A6" s="254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</row>
    <row r="7" spans="1:26">
      <c r="A7" s="254"/>
      <c r="B7" s="254"/>
      <c r="C7" s="254"/>
      <c r="D7" s="254"/>
      <c r="E7" s="254"/>
      <c r="F7" s="254"/>
      <c r="G7" s="254"/>
      <c r="H7" s="254"/>
      <c r="I7" s="254"/>
      <c r="J7" s="254"/>
      <c r="K7" s="254"/>
      <c r="L7" s="254"/>
      <c r="M7" s="254"/>
      <c r="N7" s="254"/>
      <c r="O7" s="254"/>
      <c r="P7" s="254"/>
      <c r="Q7" s="254"/>
      <c r="R7" s="254"/>
      <c r="S7" s="254"/>
      <c r="T7" s="254"/>
      <c r="U7" s="254"/>
      <c r="V7" s="254"/>
      <c r="W7" s="254"/>
      <c r="X7" s="254"/>
      <c r="Y7" s="254"/>
      <c r="Z7" s="254"/>
    </row>
    <row r="8" spans="1:26">
      <c r="A8" s="254"/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4"/>
      <c r="W8" s="254"/>
      <c r="X8" s="254"/>
      <c r="Y8" s="254"/>
      <c r="Z8" s="254"/>
    </row>
    <row r="9" spans="1:26">
      <c r="A9" s="254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4"/>
      <c r="W9" s="254"/>
      <c r="X9" s="254"/>
      <c r="Y9" s="254"/>
      <c r="Z9" s="254"/>
    </row>
    <row r="10" spans="1:26">
      <c r="A10" s="254"/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  <c r="R10" s="254"/>
      <c r="S10" s="254"/>
      <c r="T10" s="254"/>
      <c r="U10" s="254"/>
      <c r="V10" s="254"/>
      <c r="W10" s="254"/>
      <c r="X10" s="254"/>
      <c r="Y10" s="254"/>
      <c r="Z10" s="254"/>
    </row>
    <row r="11" spans="1:26">
      <c r="A11" s="254"/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</row>
    <row r="12" spans="1:26">
      <c r="A12" s="254"/>
      <c r="B12" s="254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</row>
    <row r="13" spans="1:26">
      <c r="A13" s="254"/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</row>
    <row r="14" spans="1:26">
      <c r="A14" s="254"/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</row>
    <row r="15" spans="1:26">
      <c r="A15" s="254"/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</row>
    <row r="16" spans="1:26">
      <c r="A16" s="254"/>
      <c r="B16" s="254"/>
      <c r="C16" s="254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</row>
    <row r="17" spans="1:26">
      <c r="A17" s="254"/>
      <c r="B17" s="254"/>
      <c r="C17" s="254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</row>
    <row r="18" spans="1:26">
      <c r="A18" s="254"/>
      <c r="B18" s="254"/>
      <c r="C18" s="254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</row>
    <row r="19" spans="1:26">
      <c r="A19" s="254"/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</row>
    <row r="20" spans="1:26">
      <c r="A20" s="254"/>
      <c r="B20" s="254"/>
      <c r="C20" s="254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</row>
    <row r="21" spans="1:26">
      <c r="A21" s="254"/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</row>
    <row r="22" spans="1:26">
      <c r="A22" s="254"/>
      <c r="B22" s="254"/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</row>
    <row r="23" spans="1:26">
      <c r="A23" s="254"/>
      <c r="B23" s="254"/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</row>
    <row r="24" spans="1:26">
      <c r="A24" s="254"/>
      <c r="B24" s="254"/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</row>
    <row r="25" spans="1:26">
      <c r="A25" s="254"/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</row>
    <row r="26" spans="1:26">
      <c r="A26" s="254"/>
      <c r="B26" s="254"/>
      <c r="C26" s="254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</row>
    <row r="27" spans="1:26">
      <c r="A27" s="254"/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</row>
    <row r="28" spans="1:26">
      <c r="A28" s="254"/>
      <c r="B28" s="254"/>
      <c r="C28" s="254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</row>
    <row r="29" spans="1:26">
      <c r="A29" s="254"/>
      <c r="B29" s="254"/>
      <c r="C29" s="254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</row>
    <row r="30" spans="1:26">
      <c r="A30" s="254"/>
      <c r="B30" s="254"/>
      <c r="C30" s="254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</row>
    <row r="31" spans="1:26">
      <c r="A31" s="254"/>
      <c r="B31" s="254"/>
      <c r="C31" s="254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</row>
    <row r="32" spans="1:26">
      <c r="A32" s="255" t="s">
        <v>1</v>
      </c>
      <c r="B32" s="255"/>
      <c r="C32" s="255"/>
      <c r="D32" s="255"/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</row>
    <row r="33" spans="1:26">
      <c r="A33" s="255"/>
      <c r="B33" s="255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/>
      <c r="Q33" s="255"/>
      <c r="R33" s="255"/>
      <c r="S33" s="255"/>
      <c r="T33" s="255"/>
      <c r="U33" s="255"/>
      <c r="V33" s="255"/>
      <c r="W33" s="255"/>
      <c r="X33" s="255"/>
      <c r="Y33" s="255"/>
      <c r="Z33" s="255"/>
    </row>
    <row r="34" spans="1:26">
      <c r="A34" s="255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255"/>
      <c r="S34" s="255"/>
      <c r="T34" s="255"/>
      <c r="U34" s="255"/>
      <c r="V34" s="255"/>
      <c r="W34" s="255"/>
      <c r="X34" s="255"/>
      <c r="Y34" s="255"/>
      <c r="Z34" s="255"/>
    </row>
    <row r="35" spans="1:26">
      <c r="A35" s="255"/>
      <c r="B35" s="255"/>
      <c r="C35" s="255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255"/>
      <c r="Q35" s="255"/>
      <c r="R35" s="255"/>
      <c r="S35" s="255"/>
      <c r="T35" s="255"/>
      <c r="U35" s="255"/>
      <c r="V35" s="255"/>
      <c r="W35" s="255"/>
      <c r="X35" s="255"/>
      <c r="Y35" s="255"/>
      <c r="Z35" s="255"/>
    </row>
    <row r="36" spans="1:26">
      <c r="A36" s="255"/>
      <c r="B36" s="255"/>
      <c r="C36" s="255"/>
      <c r="D36" s="255"/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</row>
    <row r="37" spans="1:26">
      <c r="A37" s="255"/>
      <c r="B37" s="255"/>
      <c r="C37" s="255"/>
      <c r="D37" s="255"/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255"/>
      <c r="Q37" s="255"/>
      <c r="R37" s="255"/>
      <c r="S37" s="255"/>
      <c r="T37" s="255"/>
      <c r="U37" s="255"/>
      <c r="V37" s="255"/>
      <c r="W37" s="255"/>
      <c r="X37" s="255"/>
      <c r="Y37" s="255"/>
      <c r="Z37" s="255"/>
    </row>
    <row r="38" spans="1:26">
      <c r="A38" s="255"/>
      <c r="B38" s="255"/>
      <c r="C38" s="255"/>
      <c r="D38" s="255"/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255"/>
      <c r="Q38" s="255"/>
      <c r="R38" s="255"/>
      <c r="S38" s="255"/>
      <c r="T38" s="255"/>
      <c r="U38" s="255"/>
      <c r="V38" s="255"/>
      <c r="W38" s="255"/>
      <c r="X38" s="255"/>
      <c r="Y38" s="255"/>
      <c r="Z38" s="255"/>
    </row>
    <row r="39" spans="1:26">
      <c r="A39" s="255"/>
      <c r="B39" s="255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</row>
    <row r="40" spans="1:26">
      <c r="A40" s="255"/>
      <c r="B40" s="255"/>
      <c r="C40" s="255"/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5"/>
      <c r="R40" s="255"/>
      <c r="S40" s="255"/>
      <c r="T40" s="255"/>
      <c r="U40" s="255"/>
      <c r="V40" s="255"/>
      <c r="W40" s="255"/>
      <c r="X40" s="255"/>
      <c r="Y40" s="255"/>
      <c r="Z40" s="255"/>
    </row>
    <row r="41" spans="1:26">
      <c r="A41" s="255"/>
      <c r="B41" s="255"/>
      <c r="C41" s="255"/>
      <c r="D41" s="255"/>
      <c r="E41" s="255"/>
      <c r="F41" s="255"/>
      <c r="G41" s="255"/>
      <c r="H41" s="255"/>
      <c r="I41" s="255"/>
      <c r="J41" s="255"/>
      <c r="K41" s="255"/>
      <c r="L41" s="255"/>
      <c r="M41" s="255"/>
      <c r="N41" s="255"/>
      <c r="O41" s="255"/>
      <c r="P41" s="255"/>
      <c r="Q41" s="255"/>
      <c r="R41" s="255"/>
      <c r="S41" s="255"/>
      <c r="T41" s="255"/>
      <c r="U41" s="255"/>
      <c r="V41" s="255"/>
      <c r="W41" s="255"/>
      <c r="X41" s="255"/>
      <c r="Y41" s="255"/>
      <c r="Z41" s="255"/>
    </row>
    <row r="42" spans="1:26">
      <c r="A42" s="255"/>
      <c r="B42" s="255"/>
      <c r="C42" s="255"/>
      <c r="D42" s="255"/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255"/>
      <c r="Q42" s="255"/>
      <c r="R42" s="255"/>
      <c r="S42" s="255"/>
      <c r="T42" s="255"/>
      <c r="U42" s="255"/>
      <c r="V42" s="255"/>
      <c r="W42" s="255"/>
      <c r="X42" s="255"/>
      <c r="Y42" s="255"/>
      <c r="Z42" s="255"/>
    </row>
    <row r="43" spans="1:26">
      <c r="A43" s="255"/>
      <c r="B43" s="255"/>
      <c r="C43" s="255"/>
      <c r="D43" s="255"/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255"/>
      <c r="Q43" s="255"/>
      <c r="R43" s="255"/>
      <c r="S43" s="255"/>
      <c r="T43" s="255"/>
      <c r="U43" s="255"/>
      <c r="V43" s="255"/>
      <c r="W43" s="255"/>
      <c r="X43" s="255"/>
      <c r="Y43" s="255"/>
      <c r="Z43" s="255"/>
    </row>
    <row r="44" spans="1:26">
      <c r="A44" s="255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</row>
    <row r="45" spans="1:26">
      <c r="A45" s="255"/>
      <c r="B45" s="255"/>
      <c r="C45" s="255"/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5"/>
      <c r="R45" s="255"/>
      <c r="S45" s="255"/>
      <c r="T45" s="255"/>
      <c r="U45" s="255"/>
      <c r="V45" s="255"/>
      <c r="W45" s="255"/>
      <c r="X45" s="255"/>
      <c r="Y45" s="255"/>
      <c r="Z45" s="255"/>
    </row>
    <row r="46" spans="1:26">
      <c r="A46" s="255"/>
      <c r="B46" s="255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55"/>
      <c r="S46" s="255"/>
      <c r="T46" s="255"/>
      <c r="U46" s="255"/>
      <c r="V46" s="255"/>
      <c r="W46" s="255"/>
      <c r="X46" s="255"/>
      <c r="Y46" s="255"/>
      <c r="Z46" s="255"/>
    </row>
    <row r="47" spans="1:26">
      <c r="A47" s="255"/>
      <c r="B47" s="255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55"/>
      <c r="S47" s="255"/>
      <c r="T47" s="255"/>
      <c r="U47" s="255"/>
      <c r="V47" s="255"/>
      <c r="W47" s="255"/>
      <c r="X47" s="255"/>
      <c r="Y47" s="255"/>
      <c r="Z47" s="255"/>
    </row>
    <row r="48" spans="1:26">
      <c r="A48" s="255"/>
      <c r="B48" s="255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</row>
    <row r="49" spans="1:26">
      <c r="A49" s="255"/>
      <c r="B49" s="255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55"/>
      <c r="S49" s="255"/>
      <c r="T49" s="255"/>
      <c r="U49" s="255"/>
      <c r="V49" s="255"/>
      <c r="W49" s="255"/>
      <c r="X49" s="255"/>
      <c r="Y49" s="255"/>
      <c r="Z49" s="255"/>
    </row>
    <row r="50" spans="1:26">
      <c r="A50" s="255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255"/>
      <c r="S50" s="255"/>
      <c r="T50" s="255"/>
      <c r="U50" s="255"/>
      <c r="V50" s="255"/>
      <c r="W50" s="255"/>
      <c r="X50" s="255"/>
      <c r="Y50" s="255"/>
      <c r="Z50" s="255"/>
    </row>
    <row r="51" spans="1:26">
      <c r="A51" s="255"/>
      <c r="B51" s="255"/>
      <c r="C51" s="255"/>
      <c r="D51" s="255"/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255"/>
      <c r="Q51" s="255"/>
      <c r="R51" s="255"/>
      <c r="S51" s="255"/>
      <c r="T51" s="255"/>
      <c r="U51" s="255"/>
      <c r="V51" s="255"/>
      <c r="W51" s="255"/>
      <c r="X51" s="255"/>
      <c r="Y51" s="255"/>
      <c r="Z51" s="255"/>
    </row>
    <row r="52" spans="1:26">
      <c r="A52" s="255"/>
      <c r="B52" s="255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255"/>
      <c r="Q52" s="255"/>
      <c r="R52" s="255"/>
      <c r="S52" s="255"/>
      <c r="T52" s="255"/>
      <c r="U52" s="255"/>
      <c r="V52" s="255"/>
      <c r="W52" s="255"/>
      <c r="X52" s="255"/>
      <c r="Y52" s="255"/>
      <c r="Z52" s="255"/>
    </row>
    <row r="53" spans="1:26">
      <c r="A53" s="255"/>
      <c r="B53" s="255"/>
      <c r="C53" s="255"/>
      <c r="D53" s="255"/>
      <c r="E53" s="255"/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255"/>
      <c r="Q53" s="255"/>
      <c r="R53" s="255"/>
      <c r="S53" s="255"/>
      <c r="T53" s="255"/>
      <c r="U53" s="255"/>
      <c r="V53" s="255"/>
      <c r="W53" s="255"/>
      <c r="X53" s="255"/>
      <c r="Y53" s="255"/>
      <c r="Z53" s="255"/>
    </row>
    <row r="54" spans="1:26">
      <c r="A54" s="255"/>
      <c r="B54" s="255"/>
      <c r="C54" s="255"/>
      <c r="D54" s="255"/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255"/>
      <c r="Q54" s="255"/>
      <c r="R54" s="255"/>
      <c r="S54" s="255"/>
      <c r="T54" s="255"/>
      <c r="U54" s="255"/>
      <c r="V54" s="255"/>
      <c r="W54" s="255"/>
      <c r="X54" s="255"/>
      <c r="Y54" s="255"/>
      <c r="Z54" s="255"/>
    </row>
    <row r="55" spans="1:26">
      <c r="A55" s="255"/>
      <c r="B55" s="255"/>
      <c r="C55" s="255"/>
      <c r="D55" s="255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</row>
    <row r="56" spans="1:26">
      <c r="A56" s="255"/>
      <c r="B56" s="255"/>
      <c r="C56" s="255"/>
      <c r="D56" s="255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</row>
    <row r="57" spans="1:26">
      <c r="A57" s="255"/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255"/>
      <c r="Y57" s="255"/>
      <c r="Z57" s="255"/>
    </row>
    <row r="58" spans="1:26">
      <c r="A58" s="255"/>
      <c r="B58" s="255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255"/>
      <c r="Q58" s="255"/>
      <c r="R58" s="255"/>
      <c r="S58" s="255"/>
      <c r="T58" s="255"/>
      <c r="U58" s="255"/>
      <c r="V58" s="255"/>
      <c r="W58" s="255"/>
      <c r="X58" s="255"/>
      <c r="Y58" s="255"/>
      <c r="Z58" s="255"/>
    </row>
    <row r="59" spans="1:26">
      <c r="A59" s="255"/>
      <c r="B59" s="255"/>
      <c r="C59" s="255"/>
      <c r="D59" s="255"/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5"/>
    </row>
    <row r="60" spans="1:26">
      <c r="A60" s="255"/>
      <c r="B60" s="255"/>
      <c r="C60" s="255"/>
      <c r="D60" s="255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</row>
    <row r="61" spans="1:26">
      <c r="A61" s="255"/>
      <c r="B61" s="255"/>
      <c r="C61" s="255"/>
      <c r="D61" s="255"/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255"/>
      <c r="Q61" s="255"/>
      <c r="R61" s="255"/>
      <c r="S61" s="255"/>
      <c r="T61" s="255"/>
      <c r="U61" s="255"/>
      <c r="V61" s="255"/>
      <c r="W61" s="255"/>
      <c r="X61" s="255"/>
      <c r="Y61" s="255"/>
      <c r="Z61" s="255"/>
    </row>
    <row r="62" spans="1:26">
      <c r="A62" s="255"/>
      <c r="B62" s="255"/>
      <c r="C62" s="255"/>
      <c r="D62" s="255"/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255"/>
      <c r="Q62" s="255"/>
      <c r="R62" s="255"/>
      <c r="S62" s="255"/>
      <c r="T62" s="255"/>
      <c r="U62" s="255"/>
      <c r="V62" s="255"/>
      <c r="W62" s="255"/>
      <c r="X62" s="255"/>
      <c r="Y62" s="255"/>
      <c r="Z62" s="255"/>
    </row>
  </sheetData>
  <sheetProtection sheet="1" objects="1"/>
  <mergeCells count="2">
    <mergeCell ref="A1:Z31"/>
    <mergeCell ref="A32:Z6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workbookViewId="0">
      <selection activeCell="A4" sqref="A4"/>
    </sheetView>
  </sheetViews>
  <sheetFormatPr defaultColWidth="9" defaultRowHeight="16.8" outlineLevelCol="1"/>
  <cols>
    <col min="1" max="1" width="43.25" style="234" customWidth="1"/>
    <col min="2" max="2" width="34.125" style="234" customWidth="1"/>
    <col min="3" max="16384" width="9" style="234"/>
  </cols>
  <sheetData>
    <row r="1" ht="45" customHeight="1" spans="1:2">
      <c r="A1" s="235" t="s">
        <v>2</v>
      </c>
      <c r="B1" s="236" t="s">
        <v>3</v>
      </c>
    </row>
    <row r="2" ht="45" customHeight="1" spans="1:2">
      <c r="A2" s="237" t="s">
        <v>4</v>
      </c>
      <c r="B2" s="238" t="b">
        <v>1</v>
      </c>
    </row>
    <row r="3" ht="36" customHeight="1" spans="1:2">
      <c r="A3" s="239" t="s">
        <v>5</v>
      </c>
      <c r="B3" s="240">
        <v>45402</v>
      </c>
    </row>
    <row r="4" ht="45" customHeight="1" spans="1:2">
      <c r="A4" s="235" t="s">
        <v>6</v>
      </c>
      <c r="B4" s="241" t="str">
        <f>IF(B2,TEXT(EDATE(B3,1)-1,"dd-mmm-yyyy"),TEXT(EDATE(B3,1)-1,"dd-mmm-yyyy"))</f>
        <v>19-May-2024</v>
      </c>
    </row>
    <row r="5" ht="45" customHeight="1" spans="1:2">
      <c r="A5" s="237" t="s">
        <v>7</v>
      </c>
      <c r="B5" s="242">
        <v>45777</v>
      </c>
    </row>
    <row r="6" ht="45" customHeight="1" spans="1:2">
      <c r="A6" s="237"/>
      <c r="B6" s="242"/>
    </row>
    <row r="7" ht="24.75" customHeight="1" spans="1:2">
      <c r="A7" s="243"/>
      <c r="B7" s="244"/>
    </row>
    <row r="8" ht="40" customHeight="1" spans="1:2">
      <c r="A8" s="245" t="s">
        <v>8</v>
      </c>
      <c r="B8" s="245"/>
    </row>
    <row r="9" ht="20.25" customHeight="1" spans="1:2">
      <c r="A9" s="246" t="str">
        <f>TEXT(B3,"dd mmmm yyyy")&amp;" - "&amp;IF(B2,TEXT(EDATE(B3,1)-1,"dd mmmm yyyy"),TEXT(B3+B5-B3,"dd mmmm yyyy"))</f>
        <v>20 April 2024 - 19 May 2024</v>
      </c>
      <c r="B9" s="247" t="s">
        <v>9</v>
      </c>
    </row>
    <row r="10" ht="20.25" customHeight="1" spans="1:2">
      <c r="A10" s="238" t="str">
        <f>IF(B2,TEXT(EDATE(B3,1),"dd mmmm yyyy"),TEXT(B3+(B5-B3)+1,"dd mmmm yyyy"))&amp;" - "&amp;IF(B2,TEXT(EDATE(B3,2)-1,"dd mmmm yyyy"),TEXT(B3+(B5-B3)*2+1,"dd mmmm yyyy"))</f>
        <v>20 May 2024 - 19 June 2024</v>
      </c>
      <c r="B10" s="247"/>
    </row>
    <row r="11" ht="20.25" customHeight="1" spans="1:2">
      <c r="A11" s="238" t="str">
        <f>IF(B2,TEXT(EDATE(B3,2),"dd mmmm yyyy"),TEXT(B3+((B5-B3)*2)+2,"dd mmmm yyyy"))&amp;" - "&amp;IF(B2,TEXT(EDATE(B3,3)-1,"dd mmmm yyyy"),TEXT(B3+((B5-B3)*3+2),"dd mmmm yyyy"))</f>
        <v>20 June 2024 - 19 July 2024</v>
      </c>
      <c r="B11" s="248"/>
    </row>
    <row r="12" ht="20.25" customHeight="1" spans="1:2">
      <c r="A12" s="249" t="str">
        <f>IF(B2,TEXT(EDATE(B3,3),"dd mmmm yyyy"),TEXT(B3+((B5-B3)*3)+3,"dd mmmm yyyy"))&amp;" - "&amp;IF(B2,TEXT(EDATE(B3,4)-1,"dd mmmm yyyy"),TEXT(B3+(((B5-B3)*4)+3),"dd mmmm yyyy"))</f>
        <v>20 July 2024 - 19 August 2024</v>
      </c>
      <c r="B12" s="236" t="s">
        <v>10</v>
      </c>
    </row>
    <row r="13" ht="20.25" customHeight="1" spans="1:2">
      <c r="A13" s="249" t="str">
        <f>IF(B2,TEXT(EDATE(B3,4),"dd mmmm yyyy"),TEXT(B3+((B5-B3)*4)+4,"dd mmmm yyyy"))&amp;" - "&amp;IF(B2,TEXT(EDATE(B3,5)-1,"dd mmmm yyyy"),TEXT(B3+(((B5-B3)*5)+4),"dd mmmm yyyy"))</f>
        <v>20 August 2024 - 19 September 2024</v>
      </c>
      <c r="B13" s="250"/>
    </row>
    <row r="14" ht="20.25" customHeight="1" spans="1:2">
      <c r="A14" s="238" t="str">
        <f>IF(B2,TEXT(EDATE(B3,5),"dd mmmm yyyy"),TEXT(B3+((B5-B3)*5)+5,"dd mmmm yyyy"))&amp;" - "&amp;IF(B2,TEXT(EDATE(B3,6)-1,"dd mmmm yyyy"),TEXT(B3+(((B5-B3)*6)+5),"dd mmmm yyyy"))</f>
        <v>20 September 2024 - 19 October 2024</v>
      </c>
      <c r="B14" s="251"/>
    </row>
    <row r="15" ht="20.25" customHeight="1" spans="1:2">
      <c r="A15" s="238" t="str">
        <f>IF(B2,TEXT(EDATE(B3,6),"dd mmmm yyyy"),TEXT(B3+((B5-B3)*6)+6,"dd mmmm yyyy"))&amp;" - "&amp;IF(B2,TEXT(EDATE(B3,7)-1,"dd mmmm yyyy"),TEXT(B3+(((B5-B3)*7)+6),"dd mmmm yyyy"))</f>
        <v>20 October 2024 - 19 November 2024</v>
      </c>
      <c r="B15" s="236" t="s">
        <v>11</v>
      </c>
    </row>
    <row r="16" ht="20.25" customHeight="1" spans="1:2">
      <c r="A16" s="238" t="str">
        <f>IF(B2,TEXT(EDATE(B3,7),"dd mmmm yyyy"),TEXT(B3+((B5-B3)*7)+7,"dd mmmm yyyy"))&amp;" - "&amp;IF(B2,TEXT(EDATE(B3,8)-1,"dd mmmm yyyy"),TEXT(B3+(((B5-B3)*8)+7),"dd mmmm yyyy"))</f>
        <v>20 November 2024 - 19 December 2024</v>
      </c>
      <c r="B16" s="250"/>
    </row>
    <row r="17" ht="20.25" customHeight="1" spans="1:2">
      <c r="A17" s="238" t="str">
        <f>IF(B2,TEXT(EDATE(B3,8),"dd mmmm yyyy"),TEXT(B3+((B5-B3)*8)+8,"dd mmmm yyyy"))&amp;" - "&amp;IF(B2,TEXT(EDATE(B3,9)-1,"dd mmmm yyyy"),TEXT(B3+(((B5-B3)*9)+8),"dd mmmm yyyy"))</f>
        <v>20 December 2024 - 19 January 2025</v>
      </c>
      <c r="B17" s="251"/>
    </row>
    <row r="18" ht="20.25" customHeight="1" spans="1:2">
      <c r="A18" s="238" t="str">
        <f>IF(B2,TEXT(EDATE(B3,9),"dd mmmm yyyy"),TEXT(B3+((B5-B3)*9)+9,"dd mmmm yyyy"))&amp;" - "&amp;IF(B2,TEXT(EDATE(B3,10)-1,"dd mmmm yyyy"),TEXT(B3+(((B5-B3)*10)+9),"dd mmmm yyyy"))</f>
        <v>20 January 2025 - 19 February 2025</v>
      </c>
      <c r="B18" s="236" t="s">
        <v>12</v>
      </c>
    </row>
    <row r="19" ht="20.25" customHeight="1" spans="1:2">
      <c r="A19" s="238" t="str">
        <f>IF(B2,TEXT(EDATE(B3,10),"dd mmmm yyyy"),TEXT(B3+((B5-B3)*10)+10,"dd mmmm yyyy"))&amp;" - "&amp;IF(B2,TEXT(EDATE(B3,11)-1,"dd mmmm yyyy"),TEXT(B3+(((B5-B3)*11)+10),"dd mmmm yyyy"))</f>
        <v>20 February 2025 - 19 March 2025</v>
      </c>
      <c r="B19" s="250"/>
    </row>
    <row r="20" ht="20.25" customHeight="1" spans="1:2">
      <c r="A20" s="252" t="str">
        <f>IF(B2,TEXT(EDATE(B3,11),"dd mmmm yyyy"),TEXT(B3+((B5-B3)*11)+11,"dd mmmm yyyy"))&amp;" - "&amp;IF(B2,TEXT(EDATE(B3,12)-1,"dd mmmm yyyy"),TEXT(B3+(((B5-B3)*12)+11),"dd mmmm yyyy"))</f>
        <v>20 March 2025 - 19 April 2025</v>
      </c>
      <c r="B20" s="251"/>
    </row>
    <row r="21" ht="20.25" customHeight="1" spans="1:2">
      <c r="A21" s="253" t="str">
        <f>IF(B2,TEXT(EDATE(B3,12),"dd mmmm yyyy"),TEXT(B3+((B5-B3)*12)+12,"dd mmmm yyyy"))&amp;" - "&amp;IF(B2,TEXT(EDATE(B3,13)-1,"dd mmmm yyyy"),TEXT(B3+(((B5-B3)*13)+12),"dd mmmm yyyy"))</f>
        <v>20 April 2025 - 19 May 2025</v>
      </c>
      <c r="B21" s="238" t="s">
        <v>13</v>
      </c>
    </row>
    <row r="22" ht="20.25" customHeight="1" spans="1:2">
      <c r="A22" s="253" t="str">
        <f>IF(B2,TEXT(EDATE(B3,13),"dd mmmm yyyy"),TEXT(B3+((B5-B3)*13)+13,"dd mmmm yyyy"))&amp;" - "&amp;IF(B2,TEXT(EDATE(B3,14)-1,"dd mmmm yyyy"),TEXT(B3+(((B5-B3)*14)+13),"dd mmmm yyyy"))</f>
        <v>20 May 2025 - 19 June 2025</v>
      </c>
      <c r="B22" s="238"/>
    </row>
    <row r="23" ht="20.25" customHeight="1" spans="1:2">
      <c r="A23" s="252" t="str">
        <f>IF(B2,TEXT(EDATE(B3,14),"dd mmmm yyyy"),TEXT(B3+((B5-B3)*14)+14,"dd mmmm yyyy"))&amp;" - "&amp;IF(B2,TEXT(EDATE(B3,15)-1,"dd mmmm yyyy"),TEXT(B3+(((B5-B3)*15)+14),"dd mmmm yyyy"))</f>
        <v>20 June 2025 - 19 July 2025</v>
      </c>
      <c r="B23" s="236"/>
    </row>
    <row r="24" ht="20.25" customHeight="1" spans="1:2">
      <c r="A24" s="238" t="str">
        <f>IF(B2,TEXT(EDATE(B3,15),"dd mmmm yyyy"),TEXT(B3+((B5-B3)*15)+15,"dd mmmm yyyy"))&amp;" - "&amp;IF(B2,TEXT(EDATE(B3,16)-1,"dd mmmm yyyy"),TEXT(B3+(((B5-B3)*16)+15),"dd mmmm yyyy"))</f>
        <v>20 July 2025 - 19 August 2025</v>
      </c>
      <c r="B24" s="238" t="s">
        <v>14</v>
      </c>
    </row>
    <row r="25" ht="20.25" customHeight="1" spans="1:2">
      <c r="A25" s="238" t="str">
        <f>IF(B2,TEXT(EDATE(B3,16),"dd mmmm yyyy"),TEXT(B3+((B5-B3)*16)+16,"dd mmmm yyyy"))&amp;" - "&amp;IF(B2,TEXT(EDATE(B3,17)-1,"dd mmmm yyyy"),TEXT(B3+(((B5-B3)*17)+16),"dd mmmm yyyy"))</f>
        <v>20 August 2025 - 19 September 2025</v>
      </c>
      <c r="B25" s="238"/>
    </row>
    <row r="26" ht="20.25" customHeight="1" spans="1:2">
      <c r="A26" s="236" t="str">
        <f>IF(B2,TEXT(EDATE(B3,17),"dd mmmm yyyy"),TEXT(B3+((B5-B3)*17)+17,"dd mmmm yyyy"))&amp;" - "&amp;IF(B2,TEXT(EDATE(B3,18)-1,"dd mmmm yyyy"),TEXT(B3+(((B5-B3)*18)+17),"dd mmmm yyyy"))</f>
        <v>20 September 2025 - 19 October 2025</v>
      </c>
      <c r="B26" s="236"/>
    </row>
    <row r="27" ht="20.25" customHeight="1" spans="1:2">
      <c r="A27" s="238" t="str">
        <f>IF(B2,TEXT(EDATE(B3,18),"dd mmmm yyyy"),TEXT(B3+((B5-B3)*18)+18,"dd mmmm yyyy"))&amp;" - "&amp;IF(B2,TEXT(EDATE(B3,19)-1,"dd mmmm yyyy"),TEXT(B3+(((B5-B3)*19)+18),"dd mmmm yyyy"))</f>
        <v>20 October 2025 - 19 November 2025</v>
      </c>
      <c r="B27" s="238" t="s">
        <v>15</v>
      </c>
    </row>
    <row r="28" ht="20.25" customHeight="1" spans="1:2">
      <c r="A28" s="238" t="str">
        <f>IF(B2,TEXT(EDATE(B3,19),"dd mmmm yyyy"),TEXT(B3+((B5-B3)*19)+19,"dd mmmm yyyy"))&amp;" - "&amp;IF(B2,TEXT(EDATE(B3,20)-1,"dd mmmm yyyy"),TEXT(B3+(((B5-B3)*20)+19),"dd mmmm yyyy"))</f>
        <v>20 November 2025 - 19 December 2025</v>
      </c>
      <c r="B28" s="238"/>
    </row>
    <row r="29" ht="20.25" customHeight="1" spans="1:2">
      <c r="A29" s="236" t="str">
        <f>IF(B2,TEXT(EDATE(B3,20),"dd mmmm yyyy"),TEXT(B3+((B5-B3)*20)+20,"dd mmmm yyyy"))&amp;" - "&amp;IF(B2,TEXT(EDATE(B3,21)-1,"dd mmmm yyyy"),TEXT(B3+(((B5-B3)*21)+20),"dd mmmm yyyy"))</f>
        <v>20 December 2025 - 19 January 2026</v>
      </c>
      <c r="B29" s="236"/>
    </row>
    <row r="30" ht="20.25" customHeight="1" spans="1:2">
      <c r="A30" s="238" t="str">
        <f>IF(B2,TEXT(EDATE(B3,21),"dd mmmm yyyy"),TEXT(B3+((B5-B3)*21)+21,"dd mmmm yyyy"))&amp;" - "&amp;IF(B2,TEXT(EDATE(B3,22)-1,"dd mmmm yyyy"),TEXT(B3+(((B5-B3)*22)+21),"dd mmmm yyyy"))</f>
        <v>20 January 2026 - 19 February 2026</v>
      </c>
      <c r="B30" s="238" t="s">
        <v>16</v>
      </c>
    </row>
    <row r="31" ht="20.25" customHeight="1" spans="1:2">
      <c r="A31" s="238" t="str">
        <f>IF(B2,TEXT(EDATE(B3,22),"dd mmmm yyyy"),TEXT(B3+((B5-B3)*22)+22,"dd mmmm yyyy"))&amp;" - "&amp;IF(B2,TEXT(EDATE(B3,23)-1,"dd mmmm yyyy"),TEXT(B3+(((B5-B3)*23)+22),"dd mmmm yyyy"))</f>
        <v>20 February 2026 - 19 March 2026</v>
      </c>
      <c r="B31" s="238"/>
    </row>
    <row r="32" ht="20.25" customHeight="1" spans="1:2">
      <c r="A32" s="236" t="str">
        <f>IF(B2,TEXT(EDATE(B3,23),"dd mmmm yyyy"),TEXT(B3+((B5-B3)*23)+23,"dd mmmm yyyy"))&amp;" - "&amp;IF(B2,TEXT(EDATE(B3,24)-1,"dd mmmm yyyy"),TEXT(B3+(((B5-B3)*24)+23),"dd mmmm yyyy"))</f>
        <v>20 March 2026 - 19 April 2026</v>
      </c>
      <c r="B32" s="236"/>
    </row>
    <row r="33" ht="20.25" customHeight="1" spans="1:2">
      <c r="A33" s="238" t="str">
        <f>IF(B2,TEXT(EDATE(B3,24),"dd mmmm yyyy"),TEXT(B3+((B5-B3)*24)+24,"dd mmmm yyyy"))&amp;" - "&amp;IF(B2,TEXT(EDATE(B3,25)-1,"dd mmmm yyyy"),TEXT(B3+(((B5-B3)*25)+24),"dd mmmm yyyy"))</f>
        <v>20 April 2026 - 19 May 2026</v>
      </c>
      <c r="B33" s="238" t="s">
        <v>17</v>
      </c>
    </row>
    <row r="34" ht="20.25" customHeight="1" spans="1:2">
      <c r="A34" s="238" t="str">
        <f>IF(B2,TEXT(EDATE(B3,25),"dd mmmm yyyy"),TEXT(B3+((B5-B3)*25)+25,"dd mmmm yyyy"))&amp;" - "&amp;IF(B2,TEXT(EDATE(B3,26)-1,"dd mmmm yyyy"),TEXT(B3+(((B5-B3)*26)+25),"dd mmmm yyyy"))</f>
        <v>20 May 2026 - 19 June 2026</v>
      </c>
      <c r="B34" s="238"/>
    </row>
    <row r="35" ht="20.25" customHeight="1" spans="1:2">
      <c r="A35" s="236" t="str">
        <f>IF(B2,TEXT(EDATE(B3,26),"dd mmmm yyyy"),TEXT(B3+((B5-B3)*26)+26,"dd mmmm yyyy"))&amp;" - "&amp;IF(B2,TEXT(EDATE(B3,27)-1,"dd mmmm yyyy"),TEXT(B3+(((B5-B3)*27)+26),"dd mmmm yyyy"))</f>
        <v>20 June 2026 - 19 July 2026</v>
      </c>
      <c r="B35" s="236"/>
    </row>
    <row r="36" ht="20.25" customHeight="1" spans="1:2">
      <c r="A36" s="238" t="str">
        <f>IF(B2,TEXT(EDATE(B3,27),"dd mmmm yyyy"),TEXT(B3+((B5-B3)*27)+27,"dd mmmm yyyy"))&amp;" - "&amp;IF(B2,TEXT(EDATE(B3,28)-1,"dd mmmm yyyy"),TEXT(B3+(((B5-B3)*28)+27),"dd mmmm yyyy"))</f>
        <v>20 July 2026 - 19 August 2026</v>
      </c>
      <c r="B36" s="238" t="s">
        <v>18</v>
      </c>
    </row>
    <row r="37" ht="20.25" customHeight="1" spans="1:2">
      <c r="A37" s="238" t="str">
        <f>IF(B2,TEXT(EDATE(B3,28),"dd mmmm yyyy"),TEXT(B3+((B5-B3)*28)+28,"dd mmmm yyyy"))&amp;" - "&amp;IF(B2,TEXT(EDATE(B3,29)-1,"dd mmmm yyyy"),TEXT(B3+(((B5-B3)*29)+28),"dd mmmm yyyy"))</f>
        <v>20 August 2026 - 19 September 2026</v>
      </c>
      <c r="B37" s="238"/>
    </row>
    <row r="38" ht="20.25" customHeight="1" spans="1:2">
      <c r="A38" s="236" t="str">
        <f>IF(B2,TEXT(EDATE(B3,29),"dd mmmm yyyy"),TEXT(B3+((B5-B3)*29)+29,"dd mmmm yyyy"))&amp;" - "&amp;IF(B2,TEXT(EDATE(B3,30)-1,"dd mmmm yyyy"),TEXT(B3+(((B5-B3)*30)+29),"dd mmmm yyyy"))</f>
        <v>20 September 2026 - 19 October 2026</v>
      </c>
      <c r="B38" s="236"/>
    </row>
    <row r="39" ht="20.25" customHeight="1" spans="1:2">
      <c r="A39" s="238" t="str">
        <f>IF(B2,TEXT(EDATE(B3,30),"dd mmmm yyyy"),TEXT(B3+((B5-B3)*30)+30,"dd mmmm yyyy"))&amp;" - "&amp;IF(B2,TEXT(EDATE(B3,31)-1,"dd mmmm yyyy"),TEXT(B3+(((B5-B3)*31)+30),"dd mmmm yyyy"))</f>
        <v>20 October 2026 - 19 November 2026</v>
      </c>
      <c r="B39" s="238" t="s">
        <v>19</v>
      </c>
    </row>
    <row r="40" ht="20.25" customHeight="1" spans="1:2">
      <c r="A40" s="238" t="str">
        <f>IF(B2,TEXT(EDATE(B3,31),"dd mmmm yyyy"),TEXT(B3+((B5-B3)*31)+31,"dd mmmm yyyy"))&amp;" - "&amp;IF(B2,TEXT(EDATE(B3,32)-1,"dd mmmm yyyy"),TEXT(B3+(((B5-B3)*32)+31),"dd mmmm yyyy"))</f>
        <v>20 November 2026 - 19 December 2026</v>
      </c>
      <c r="B40" s="238"/>
    </row>
    <row r="41" ht="20.25" customHeight="1" spans="1:2">
      <c r="A41" s="236" t="str">
        <f>IF(B2,TEXT(EDATE(B3,32),"dd mmmm yyyy"),TEXT(B3+((B5-B3)*32)+32,"dd mmmm yyyy"))&amp;" - "&amp;IF(B2,TEXT(EDATE(B3,33)-1,"dd mmmm yyyy"),TEXT(B3+(((B5-B3)*33)+32),"dd mmmm yyyy"))</f>
        <v>20 December 2026 - 19 January 2027</v>
      </c>
      <c r="B41" s="236"/>
    </row>
    <row r="42" ht="20.25" customHeight="1" spans="1:2">
      <c r="A42" s="238" t="str">
        <f>IF(B2,TEXT(EDATE(B3,33),"dd mmmm yyyy"),TEXT(B3+((B5-B3)*33)+33,"dd mmmm yyyy"))&amp;" - "&amp;IF(B2,TEXT(EDATE(B3,34)-1,"dd mmmm yyyy"),TEXT(B3+(((B5-B3)*34)+33),"dd mmmm yyyy"))</f>
        <v>20 January 2027 - 19 February 2027</v>
      </c>
      <c r="B42" s="238" t="s">
        <v>20</v>
      </c>
    </row>
    <row r="43" ht="20.25" customHeight="1" spans="1:2">
      <c r="A43" s="238" t="str">
        <f>IF(B2,TEXT(EDATE(B3,34),"dd mmmm yyyy"),TEXT(B3+((B5-B3)*34)+34,"dd mmmm yyyy"))&amp;" - "&amp;IF(B2,TEXT(EDATE(B3,35)-1,"dd mmmm yyyy"),TEXT(B3+(((B5-B3)*35)+34),"dd mmmm yyyy"))</f>
        <v>20 February 2027 - 19 March 2027</v>
      </c>
      <c r="B43" s="238"/>
    </row>
    <row r="44" ht="20.25" customHeight="1" spans="1:2">
      <c r="A44" s="236" t="str">
        <f>IF(B2,TEXT(EDATE(B3,35),"dd mmmm yyyy"),TEXT(B3+((B5-B3)*35)+35,"dd mmmm yyyy"))&amp;" - "&amp;IF(B2,TEXT(EDATE(B3,36)-1,"dd mmmm yyyy"),TEXT(B3+(((B5-B3)*36)+35),"dd mmmm yyyy"))</f>
        <v>20 March 2027 - 19 April 2027</v>
      </c>
      <c r="B44" s="236"/>
    </row>
    <row r="45" ht="20.25" customHeight="1" spans="1:2">
      <c r="A45" s="238" t="str">
        <f>IF(B2,TEXT(EDATE(B3,36),"dd mmmm yyyy"),TEXT(B3+((B5-B3)*36)+36,"dd mmmm yyyy"))&amp;" - "&amp;IF(B2,TEXT(EDATE(B3,37)-1,"dd mmmm yyyy"),TEXT(B3+(((B5-B3)*37)+36),"dd mmmm yyyy"))</f>
        <v>20 April 2027 - 19 May 2027</v>
      </c>
      <c r="B45" s="238" t="s">
        <v>21</v>
      </c>
    </row>
    <row r="46" ht="20.25" customHeight="1" spans="1:2">
      <c r="A46" s="238" t="str">
        <f>IF(B2,TEXT(EDATE(B3,37),"dd mmmm yyyy"),TEXT(B3+((B5-B3)*37)+37,"dd mmmm yyyy"))&amp;" - "&amp;IF(B2,TEXT(EDATE(B3,38)-1,"dd mmmm yyyy"),TEXT(B3+(((B5-B3)*38)+37),"dd mmmm yyyy"))</f>
        <v>20 May 2027 - 19 June 2027</v>
      </c>
      <c r="B46" s="238"/>
    </row>
    <row r="47" ht="20.25" customHeight="1" spans="1:2">
      <c r="A47" s="236" t="str">
        <f>IF(B2,TEXT(EDATE(B3,38),"dd mmmm yyyy"),TEXT(B3+((B5-B3)*38)+38,"dd mmmm yyyy"))&amp;" - "&amp;IF(B2,TEXT(EDATE(B3,39)-1,"dd mmmm yyyy"),TEXT(B3+(((B5-B3)*39)+38),"dd mmmm yyyy"))</f>
        <v>20 June 2027 - 19 July 2027</v>
      </c>
      <c r="B47" s="236"/>
    </row>
    <row r="48" ht="20.25" customHeight="1" spans="1:2">
      <c r="A48" s="238" t="str">
        <f>IF(B2,TEXT(EDATE(B3,39),"dd mmmm yyyy"),TEXT(B3+((B5-B3)*39)+39,"dd mmmm yyyy"))&amp;" - "&amp;IF(B2,TEXT(EDATE(B3,40)-1,"dd mmmm yyyy"),TEXT(B3+(((B5-B3)*40)+39),"dd mmmm yyyy"))</f>
        <v>20 July 2027 - 19 August 2027</v>
      </c>
      <c r="B48" s="238" t="s">
        <v>22</v>
      </c>
    </row>
    <row r="49" ht="20.25" customHeight="1" spans="1:2">
      <c r="A49" s="238" t="str">
        <f>IF(B2,TEXT(EDATE(B3,40),"dd mmmm yyyy"),TEXT(B3+((B5-B3)*40)+40,"dd mmmm yyyy"))&amp;" - "&amp;IF(B2,TEXT(EDATE(B3,41)-1,"dd mmmm yyyy"),TEXT(B3+(((B5-B3)*41)+40),"dd mmmm yyyy"))</f>
        <v>20 August 2027 - 19 September 2027</v>
      </c>
      <c r="B49" s="238"/>
    </row>
    <row r="50" ht="20.25" customHeight="1" spans="1:2">
      <c r="A50" s="236" t="str">
        <f>IF(B2,TEXT(EDATE(B3,41),"dd mmmm yyyy"),TEXT(B3+((B5-B3)*41)+41,"dd mmmm yyyy"))&amp;" - "&amp;IF(B2,TEXT(EDATE(B3,42)-1,"dd mmmm yyyy"),TEXT(B3+(((B5-B3)*42)+41),"dd mmmm yyyy"))</f>
        <v>20 September 2027 - 19 October 2027</v>
      </c>
      <c r="B50" s="236"/>
    </row>
    <row r="51" ht="20.25" customHeight="1" spans="1:2">
      <c r="A51" s="238" t="str">
        <f>IF(B2,TEXT(EDATE(B3,42),"dd mmmm yyyy"),TEXT(B3+((B5-B3)*42)+42,"dd mmmm yyyy"))&amp;" - "&amp;IF(B2,TEXT(EDATE(B3,43)-1,"dd mmmm yyyy"),TEXT(B3+(((B5-B3)*43)+42),"dd mmmm yyyy"))</f>
        <v>20 October 2027 - 19 November 2027</v>
      </c>
      <c r="B51" s="238" t="s">
        <v>23</v>
      </c>
    </row>
    <row r="52" ht="20.25" customHeight="1" spans="1:2">
      <c r="A52" s="238" t="str">
        <f>IF(B2,TEXT(EDATE(B3,43),"dd mmmm yyyy"),TEXT(B3+((B5-B3)*43)+43,"dd mmmm yyyy"))&amp;" - "&amp;IF(B2,TEXT(EDATE(B3,44)-1,"dd mmmm yyyy"),TEXT(B3+(((B5-B3)*44)+43),"dd mmmm yyyy"))</f>
        <v>20 November 2027 - 19 December 2027</v>
      </c>
      <c r="B52" s="238"/>
    </row>
    <row r="53" ht="20.25" customHeight="1" spans="1:2">
      <c r="A53" s="236" t="str">
        <f>IF(B2,TEXT(EDATE(B3,44),"dd mmmm yyyy"),TEXT(B3+((B5-B3)*44)+44,"dd mmmm yyyy"))&amp;" - "&amp;IF(B2,TEXT(EDATE(B3,45)-1,"dd mmmm yyyy"),TEXT(B3+(((B5-B3)*45)+44),"dd mmmm yyyy"))</f>
        <v>20 December 2027 - 19 January 2028</v>
      </c>
      <c r="B53" s="236"/>
    </row>
    <row r="54" ht="20.25" customHeight="1" spans="1:2">
      <c r="A54" s="238" t="str">
        <f>IF(B2,TEXT(EDATE(B3,45),"dd mmmm yyyy"),TEXT(B3+((B5-B3)*45)+45,"dd mmmm yyyy"))&amp;" - "&amp;IF(B2,TEXT(EDATE(B3,46)-1,"dd mmmm yyyy"),TEXT(B3+(((B5-B3)*46)+45),"dd mmmm yyyy"))</f>
        <v>20 January 2028 - 19 February 2028</v>
      </c>
      <c r="B54" s="238" t="s">
        <v>24</v>
      </c>
    </row>
    <row r="55" ht="20.25" customHeight="1" spans="1:2">
      <c r="A55" s="238" t="str">
        <f>IF(B2,TEXT(EDATE(B3,46),"dd mmmm yyyy"),TEXT(B3+((B5-B3)*46)+46,"dd mmmm yyyy"))&amp;" - "&amp;IF(B2,TEXT(EDATE(B3,47)-1,"dd mmmm yyyy"),TEXT(B3+(((B5-B3)*47)+46),"dd mmmm yyyy"))</f>
        <v>20 February 2028 - 19 March 2028</v>
      </c>
      <c r="B55" s="238"/>
    </row>
    <row r="56" ht="20.25" customHeight="1" spans="1:2">
      <c r="A56" s="238" t="str">
        <f>IF(B2,TEXT(EDATE(B3,47),"dd mmmm yyyy"),TEXT(B3+((B5-B3)*47)+47,"dd mmmm yyyy"))&amp;" - "&amp;IF(B2,TEXT(EDATE(B3,48)-1,"dd mmmm yyyy"),TEXT(B3+(((B5-B3)*48)+47),"dd mmmm yyyy"))</f>
        <v>20 March 2028 - 19 April 2028</v>
      </c>
      <c r="B56" s="238"/>
    </row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s="234" customFormat="1" ht="20.25" customHeight="1"/>
    <row r="66" s="234" customFormat="1" ht="20.25" customHeight="1"/>
    <row r="67" s="234" customFormat="1" ht="20.25" customHeight="1"/>
    <row r="68" s="234" customFormat="1" ht="20.25" customHeight="1"/>
    <row r="69" s="234" customFormat="1" ht="20.25" customHeight="1"/>
    <row r="70" s="234" customFormat="1" ht="20.25" customHeight="1"/>
    <row r="71" s="234" customFormat="1" ht="20.25" customHeight="1"/>
    <row r="72" s="234" customFormat="1" ht="20.25" customHeight="1"/>
    <row r="73" s="234" customFormat="1" ht="20.25" customHeight="1"/>
    <row r="74" s="234" customFormat="1" ht="20.25" customHeight="1"/>
    <row r="75" s="234" customFormat="1" ht="20.25" customHeight="1"/>
    <row r="76" s="234" customFormat="1" ht="20.25" customHeight="1"/>
    <row r="77" s="234" customFormat="1" ht="20.25" customHeight="1"/>
    <row r="78" s="234" customFormat="1" ht="20.25" customHeight="1"/>
    <row r="79" s="234" customFormat="1" ht="20.25" customHeight="1"/>
    <row r="80" s="234" customFormat="1" ht="20.25" customHeight="1"/>
    <row r="81" s="234" customFormat="1" ht="20.25" customHeight="1"/>
    <row r="82" s="234" customFormat="1" ht="20.25" customHeight="1"/>
    <row r="83" s="234" customFormat="1" ht="20.25" customHeight="1"/>
    <row r="84" s="234" customFormat="1" ht="20.25" customHeight="1"/>
    <row r="85" s="234" customFormat="1" ht="20.25" customHeight="1"/>
    <row r="86" s="234" customFormat="1" ht="20.25" customHeight="1"/>
    <row r="87" s="234" customFormat="1" ht="20.25" customHeight="1"/>
    <row r="88" s="234" customFormat="1" ht="20.25" customHeight="1"/>
    <row r="89" s="234" customFormat="1" ht="20.25" customHeight="1"/>
    <row r="90" s="234" customFormat="1" ht="20.25" customHeight="1"/>
    <row r="91" s="234" customFormat="1" ht="20.25" customHeight="1"/>
    <row r="92" s="234" customFormat="1" ht="20.25" customHeight="1"/>
    <row r="93" s="234" customFormat="1" ht="20.25" customHeight="1"/>
    <row r="94" s="234" customFormat="1" ht="20.25" customHeight="1"/>
    <row r="95" s="234" customFormat="1" ht="20.25" customHeight="1"/>
    <row r="96" s="234" customFormat="1" ht="20.25" customHeight="1"/>
    <row r="97" s="234" customFormat="1" ht="20.25" customHeight="1"/>
    <row r="98" s="234" customFormat="1" ht="20.25" customHeight="1"/>
    <row r="99" s="234" customFormat="1" ht="20.25" customHeight="1"/>
    <row r="100" s="234" customFormat="1" ht="20.25" customHeight="1"/>
    <row r="101" s="234" customFormat="1" ht="20.25" customHeight="1"/>
    <row r="102" s="234" customFormat="1" ht="20.25" customHeight="1"/>
    <row r="103" s="234" customFormat="1" ht="20.25" customHeight="1"/>
    <row r="104" s="234" customFormat="1" ht="20.25" customHeight="1"/>
    <row r="105" s="234" customFormat="1" ht="20.25" customHeight="1"/>
    <row r="106" s="234" customFormat="1" ht="20.25" customHeight="1"/>
    <row r="107" s="234" customFormat="1" ht="20.25" customHeight="1"/>
    <row r="108" s="234" customFormat="1" ht="20.25" customHeight="1"/>
    <row r="109" s="234" customFormat="1" ht="20.25" customHeight="1"/>
    <row r="110" s="234" customFormat="1" ht="20.25" customHeight="1"/>
    <row r="111" s="234" customFormat="1" ht="20.25" customHeight="1"/>
    <row r="112" s="234" customFormat="1" ht="20.25" customHeight="1"/>
    <row r="113" s="234" customFormat="1" ht="20.25" customHeight="1"/>
    <row r="114" s="234" customFormat="1" ht="20.25" customHeight="1"/>
    <row r="115" s="234" customFormat="1" ht="20.25" customHeight="1"/>
    <row r="116" s="234" customFormat="1" ht="20.25" customHeight="1"/>
    <row r="117" s="234" customFormat="1" ht="20.25" customHeight="1"/>
    <row r="118" s="234" customFormat="1" ht="20.25" customHeight="1"/>
    <row r="119" s="234" customFormat="1" ht="20.25" customHeight="1"/>
    <row r="120" s="234" customFormat="1" ht="20.25" customHeight="1"/>
    <row r="121" s="234" customFormat="1" ht="20.25" customHeight="1"/>
    <row r="122" s="234" customFormat="1" ht="20.25" customHeight="1"/>
    <row r="123" s="234" customFormat="1" ht="20.25" customHeight="1"/>
    <row r="124" s="234" customFormat="1" ht="20.25" customHeight="1"/>
    <row r="125" s="234" customFormat="1" ht="20.25" customHeight="1"/>
    <row r="126" s="234" customFormat="1" ht="20.25" customHeight="1"/>
    <row r="127" s="234" customFormat="1" ht="20.25" customHeight="1"/>
    <row r="129" s="234" customFormat="1" ht="20.25" customHeight="1"/>
    <row r="130" s="234" customFormat="1" ht="20.25" customHeight="1"/>
    <row r="131" s="234" customFormat="1" ht="20.25" customHeight="1"/>
    <row r="132" s="234" customFormat="1" ht="20.25" customHeight="1"/>
    <row r="133" s="234" customFormat="1" ht="20.25" customHeight="1"/>
    <row r="134" s="234" customFormat="1" ht="20.25" customHeight="1"/>
  </sheetData>
  <sheetProtection formatCells="0"/>
  <mergeCells count="19">
    <mergeCell ref="A8:B8"/>
    <mergeCell ref="A5:A6"/>
    <mergeCell ref="B5:B6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4"/>
  <sheetViews>
    <sheetView workbookViewId="0">
      <selection activeCell="C16" sqref="C16"/>
    </sheetView>
  </sheetViews>
  <sheetFormatPr defaultColWidth="9" defaultRowHeight="17.6"/>
  <cols>
    <col min="1" max="1" width="24.0694444444444" style="162" customWidth="1"/>
    <col min="2" max="2" width="32.9861111111111" style="162" customWidth="1"/>
    <col min="3" max="4" width="20.625" style="162" customWidth="1"/>
    <col min="5" max="5" width="25.625" style="162" customWidth="1"/>
    <col min="6" max="6" width="20.625" style="162" customWidth="1"/>
    <col min="7" max="7" width="9" style="162"/>
    <col min="8" max="8" width="23" style="162" customWidth="1"/>
    <col min="9" max="9" width="40.75" style="47" customWidth="1"/>
    <col min="10" max="10" width="28.625" style="162" customWidth="1"/>
    <col min="11" max="12" width="9" style="162"/>
    <col min="13" max="13" width="36.625" style="162" customWidth="1"/>
    <col min="14" max="14" width="21.125" style="162" customWidth="1"/>
    <col min="15" max="16384" width="9" style="162"/>
  </cols>
  <sheetData>
    <row r="1" ht="35" customHeight="1" spans="1:14">
      <c r="A1" s="163" t="str">
        <f>"Forecasts For the Year "&amp;TEXT(Main!B3,"mmmm yyyy")&amp;" to "&amp;IF(Main!B2,TEXT(EDATE(Main!B3,3)-1,"mmmm yyyy"),TEXT(Main!B3+((Main!B5-Main!B3)*3+2),"mmmm yyyy"))</f>
        <v>Forecasts For the Year April 2024 to July 2024</v>
      </c>
      <c r="B1" s="163"/>
      <c r="C1" s="163"/>
      <c r="D1" s="163"/>
      <c r="E1" s="163"/>
      <c r="F1" s="163"/>
      <c r="I1" s="202" t="s">
        <v>25</v>
      </c>
      <c r="J1" s="202"/>
      <c r="M1" s="202" t="s">
        <v>26</v>
      </c>
      <c r="N1" s="202"/>
    </row>
    <row r="2" ht="35" customHeight="1" spans="1:14">
      <c r="A2" s="164" t="s">
        <v>27</v>
      </c>
      <c r="B2" s="165"/>
      <c r="C2" s="165"/>
      <c r="D2" s="166" t="s">
        <v>28</v>
      </c>
      <c r="E2" s="166"/>
      <c r="F2" s="166"/>
      <c r="I2" s="203" t="s">
        <v>29</v>
      </c>
      <c r="J2" s="204" t="s">
        <v>30</v>
      </c>
      <c r="M2" s="215" t="s">
        <v>31</v>
      </c>
      <c r="N2" s="204" t="s">
        <v>32</v>
      </c>
    </row>
    <row r="3" ht="35" customHeight="1" spans="1:14">
      <c r="A3" s="167" t="s">
        <v>33</v>
      </c>
      <c r="B3" s="168" t="s">
        <v>34</v>
      </c>
      <c r="C3" s="169">
        <v>875.3</v>
      </c>
      <c r="D3" s="170" t="s">
        <v>33</v>
      </c>
      <c r="E3" s="5" t="s">
        <v>34</v>
      </c>
      <c r="F3" s="197">
        <v>875.3</v>
      </c>
      <c r="I3" s="205" t="str">
        <f>TEXT(Main!B3,"dd mmmm yyyy")&amp;" - "&amp;IF(Main!B2,TEXT(EDATE(Main!B3,1)-1,"dd mmmm yyyy"),TEXT(Main!B3+(Main!B5-Main!B3)*1,"dd mmmm yyyy"))</f>
        <v>20 April 2024 - 19 May 2024</v>
      </c>
      <c r="J3" s="206">
        <f>E149</f>
        <v>0</v>
      </c>
      <c r="M3" s="211" t="str">
        <f>TEXT(Main!B3,"dd mmmm yyyy")&amp;" - "&amp;IF(Main!B2,TEXT(EDATE(Main!B3,3)-1,"dd mmmm yyyy"),TEXT(Main!B3+((Main!B5-Main!B3)*3+2),"dd mmmm yyyy"))</f>
        <v>20 April 2024 - 19 July 2024</v>
      </c>
      <c r="N3" s="206">
        <f>-C122</f>
        <v>-24333</v>
      </c>
    </row>
    <row r="4" ht="35" customHeight="1" spans="1:14">
      <c r="A4" s="167"/>
      <c r="B4" s="168" t="s">
        <v>35</v>
      </c>
      <c r="C4" s="169">
        <v>120</v>
      </c>
      <c r="D4" s="171"/>
      <c r="E4" s="5" t="s">
        <v>35</v>
      </c>
      <c r="F4" s="197">
        <v>120</v>
      </c>
      <c r="I4" s="207" t="str">
        <f>IF(Main!B2,TEXT(EDATE(Main!B3,1),"dd mmmm yyyy"),TEXT(Main!B3+(Main!B5-Main!B3)+1,"dd mmmm yyyy"))&amp;" - "&amp;IF(Main!B2,TEXT(EDATE(Main!B3,2)-1,"dd mmmm yyyy"),TEXT(Main!B3+(Main!B5-Main!B3)*2+1,"dd mmmm yyyy"))</f>
        <v>20 May 2024 - 19 June 2024</v>
      </c>
      <c r="J4" s="206">
        <f>E176</f>
        <v>-416.68</v>
      </c>
      <c r="M4" s="211" t="str">
        <f>IF(Main!B2,TEXT(EDATE(Main!B3,3),"dd mmmm yyyy"),TEXT(Main!B3+((Main!B5-Main!B3)*3+3),"dd mmmm yyyy"))&amp;" - "&amp;IF(Main!B2,TEXT(EDATE(Main!B3,6)-1,"dd mmmm yyyy"),TEXT(Main!B3+((Main!B5-Main!B3)*6+5),"dd mmmm yyyy"))</f>
        <v>20 July 2024 - 19 October 2024</v>
      </c>
      <c r="N4" s="206">
        <f ca="1">'July 2024 - September 2024'!C5</f>
        <v>-11683</v>
      </c>
    </row>
    <row r="5" ht="35" customHeight="1" spans="1:14">
      <c r="A5" s="167"/>
      <c r="B5" s="168" t="s">
        <v>36</v>
      </c>
      <c r="C5" s="169">
        <v>0</v>
      </c>
      <c r="D5" s="171"/>
      <c r="E5" s="5" t="s">
        <v>36</v>
      </c>
      <c r="F5" s="197">
        <v>0</v>
      </c>
      <c r="I5" s="207" t="str">
        <f>IF(Main!B2,TEXT(EDATE(Main!B3,2),"dd mmmm yyyy"),TEXT(Main!B3+((Main!B5-Main!B3)*2)+2,"dd mmmm yyyy"))&amp;" - "&amp;IF(Main!B2,TEXT(EDATE(Main!B3,3)-1,"dd mmmm yyyy"),TEXT(Main!B3+((Main!B5-Main!B3)*3+2),"dd mmmm yyyy"))</f>
        <v>20 June 2024 - 19 July 2024</v>
      </c>
      <c r="J5" s="206">
        <f>E203</f>
        <v>3260.12</v>
      </c>
      <c r="M5" s="211" t="str">
        <f>IF(Main!B2,TEXT(EDATE(Main!B3,6),"dd mmmm yyyy"),TEXT(Main!B3+((Main!B5-Main!B3)*6+6),"dd mmmm yyyy"))&amp;" - "&amp;IF(Main!B2,TEXT(EDATE(Main!B3,9)-1,"dd mmmm yyyy"),TEXT(Main!B3+((Main!B5-Main!B3)*9+8),"dd mmmm yyyy"))</f>
        <v>20 October 2024 - 19 January 2025</v>
      </c>
      <c r="N5" s="206">
        <f ca="1">'October 2024 - December 2024'!C5</f>
        <v>-10683</v>
      </c>
    </row>
    <row r="6" ht="35" customHeight="1" spans="1:14">
      <c r="A6" s="167"/>
      <c r="B6" s="168" t="s">
        <v>37</v>
      </c>
      <c r="C6" s="169">
        <v>0</v>
      </c>
      <c r="D6" s="171"/>
      <c r="E6" s="5" t="s">
        <v>37</v>
      </c>
      <c r="F6" s="197">
        <v>0</v>
      </c>
      <c r="I6" s="208" t="str">
        <f>IF(Main!B2,TEXT(EDATE(Main!B3,3),"dd mmmm yyyy"),TEXT(Main!B3+((Main!B5-Main!B3)*3)+3,"dd mmmm yyyy"))&amp;" - "&amp;IF(Main!B2,TEXT(EDATE(Main!B3,4)-1,"dd mmmm yyyy"),TEXT(Main!B3+((Main!B5-Main!B3)*4+3),"dd mmmm yyyy"))</f>
        <v>20 July 2024 - 19 August 2024</v>
      </c>
      <c r="J6" s="206">
        <f ca="1">'July 2024 - September 2024'!E136</f>
        <v>699.839999999999</v>
      </c>
      <c r="M6" s="211" t="str">
        <f>IF(Main!B2,TEXT(EDATE(Main!B3,9),"dd mmmm yyyy"),TEXT(Main!B3+((Main!B5-Main!B3)*9+9),"dd mmmm yyyy"))&amp;" - "&amp;IF(Main!B2,TEXT(EDATE(Main!B3,12)-1,"dd mmmm yyyy"),TEXT(Main!B3+((Main!B5-Main!B3)*12+11),"dd mmmm yyyy"))</f>
        <v>20 January 2025 - 19 April 2025</v>
      </c>
      <c r="N6" s="206">
        <f ca="1">'January 2025 - March 2025'!C5</f>
        <v>-6983</v>
      </c>
    </row>
    <row r="7" ht="35" customHeight="1" spans="1:14">
      <c r="A7" s="167"/>
      <c r="B7" s="168" t="s">
        <v>38</v>
      </c>
      <c r="C7" s="169">
        <v>0</v>
      </c>
      <c r="D7" s="171"/>
      <c r="E7" s="5" t="s">
        <v>38</v>
      </c>
      <c r="F7" s="197">
        <v>0</v>
      </c>
      <c r="I7" s="208" t="str">
        <f>IF(Main!B2,TEXT(EDATE(Main!B3,4),"dd mmmm yyyy"),TEXT(Main!B3+((Main!B5-Main!B3)*4)+4,"dd mmmm yyyy"))&amp;" - "&amp;IF(Main!B2,TEXT(EDATE(Main!B3,5)-1,"dd mmmm yyyy"),TEXT(Main!B3+((Main!B5-Main!B3)*5+4),"dd mmmm yyyy"))</f>
        <v>20 August 2024 - 19 September 2024</v>
      </c>
      <c r="J7" s="206">
        <f ca="1">'July 2024 - September 2024'!E163</f>
        <v>625.069999999999</v>
      </c>
      <c r="M7" s="211" t="str">
        <f>IF(Main!B2,TEXT(EDATE(Main!B3,12),"dd mmmm yyyy"),TEXT(Main!B3+((Main!B5-Main!B3)*12+12),"dd mmmm yyyy"))&amp;" - "&amp;IF(Main!B2,TEXT(EDATE(Main!B3,15)-1,"dd mmmm yyyy"),TEXT(Main!B3+((Main!B5-Main!B3)*15+14),"dd mmmm yyyy"))</f>
        <v>20 April 2025 - 19 July 2025</v>
      </c>
      <c r="N7" s="206">
        <f ca="1">'April 2025 - June 2025'!C5</f>
        <v>-3083</v>
      </c>
    </row>
    <row r="8" ht="35" customHeight="1" spans="1:14">
      <c r="A8" s="167"/>
      <c r="B8" s="168" t="s">
        <v>39</v>
      </c>
      <c r="C8" s="169">
        <v>0</v>
      </c>
      <c r="D8" s="171"/>
      <c r="E8" s="5" t="s">
        <v>39</v>
      </c>
      <c r="F8" s="197">
        <v>0</v>
      </c>
      <c r="H8" s="198"/>
      <c r="I8" s="207" t="str">
        <f>IF(Main!B2,TEXT(EDATE(Main!B3,5),"dd mmmm yyyy"),TEXT(Main!B3+((Main!B5-Main!B3)*5)+5,"dd mmmm yyyy"))&amp;" - "&amp;IF(Main!B2,TEXT(EDATE(Main!B3,6)-1,"dd mmmm yyyy"),TEXT(Main!B3+((Main!B5-Main!B3)*6+5),"dd mmmm yyyy"))</f>
        <v>20 September 2024 - 19 October 2024</v>
      </c>
      <c r="J8" s="206">
        <f ca="1">'July 2024 - September 2024'!E190</f>
        <v>502.71</v>
      </c>
      <c r="M8" s="216" t="str">
        <f>IF(Main!B2,TEXT(EDATE(Main!B3,15),"dd mmmm yyyy"),TEXT(Main!B3+((Main!B5-Main!B3)*15+15),"dd mmmm yyyy"))&amp;" - "&amp;IF(Main!B2,TEXT(EDATE(Main!B3,18)-1,"dd mmmm yyyy"),TEXT(Main!B3+((Main!B5-Main!B3)*18+17),"dd mmmm yyyy"))</f>
        <v>20 July 2025 - 19 October 2025</v>
      </c>
      <c r="N8" s="206">
        <f ca="1">'July 2025 - September 2025'!C5</f>
        <v>0</v>
      </c>
    </row>
    <row r="9" ht="35" customHeight="1" spans="1:14">
      <c r="A9" s="167"/>
      <c r="B9" s="168" t="s">
        <v>40</v>
      </c>
      <c r="C9" s="169">
        <v>0</v>
      </c>
      <c r="D9" s="171"/>
      <c r="E9" s="5" t="s">
        <v>40</v>
      </c>
      <c r="F9" s="197">
        <v>0</v>
      </c>
      <c r="I9" s="207" t="str">
        <f>IF(Main!B2,TEXT(EDATE(Main!B3,6),"dd mmmm yyyy"),TEXT(Main!B3+((Main!B5-Main!B3)*6)+6,"dd mmmm yyyy"))&amp;" - "&amp;IF(Main!B2,TEXT(EDATE(Main!B3,7)-1,"dd mmmm yyyy"),TEXT(Main!B3+((Main!B5-Main!B3)*7+6),"dd mmmm yyyy"))</f>
        <v>20 October 2024 - 19 November 2024</v>
      </c>
      <c r="J9" s="206">
        <f ca="1">'October 2024 - December 2024'!E136</f>
        <v>125.16</v>
      </c>
      <c r="M9" s="211" t="str">
        <f>IF(Main!B2,TEXT(EDATE(Main!B3,18),"dd mmmm yyyy"),TEXT(Main!B3+((Main!B5-Main!B3)*18+18),"dd mmmm yyyy"))&amp;" - "&amp;IF(Main!B2,TEXT(EDATE(Main!B3,21)-1,"dd mmmm yyyy"),TEXT(Main!B3+((Main!B5-Main!B3)*21+20),"dd mmmm yyyy"))</f>
        <v>20 October 2025 - 19 January 2026</v>
      </c>
      <c r="N9" s="217">
        <f ca="1">'October 2025 - December 2025'!C5</f>
        <v>0</v>
      </c>
    </row>
    <row r="10" ht="35" customHeight="1" spans="1:14">
      <c r="A10" s="167"/>
      <c r="B10" s="168" t="s">
        <v>41</v>
      </c>
      <c r="C10" s="169">
        <v>0</v>
      </c>
      <c r="D10" s="171"/>
      <c r="E10" s="5" t="s">
        <v>41</v>
      </c>
      <c r="F10" s="197">
        <v>0</v>
      </c>
      <c r="I10" s="207" t="str">
        <f>IF(Main!B2,TEXT(EDATE(Main!B3,7),"dd mmmm yyyy"),TEXT(Main!B3+((Main!B5-Main!B3)*7)+7,"dd mmmm yyyy"))&amp;" - "&amp;IF(Main!B2,TEXT(EDATE(Main!B3,8)-1,"dd mmmm yyyy"),TEXT(Main!B3+((Main!B5-Main!B3)*8+7),"dd mmmm yyyy"))</f>
        <v>20 November 2024 - 19 December 2024</v>
      </c>
      <c r="J10" s="206">
        <f ca="1">'October 2024 - December 2024'!E163</f>
        <v>229.400000000001</v>
      </c>
      <c r="M10" s="218" t="str">
        <f>IF(Main!B2,TEXT(EDATE(Main!B3,21),"dd mmmm yyyy"),TEXT(Main!B3+((Main!B5-Main!B3)*21+21),"dd mmmm yyyy"))&amp;" - "&amp;IF(Main!B2,TEXT(EDATE(Main!B3,24)-1,"dd mmmm yyyy"),TEXT(Main!B3+((Main!B5-Main!B3)*24+23),"dd mmmm yyyy"))</f>
        <v>20 January 2026 - 19 April 2026</v>
      </c>
      <c r="N10" s="206">
        <f ca="1">'January 2026 - March 2026'!C5</f>
        <v>0</v>
      </c>
    </row>
    <row r="11" ht="35" customHeight="1" spans="1:14">
      <c r="A11" s="167"/>
      <c r="B11" s="168" t="s">
        <v>42</v>
      </c>
      <c r="C11" s="169">
        <v>7.8</v>
      </c>
      <c r="D11" s="171"/>
      <c r="E11" s="5" t="s">
        <v>42</v>
      </c>
      <c r="F11" s="197">
        <v>7.8</v>
      </c>
      <c r="H11" s="198"/>
      <c r="I11" s="207" t="str">
        <f>IF(Main!B2,TEXT(EDATE(Main!B3,8),"dd mmmm yyyy"),TEXT(Main!B3+((Main!B5-Main!B3)*8)+8,"dd mmmm yyyy"))&amp;" - "&amp;IF(Main!B2,TEXT(EDATE(Main!B3,9)-1,"dd mmmm yyyy"),TEXT(Main!B3+((Main!B5-Main!B3)*9+8),"dd mmmm yyyy"))</f>
        <v>20 December 2024 - 19 January 2025</v>
      </c>
      <c r="J11" s="206">
        <f ca="1">'October 2024 - December 2024'!E190</f>
        <v>173.340000000001</v>
      </c>
      <c r="M11" s="211" t="str">
        <f>IF(Main!B2,TEXT(EDATE(Main!B3,24),"dd mmmm yyyy"),TEXT(Main!B3+((Main!B5-Main!B3)*24+24),"dd mmmm yyyy"))&amp;" - "&amp;IF(Main!B2,TEXT(EDATE(Main!B3,27)-1,"dd mmmm yyyy"),TEXT(Main!B3+((Main!B5-Main!B3)*27+26),"dd mmmm yyyy"))</f>
        <v>20 April 2026 - 19 July 2026</v>
      </c>
      <c r="N11" s="210">
        <f ca="1">'April 2026 - June 2026'!C5</f>
        <v>0</v>
      </c>
    </row>
    <row r="12" ht="35" customHeight="1" spans="1:14">
      <c r="A12" s="167"/>
      <c r="B12" s="168" t="s">
        <v>43</v>
      </c>
      <c r="C12" s="169">
        <v>138</v>
      </c>
      <c r="D12" s="171"/>
      <c r="E12" s="199" t="s">
        <v>43</v>
      </c>
      <c r="F12" s="197">
        <v>2</v>
      </c>
      <c r="I12" s="207" t="str">
        <f>IF(Main!B2,TEXT(EDATE(Main!B3,9),"dd mmmm yyyy"),TEXT(Main!B3+((Main!B5-Main!B3)*9)+9,"dd mmmm yyyy"))&amp;" - "&amp;IF(Main!B2,TEXT(EDATE(Main!B3,10)-1,"dd mmmm yyyy"),TEXT(Main!B3+((Main!B5-Main!B3)*10+9),"dd mmmm yyyy"))</f>
        <v>20 January 2025 - 19 February 2025</v>
      </c>
      <c r="J12" s="206">
        <f ca="1">'January 2025 - March 2025'!E136</f>
        <v>112.000000000001</v>
      </c>
      <c r="M12" s="207" t="str">
        <f>IF(Main!B2,TEXT(EDATE(Main!B3,27),"dd mmmm yyyy"),TEXT(Main!B3+((Main!B5-Main!B3)*27+27),"dd mmmm yyyy"))&amp;" - "&amp;IF(Main!B2,TEXT(EDATE(Main!B3,30)-1,"dd mmmm yyyy"),TEXT(Main!B3+((Main!B5-Main!B3)*30+29),"dd mmmm yyyy"))</f>
        <v>20 July 2026 - 19 October 2026</v>
      </c>
      <c r="N12" s="210">
        <f ca="1">'July 2026 - September 2026'!C5</f>
        <v>0</v>
      </c>
    </row>
    <row r="13" ht="35" customHeight="1" spans="1:14">
      <c r="A13" s="167"/>
      <c r="B13" s="168" t="s">
        <v>44</v>
      </c>
      <c r="C13" s="169">
        <v>0</v>
      </c>
      <c r="D13" s="171"/>
      <c r="E13" s="199" t="s">
        <v>44</v>
      </c>
      <c r="F13" s="197">
        <v>0</v>
      </c>
      <c r="I13" s="209" t="str">
        <f>IF(Main!B2,TEXT(EDATE(Main!B3,10),"dd mmmm yyyy"),TEXT(Main!B3+((Main!B5-Main!B3)*10)+10,"dd mmmm yyyy"))&amp;" - "&amp;IF(Main!B2,TEXT(EDATE(Main!B3,11)-1,"dd mmmm yyyy"),TEXT(Main!B3+((Main!B5-Main!B3)*11+10),"dd mmmm yyyy"))</f>
        <v>20 February 2025 - 19 March 2025</v>
      </c>
      <c r="J13" s="206">
        <f ca="1">'January 2025 - March 2025'!E163</f>
        <v>355.200000000001</v>
      </c>
      <c r="M13" s="207" t="str">
        <f>IF(Main!B2,TEXT(EDATE(Main!B3,30),"dd mmmm yyyy"),TEXT(Main!B3+((Main!B5-Main!B3)*30+30),"dd mmmm yyyy"))&amp;" - "&amp;IF(Main!B2,TEXT(EDATE(Main!B3,33)-1,"dd mmmm yyyy"),TEXT(Main!B3+((Main!B5-Main!B3)*33+32),"dd mmmm yyyy"))</f>
        <v>20 October 2026 - 19 January 2027</v>
      </c>
      <c r="N13" s="210">
        <f ca="1">'October 2026 - December 2026'!C5</f>
        <v>0</v>
      </c>
    </row>
    <row r="14" ht="35" customHeight="1" spans="1:14">
      <c r="A14" s="167"/>
      <c r="B14" s="168" t="s">
        <v>45</v>
      </c>
      <c r="C14" s="169">
        <v>30.4</v>
      </c>
      <c r="D14" s="171"/>
      <c r="E14" s="199" t="s">
        <v>45</v>
      </c>
      <c r="F14" s="197">
        <v>30.4</v>
      </c>
      <c r="I14" s="209" t="str">
        <f>IF(Main!B2,TEXT(EDATE(Main!B3,11),"dd mmmm yyyy"),TEXT(Main!B3+((Main!B5-Main!B3)*11)+11,"dd mmmm yyyy"))&amp;" - "&amp;IF(Main!B2,TEXT(EDATE(Main!B3,12)-1,"dd mmmm yyyy"),TEXT(Main!B3+((Main!B5-Main!B3)*12+11),"dd mmmm yyyy"))</f>
        <v>20 March 2025 - 19 April 2025</v>
      </c>
      <c r="J14" s="210">
        <f ca="1">'January 2025 - March 2025'!E190</f>
        <v>166.500000000001</v>
      </c>
      <c r="M14" s="207" t="str">
        <f>IF(Main!B2,TEXT(EDATE(Main!B3,33),"dd mmmm yyyy"),TEXT(Main!B3+((Main!B5-Main!B3)*33+33),"dd mmmm yyyy"))&amp;" - "&amp;IF(Main!B2,TEXT(EDATE(Main!B3,36)-1,"dd mmmm yyyy"),TEXT(Main!B3+((Main!B5-Main!B3)*36+35),"dd mmmm yyyy"))</f>
        <v>20 January 2027 - 19 April 2027</v>
      </c>
      <c r="N14" s="210">
        <f ca="1">'January 2027 - March 2027'!C5</f>
        <v>0</v>
      </c>
    </row>
    <row r="15" ht="35" customHeight="1" spans="1:14">
      <c r="A15" s="167"/>
      <c r="B15" s="172" t="s">
        <v>46</v>
      </c>
      <c r="C15" s="169">
        <v>10</v>
      </c>
      <c r="D15" s="171"/>
      <c r="E15" s="199" t="s">
        <v>46</v>
      </c>
      <c r="F15" s="197">
        <v>10</v>
      </c>
      <c r="I15" s="211" t="str">
        <f>IF(Main!B2,TEXT(EDATE(Main!B3,12),"dd mmmm yyyy"),TEXT(Main!B3+((Main!B5-Main!B3)*12)+12,"dd mmmm yyyy"))&amp;" - "&amp;IF(Main!B2,TEXT(EDATE(Main!B3,13)-1,"dd mmmm yyyy"),TEXT(Main!B3+((Main!B5-Main!B3)*13+12),"dd mmmm yyyy"))</f>
        <v>20 April 2025 - 19 May 2025</v>
      </c>
      <c r="J15" s="210">
        <f ca="1">'April 2025 - June 2025'!E136</f>
        <v>1056.5</v>
      </c>
      <c r="M15" s="207" t="str">
        <f>IF(Main!B2,TEXT(EDATE(Main!B3,36),"dd mmmm yyyy"),TEXT(Main!B3+((Main!B5-Main!B3)*36+36),"dd mmmm yyyy"))&amp;" - "&amp;IF(Main!B2,TEXT(EDATE(Main!B3,39)-1,"dd mmmm yyyy"),TEXT(Main!B3+((Main!B5-Main!B3)*39+38),"dd mmmm yyyy"))</f>
        <v>20 April 2027 - 19 July 2027</v>
      </c>
      <c r="N15" s="210">
        <f ca="1">'April 2027 - June 2027'!C5</f>
        <v>0</v>
      </c>
    </row>
    <row r="16" ht="35" customHeight="1" spans="1:14">
      <c r="A16" s="173"/>
      <c r="B16" s="174" t="s">
        <v>47</v>
      </c>
      <c r="C16" s="175">
        <f>SUM(C3:C15)</f>
        <v>1181.5</v>
      </c>
      <c r="D16" s="176"/>
      <c r="E16" s="174" t="s">
        <v>47</v>
      </c>
      <c r="F16" s="200">
        <f>SUM(F3:F15)</f>
        <v>1045.5</v>
      </c>
      <c r="I16" s="211" t="str">
        <f>IF(Main!B2,TEXT(EDATE(Main!B3,13),"dd mmmm yyyy"),TEXT(Main!B3+((Main!B5-Main!B3)*13)+13,"dd mmmm yyyy"))&amp;" - "&amp;IF(Main!B2,TEXT(EDATE(Main!B3,14)-1,"dd mmmm yyyy"),TEXT(Main!B3+((Main!B5-Main!B3)*14+13),"dd mmmm yyyy"))</f>
        <v>20 May 2025 - 19 June 2025</v>
      </c>
      <c r="J16" s="210">
        <f ca="1">'April 2025 - June 2025'!E163</f>
        <v>1207.5</v>
      </c>
      <c r="M16" s="207" t="str">
        <f>IF(Main!B2,TEXT(EDATE(Main!B3,39),"dd mmmm yyyy"),TEXT(Main!B3+((Main!B5-Main!B3)*39+39),"dd mmmm yyyy"))&amp;" - "&amp;IF(Main!B2,TEXT(EDATE(Main!B3,42)-1,"dd mmmm yyyy"),TEXT(Main!B3+((Main!B5-Main!B3)*42+41),"dd mmmm yyyy"))</f>
        <v>20 July 2027 - 19 October 2027</v>
      </c>
      <c r="N16" s="210">
        <f ca="1">Forecast_14!C5</f>
        <v>0</v>
      </c>
    </row>
    <row r="17" ht="35" customHeight="1" spans="9:14">
      <c r="I17" s="211" t="str">
        <f>IF(Main!B2,TEXT(EDATE(Main!B3,14),"dd mmmm yyyy"),TEXT(Main!B3+((Main!B5-Main!B3)*14)+14,"dd mmmm yyyy"))&amp;" - "&amp;IF(Main!B2,TEXT(EDATE(Main!B3,15)-1,"dd mmmm yyyy"),TEXT(Main!B3+((Main!B5-Main!B3)*15+14),"dd mmmm yyyy"))</f>
        <v>20 June 2025 - 19 July 2025</v>
      </c>
      <c r="J17" s="210">
        <f ca="1">'April 2025 - June 2025'!E190</f>
        <v>967.500000000001</v>
      </c>
      <c r="M17" s="207" t="str">
        <f>IF(Main!B2,TEXT(EDATE(Main!B3,42),"dd mmmm yyyy"),TEXT(Main!B3+((Main!B5-Main!B3)*42+42),"dd mmmm yyyy"))&amp;" - "&amp;IF(Main!B2,TEXT(EDATE(Main!B3,45)-1,"dd mmmm yyyy"),TEXT(Main!B3+((Main!B5-Main!B3)*45+44),"dd mmmm yyyy"))</f>
        <v>20 October 2027 - 19 January 2028</v>
      </c>
      <c r="N17" s="210">
        <f ca="1">Forecast_15!C5</f>
        <v>0</v>
      </c>
    </row>
    <row r="18" ht="35" customHeight="1" spans="9:14">
      <c r="I18" s="211" t="str">
        <f>IF(Main!B2,TEXT(EDATE(Main!B3,15),"dd mmmm yyyy"),TEXT(Main!B3+((Main!B5-Main!B3)*15)+15,"dd mmmm yyyy"))&amp;" - "&amp;IF(Main!B2,TEXT(EDATE(Main!B3,16)-1,"dd mmmm yyyy"),TEXT(Main!B3+((Main!B5-Main!B3)*16+15),"dd mmmm yyyy"))</f>
        <v>20 July 2025 - 19 August 2025</v>
      </c>
      <c r="J18" s="210">
        <f ca="1">'July 2025 - September 2025'!E136</f>
        <v>833.500000000001</v>
      </c>
      <c r="M18" s="207" t="str">
        <f>IF(Main!B2,TEXT(EDATE(Main!B3,45),"dd mmmm yyyy"),TEXT(Main!B3+((Main!B5-Main!B3)*45+45),"dd mmmm yyyy"))&amp;" - "&amp;IF(Main!B2,TEXT(EDATE(Main!B3,48)-1,"dd mmmm yyyy"),TEXT(Main!B3+((Main!B5-Main!B3)*48+47),"dd mmmm yyyy"))</f>
        <v>20 January 2028 - 19 April 2028</v>
      </c>
      <c r="N18" s="206">
        <f ca="1">Forecast_16!C5</f>
        <v>0</v>
      </c>
    </row>
    <row r="19" ht="35" customHeight="1" spans="9:10">
      <c r="I19" s="211" t="str">
        <f>IF(Main!B2,TEXT(EDATE(Main!B3,16),"dd mmmm yyyy"),TEXT(Main!B3+((Main!B5-Main!B3)*16)+16,"dd mmmm yyyy"))&amp;" - "&amp;IF(Main!B2,TEXT(EDATE(Main!B3,17)-1,"dd mmmm yyyy"),TEXT(Main!B3+((Main!B5-Main!B3)*17+16),"dd mmmm yyyy"))</f>
        <v>20 August 2025 - 19 September 2025</v>
      </c>
      <c r="J19" s="210">
        <f ca="1">'July 2025 - September 2025'!E163</f>
        <v>843.500000000001</v>
      </c>
    </row>
    <row r="20" ht="35" customHeight="1" spans="9:10">
      <c r="I20" s="212" t="str">
        <f>IF(Main!B2,TEXT(EDATE(Main!B3,17),"dd mmmm yyyy"),TEXT(Main!B3+((Main!B5-Main!B3)*17)+17,"dd mmmm yyyy"))&amp;" - "&amp;IF(Main!B2,TEXT(EDATE(Main!B3,18)-1,"dd mmmm yyyy"),TEXT(Main!B3+((Main!B5-Main!B3)*18+17),"dd mmmm yyyy"))</f>
        <v>20 September 2025 - 19 October 2025</v>
      </c>
      <c r="J20" s="210">
        <f ca="1">'July 2025 - September 2025'!E190</f>
        <v>775.500000000001</v>
      </c>
    </row>
    <row r="21" ht="35" customHeight="1" spans="9:10">
      <c r="I21" s="211" t="str">
        <f>IF(Main!B2,TEXT(EDATE(Main!B3,18),"dd mmmm yyyy"),TEXT(Main!B3+((Main!B5-Main!B3)*18)+18,"dd mmmm yyyy"))&amp;" - "&amp;IF(Main!B2,TEXT(EDATE(Main!B3,19)-1,"dd mmmm yyyy"),TEXT(Main!B3+((Main!B5-Main!B3)*19+18),"dd mmmm yyyy"))</f>
        <v>20 October 2025 - 19 November 2025</v>
      </c>
      <c r="J21" s="210">
        <f ca="1">'October 2025 - December 2025'!E136</f>
        <v>1363.2</v>
      </c>
    </row>
    <row r="22" ht="35" customHeight="1" spans="1:10">
      <c r="A22" s="15" t="str">
        <f>TEXT(Main!B3,"dd mmmm yyyy")&amp;" - "&amp;IF(Main!B2,TEXT(EDATE(Main!B3,1)-1,"dd mmmm yyyy"),TEXT(Main!B3+Main!B5-Main!B3,"dd mmmm yyyy"))&amp;" / "&amp;" (Revenue / Deferred Debts Or Expenses)"</f>
        <v>20 April 2024 - 19 May 2024 /  (Revenue / Deferred Debts Or Expenses)</v>
      </c>
      <c r="B22" s="16"/>
      <c r="C22" s="16"/>
      <c r="D22" s="16"/>
      <c r="E22" s="16"/>
      <c r="F22" s="16"/>
      <c r="G22" s="16"/>
      <c r="I22" s="213" t="str">
        <f>IF(Main!B2,TEXT(EDATE(Main!B3,19),"dd mmmm yyyy"),TEXT(Main!B3+((Main!B5-Main!B3)*19)+19,"dd mmmm yyyy"))&amp;" - "&amp;IF(Main!B2,TEXT(EDATE(Main!B3,20)-1,"dd mmmm yyyy"),TEXT(Main!B3+((Main!B5-Main!B3)*20+19),"dd mmmm yyyy"))</f>
        <v>20 November 2025 - 19 December 2025</v>
      </c>
      <c r="J22" s="210">
        <f ca="1">'October 2025 - December 2025'!E163</f>
        <v>2155.9</v>
      </c>
    </row>
    <row r="23" ht="35" customHeight="1" spans="1:10">
      <c r="A23" s="17" t="s">
        <v>29</v>
      </c>
      <c r="B23" s="17" t="s">
        <v>48</v>
      </c>
      <c r="C23" s="17"/>
      <c r="D23" s="18" t="s">
        <v>49</v>
      </c>
      <c r="E23" s="18"/>
      <c r="F23" s="18" t="s">
        <v>50</v>
      </c>
      <c r="G23" s="18"/>
      <c r="I23" s="213" t="str">
        <f>IF(Main!B2,TEXT(EDATE(Main!B3,20),"dd mmmm yyyy"),TEXT(Main!B3+((Main!B5-Main!B3)*20)+20,"dd mmmm yyyy"))&amp;" - "&amp;IF(Main!B2,TEXT(EDATE(Main!B3,21)-1,"dd mmmm yyyy"),TEXT(Main!B3+((Main!B5-Main!B3)*21+20),"dd mmmm yyyy"))</f>
        <v>20 December 2025 - 19 January 2026</v>
      </c>
      <c r="J23" s="210">
        <f ca="1">'October 2025 - December 2025'!E190</f>
        <v>2707.6</v>
      </c>
    </row>
    <row r="24" ht="35" customHeight="1" spans="1:10">
      <c r="A24" s="19" t="s">
        <v>51</v>
      </c>
      <c r="B24" s="177" t="s">
        <v>52</v>
      </c>
      <c r="C24" s="20"/>
      <c r="D24" s="20" t="s">
        <v>53</v>
      </c>
      <c r="E24" s="20"/>
      <c r="F24" s="41">
        <v>2405</v>
      </c>
      <c r="G24" s="42"/>
      <c r="I24" s="211" t="str">
        <f>IF(Main!B2,TEXT(EDATE(Main!B3,21),"dd mmmm yyyy"),TEXT(Main!B3+((Main!B5-Main!B3)*21)+21,"dd mmmm yyyy"))&amp;" - "&amp;IF(Main!B2,TEXT(EDATE(Main!B3,22)-1,"dd mmmm yyyy"),TEXT(Main!B3+((Main!B5-Main!B3)*22+21),"dd mmmm yyyy"))</f>
        <v>20 January 2026 - 19 February 2026</v>
      </c>
      <c r="J24" s="210">
        <f ca="1">'January 2026 - March 2026'!E136</f>
        <v>3550.3</v>
      </c>
    </row>
    <row r="25" ht="35" customHeight="1" spans="1:10">
      <c r="A25" s="19"/>
      <c r="B25" s="21"/>
      <c r="C25" s="22"/>
      <c r="D25" s="23"/>
      <c r="E25" s="43"/>
      <c r="F25" s="41">
        <v>0</v>
      </c>
      <c r="G25" s="42"/>
      <c r="I25" s="211" t="str">
        <f>IF(Main!B2,TEXT(EDATE(Main!B3,22),"dd mmmm yyyy"),TEXT(Main!B3+((Main!B5-Main!B3)*22)+22,"dd mmmm yyyy"))&amp;" - "&amp;IF(Main!B2,TEXT(EDATE(Main!B3,23)-1,"dd mmmm yyyy"),TEXT(Main!B3+((Main!B5-Main!B3)*23+22),"dd mmmm yyyy"))</f>
        <v>20 February 2026 - 19 March 2026</v>
      </c>
      <c r="J25" s="210">
        <f ca="1">'January 2026 - March 2026'!E163</f>
        <v>3942</v>
      </c>
    </row>
    <row r="26" ht="35" customHeight="1" spans="1:10">
      <c r="A26" s="19"/>
      <c r="B26" s="21"/>
      <c r="C26" s="22"/>
      <c r="D26" s="23"/>
      <c r="E26" s="43"/>
      <c r="F26" s="41">
        <v>0</v>
      </c>
      <c r="G26" s="42"/>
      <c r="I26" s="209" t="str">
        <f>IF(Main!B2,TEXT(EDATE(Main!B3,23),"dd mmmm yyyy"),TEXT(Main!B3+((Main!B5-Main!B3)*23)+23,"dd mmmm yyyy"))&amp;" - "&amp;IF(Main!B2,TEXT(EDATE(Main!B3,24)-1,"dd mmmm yyyy"),TEXT(Main!B3+((Main!B5-Main!B3)*24+23),"dd mmmm yyyy"))</f>
        <v>20 March 2026 - 19 April 2026</v>
      </c>
      <c r="J26" s="210">
        <f ca="1">'January 2026 - March 2026'!E190</f>
        <v>4784.7</v>
      </c>
    </row>
    <row r="27" ht="35" customHeight="1" spans="1:10">
      <c r="A27" s="19"/>
      <c r="B27" s="21"/>
      <c r="C27" s="22"/>
      <c r="D27" s="23"/>
      <c r="E27" s="43"/>
      <c r="F27" s="41">
        <v>0</v>
      </c>
      <c r="G27" s="42"/>
      <c r="I27" s="211" t="str">
        <f>IF(Main!B2,TEXT(EDATE(Main!B3,24),"dd mmmm yyyy"),TEXT(Main!B3+((Main!B5-Main!B3)*24)+24,"dd mmmm yyyy"))&amp;" - "&amp;IF(Main!B2,TEXT(EDATE(Main!B3,25)-1,"dd mmmm yyyy"),TEXT(Main!B3+((Main!B5-Main!B3)*25+24),"dd mmmm yyyy"))</f>
        <v>20 April 2026 - 19 May 2026</v>
      </c>
      <c r="J27" s="210">
        <f ca="1">'April 2026 - June 2026'!E136</f>
        <v>5336.4</v>
      </c>
    </row>
    <row r="28" ht="35" customHeight="1" spans="1:10">
      <c r="A28" s="19"/>
      <c r="B28" s="21"/>
      <c r="C28" s="22"/>
      <c r="D28" s="23"/>
      <c r="E28" s="43"/>
      <c r="F28" s="41">
        <v>0</v>
      </c>
      <c r="G28" s="42"/>
      <c r="I28" s="211" t="str">
        <f>IF(Main!B2,TEXT(EDATE(Main!B3,25),"dd mmmm yyyy"),TEXT(Main!B3+((Main!B5-Main!B3)*25)+25,"dd mmmm yyyy"))&amp;" - "&amp;IF(Main!B2,TEXT(EDATE(Main!B3,26)-1,"dd mmmm yyyy"),TEXT(Main!B3+((Main!B5-Main!B3)*26+25),"dd mmmm yyyy"))</f>
        <v>20 May 2026 - 19 June 2026</v>
      </c>
      <c r="J28" s="210">
        <f ca="1">'April 2026 - June 2026'!E163</f>
        <v>6019.1</v>
      </c>
    </row>
    <row r="29" ht="35" customHeight="1" spans="1:10">
      <c r="A29" s="19"/>
      <c r="B29" s="21"/>
      <c r="C29" s="22"/>
      <c r="D29" s="23"/>
      <c r="E29" s="43"/>
      <c r="F29" s="41">
        <v>0</v>
      </c>
      <c r="G29" s="42"/>
      <c r="I29" s="207" t="str">
        <f>IF(Main!B2,TEXT(EDATE(Main!B3,26),"dd mmmm yyyy"),TEXT(Main!B3+((Main!B5-Main!B3)*26)+26,"dd mmmm yyyy"))&amp;" - "&amp;IF(Main!B2,TEXT(EDATE(Main!B3,27)-1,"dd mmmm yyyy"),TEXT(Main!B3+((Main!B5-Main!B3)*27+26),"dd mmmm yyyy"))</f>
        <v>20 June 2026 - 19 July 2026</v>
      </c>
      <c r="J29" s="206">
        <f ca="1">'April 2026 - June 2026'!E190</f>
        <v>6570.8</v>
      </c>
    </row>
    <row r="30" ht="35" customHeight="1" spans="1:10">
      <c r="A30" s="178"/>
      <c r="B30" s="179"/>
      <c r="C30" s="180"/>
      <c r="D30" s="27" t="s">
        <v>54</v>
      </c>
      <c r="E30" s="44"/>
      <c r="F30" s="45">
        <f>SUM(F24:G29)</f>
        <v>2405</v>
      </c>
      <c r="G30" s="46"/>
      <c r="I30" s="211" t="str">
        <f>IF(Main!B2,TEXT(EDATE(Main!B3,27),"dd mmmm yyyy"),TEXT(Main!B3+((Main!B5-Main!B3)*27)+27,"dd mmmm yyyy"))&amp;" - "&amp;IF(Main!B2,TEXT(EDATE(Main!B3,28)-1,"dd mmmm yyyy"),TEXT(Main!B3+((Main!B5-Main!B3)*28+27),"dd mmmm yyyy"))</f>
        <v>20 July 2026 - 19 August 2026</v>
      </c>
      <c r="J30" s="214">
        <f ca="1">'July 2026 - September 2026'!E136</f>
        <v>7413.5</v>
      </c>
    </row>
    <row r="31" ht="35" customHeight="1" spans="9:10">
      <c r="I31" s="211" t="str">
        <f>IF(Main!B2,TEXT(EDATE(Main!B3,28),"dd mmmm yyyy"),TEXT(Main!B3+((Main!B5-Main!B3)*28)+28,"dd mmmm yyyy"))&amp;" - "&amp;IF(Main!B2,TEXT(EDATE(Main!B3,29)-1,"dd mmmm yyyy"),TEXT(Main!B3+((Main!B5-Main!B3)*29+28),"dd mmmm yyyy"))</f>
        <v>20 August 2026 - 19 September 2026</v>
      </c>
      <c r="J31" s="210">
        <f ca="1">'July 2026 - September 2026'!E163</f>
        <v>7805.2</v>
      </c>
    </row>
    <row r="32" ht="35" customHeight="1" spans="9:10">
      <c r="I32" s="211" t="str">
        <f>IF(Main!B2,TEXT(EDATE(Main!B3,29),"dd mmmm yyyy"),TEXT(Main!B3+((Main!B5-Main!B3)*29)+29,"dd mmmm yyyy"))&amp;" - "&amp;IF(Main!B2,TEXT(EDATE(Main!B3,30)-1,"dd mmmm yyyy"),TEXT(Main!B3+((Main!B5-Main!B3)*30+29),"dd mmmm yyyy"))</f>
        <v>20 September 2026 - 19 October 2026</v>
      </c>
      <c r="J32" s="210">
        <f ca="1">'July 2026 - September 2026'!E190</f>
        <v>8585</v>
      </c>
    </row>
    <row r="33" ht="35" customHeight="1" spans="9:10">
      <c r="I33" s="211" t="str">
        <f>IF(Main!B2,TEXT(EDATE(Main!B3,30),"dd mmmm yyyy"),TEXT(Main!B3+((Main!B5-Main!B3)*30)+30,"dd mmmm yyyy"))&amp;" - "&amp;IF(Main!B2,TEXT(EDATE(Main!B3,31)-1,"dd mmmm yyyy"),TEXT(Main!B3+((Main!B5-Main!B3)*31+30),"dd mmmm yyyy"))</f>
        <v>20 October 2026 - 19 November 2026</v>
      </c>
      <c r="J33" s="210">
        <f ca="1">'October 2026 - December 2026'!E136</f>
        <v>9136.7</v>
      </c>
    </row>
    <row r="34" ht="35" customHeight="1" spans="1:10">
      <c r="A34" s="15" t="str">
        <f>IF(Main!B2,TEXT(EDATE(Main!B3,1),"dd mmmm yyyy"),TEXT(Main!B3+(Main!B5-Main!B3)+1,"dd mmmm yyyy"))&amp;" - "&amp;IF(Main!B2,TEXT(EDATE(Main!B3,2)-1,"dd mmmm yyyy"),TEXT(Main!B3+(Main!B5-Main!B3)*2+1,"dd mmmm yyyy"))&amp;" (Revenue / Deferred Debts Or Expenses)"</f>
        <v>20 May 2024 - 19 June 2024 (Revenue / Deferred Debts Or Expenses)</v>
      </c>
      <c r="B34" s="16"/>
      <c r="C34" s="16"/>
      <c r="D34" s="16"/>
      <c r="E34" s="16"/>
      <c r="F34" s="16"/>
      <c r="G34" s="16"/>
      <c r="I34" s="211" t="str">
        <f>IF(Main!B2,TEXT(EDATE(Main!B3,31),"dd mmmm yyyy"),TEXT(Main!B3+((Main!B5-Main!B3)*31)+31,"dd mmmm yyyy"))&amp;" - "&amp;IF(Main!B2,TEXT(EDATE(Main!B3,32)-1,"dd mmmm yyyy"),TEXT(Main!B3+((Main!B5-Main!B3)*32+31),"dd mmmm yyyy"))</f>
        <v>20 November 2026 - 19 December 2026</v>
      </c>
      <c r="J34" s="210">
        <f ca="1">'October 2026 - December 2026'!E163</f>
        <v>9819.4</v>
      </c>
    </row>
    <row r="35" ht="35" customHeight="1" spans="1:10">
      <c r="A35" s="17" t="s">
        <v>29</v>
      </c>
      <c r="B35" s="17" t="s">
        <v>48</v>
      </c>
      <c r="C35" s="17"/>
      <c r="D35" s="18" t="s">
        <v>49</v>
      </c>
      <c r="E35" s="18"/>
      <c r="F35" s="18" t="s">
        <v>50</v>
      </c>
      <c r="G35" s="18"/>
      <c r="I35" s="211" t="str">
        <f>IF(Main!B2,TEXT(EDATE(Main!B3,32),"dd mmmm yyyy"),TEXT(Main!B3+((Main!B5-Main!B3)*32)+32,"dd mmmm yyyy"))&amp;" - "&amp;IF(Main!B2,TEXT(EDATE(Main!B3,33)-1,"dd mmmm yyyy"),TEXT(Main!B3+((Main!B5-Main!B3)*33+32),"dd mmmm yyyy"))</f>
        <v>20 December 2026 - 19 January 2027</v>
      </c>
      <c r="J35" s="210">
        <f ca="1">'October 2026 - December 2026'!E190</f>
        <v>10371.1</v>
      </c>
    </row>
    <row r="36" ht="35" customHeight="1" spans="1:10">
      <c r="A36" s="19" t="s">
        <v>55</v>
      </c>
      <c r="B36" s="21" t="s">
        <v>52</v>
      </c>
      <c r="C36" s="22"/>
      <c r="D36" s="21" t="s">
        <v>53</v>
      </c>
      <c r="E36" s="22"/>
      <c r="F36" s="41">
        <v>2405</v>
      </c>
      <c r="G36" s="42"/>
      <c r="I36" s="211" t="str">
        <f>IF(Main!B2,TEXT(EDATE(Main!B3,33),"dd mmmm yyyy"),TEXT(Main!B3+((Main!B5-Main!B3)*33)+33,"dd mmmm yyyy"))&amp;" - "&amp;IF(Main!B2,TEXT(EDATE(Main!B3,34)-1,"dd mmmm yyyy"),TEXT(Main!B3+((Main!B5-Main!B3)*34+33),"dd mmmm yyyy"))</f>
        <v>20 January 2027 - 19 February 2027</v>
      </c>
      <c r="J36" s="210">
        <f ca="1">'January 2027 - March 2027'!E136</f>
        <v>11213.8</v>
      </c>
    </row>
    <row r="37" ht="35" customHeight="1" spans="1:10">
      <c r="A37" s="19" t="s">
        <v>56</v>
      </c>
      <c r="B37" s="21" t="s">
        <v>52</v>
      </c>
      <c r="C37" s="22"/>
      <c r="D37" s="112" t="s">
        <v>57</v>
      </c>
      <c r="E37" s="112"/>
      <c r="F37" s="41">
        <v>1035</v>
      </c>
      <c r="G37" s="42"/>
      <c r="I37" s="211" t="str">
        <f>IF(Main!B2,TEXT(EDATE(Main!B3,34),"dd mmmm yyyy"),TEXT(Main!B3+((Main!B5-Main!B3)*34)+34,"dd mmmm yyyy"))&amp;" - "&amp;IF(Main!B2,TEXT(EDATE(Main!B3,35)-1,"dd mmmm yyyy"),TEXT(Main!B3+((Main!B5-Main!B3)*35+34),"dd mmmm yyyy"))</f>
        <v>20 February 2027 - 19 March 2027</v>
      </c>
      <c r="J37" s="210">
        <f ca="1">'January 2027 - March 2027'!E163</f>
        <v>11605.5</v>
      </c>
    </row>
    <row r="38" ht="35" customHeight="1" spans="1:10">
      <c r="A38" s="19" t="s">
        <v>58</v>
      </c>
      <c r="B38" s="181" t="s">
        <v>59</v>
      </c>
      <c r="C38" s="22"/>
      <c r="D38" s="21" t="s">
        <v>60</v>
      </c>
      <c r="E38" s="22"/>
      <c r="F38" s="41">
        <v>50</v>
      </c>
      <c r="G38" s="42"/>
      <c r="I38" s="211" t="str">
        <f>IF(Main!B2,TEXT(EDATE(Main!B3,35),"dd mmmm yyyy"),TEXT(Main!B3+((Main!B5-Main!B3)*35)+35,"dd mmmm yyyy"))&amp;" - "&amp;IF(Main!B2,TEXT(EDATE(Main!B3,36)-1,"dd mmmm yyyy"),TEXT(Main!B3+((Main!B5-Main!B3)*36+35),"dd mmmm yyyy"))</f>
        <v>20 March 2027 - 19 April 2027</v>
      </c>
      <c r="J38" s="210">
        <f ca="1">'January 2027 - March 2027'!E190</f>
        <v>12448.2</v>
      </c>
    </row>
    <row r="39" ht="35" customHeight="1" spans="1:10">
      <c r="A39" s="19"/>
      <c r="B39" s="21"/>
      <c r="C39" s="22"/>
      <c r="D39" s="23"/>
      <c r="E39" s="43"/>
      <c r="F39" s="41">
        <v>0</v>
      </c>
      <c r="G39" s="42"/>
      <c r="I39" s="211" t="str">
        <f>IF(Main!B2,TEXT(EDATE(Main!B3,36),"dd mmmm yyyy"),TEXT(Main!B3+((Main!B5-Main!B3)*36)+36,"dd mmmm yyyy"))&amp;" - "&amp;IF(Main!B2,TEXT(EDATE(Main!B3,37)-1,"dd mmmm yyyy"),TEXT(Main!B3+((Main!B5-Main!B3)*37+36),"dd mmmm yyyy"))</f>
        <v>20 April 2027 - 19 May 2027</v>
      </c>
      <c r="J39" s="210">
        <f ca="1">'April 2027 - June 2027'!E136</f>
        <v>12999.9</v>
      </c>
    </row>
    <row r="40" ht="35" customHeight="1" spans="1:10">
      <c r="A40" s="19"/>
      <c r="B40" s="21"/>
      <c r="C40" s="22"/>
      <c r="D40" s="23"/>
      <c r="E40" s="43"/>
      <c r="F40" s="41">
        <v>0</v>
      </c>
      <c r="G40" s="42"/>
      <c r="I40" s="211" t="str">
        <f>IF(Main!B2,TEXT(EDATE(Main!B3,37),"dd mmmm yyyy"),TEXT(Main!B3+((Main!B5-Main!B3)*37)+37,"dd mmmm yyyy"))&amp;" - "&amp;IF(Main!B2,TEXT(EDATE(Main!B3,38)-1,"dd mmmm yyyy"),TEXT(Main!B3+((Main!B5-Main!B3)*38+37),"dd mmmm yyyy"))</f>
        <v>20 May 2027 - 19 June 2027</v>
      </c>
      <c r="J40" s="210">
        <f ca="1">'April 2027 - June 2027'!E163</f>
        <v>13682.6</v>
      </c>
    </row>
    <row r="41" ht="35" customHeight="1" spans="1:10">
      <c r="A41" s="19"/>
      <c r="B41" s="21"/>
      <c r="C41" s="22"/>
      <c r="D41" s="23"/>
      <c r="E41" s="43"/>
      <c r="F41" s="41">
        <v>0</v>
      </c>
      <c r="G41" s="42"/>
      <c r="I41" s="207" t="str">
        <f>IF(Main!B2,TEXT(EDATE(Main!B3,38),"dd mmmm yyyy"),TEXT(Main!B3+((Main!B5-Main!B3)*38)+38,"dd mmmm yyyy"))&amp;" - "&amp;IF(Main!B2,TEXT(EDATE(Main!B3,39)-1,"dd mmmm yyyy"),TEXT(Main!B3+((Main!B5-Main!B3)*39+38),"dd mmmm yyyy"))</f>
        <v>20 June 2027 - 19 July 2027</v>
      </c>
      <c r="J41" s="210">
        <f ca="1">'April 2027 - June 2027'!E190</f>
        <v>14234.3</v>
      </c>
    </row>
    <row r="42" ht="35" customHeight="1" spans="1:10">
      <c r="A42" s="178"/>
      <c r="B42" s="179"/>
      <c r="C42" s="180"/>
      <c r="D42" s="27" t="s">
        <v>54</v>
      </c>
      <c r="E42" s="44"/>
      <c r="F42" s="45">
        <f>SUM(F36:G41)</f>
        <v>3490</v>
      </c>
      <c r="G42" s="46"/>
      <c r="I42" s="207" t="str">
        <f>IF(Main!B2,TEXT(EDATE(Main!B3,39),"dd mmmm yyyy"),TEXT(Main!B3+((Main!B5-Main!B3)*39)+39,"dd mmmm yyyy"))&amp;" - "&amp;IF(Main!B2,TEXT(EDATE(Main!B3,40)-1,"dd mmmm yyyy"),TEXT(Main!B3+((Main!B5-Main!B3)*40+39),"dd mmmm yyyy"))</f>
        <v>20 July 2027 - 19 August 2027</v>
      </c>
      <c r="J42" s="210">
        <f ca="1">Forecast_14!E136</f>
        <v>14234.3</v>
      </c>
    </row>
    <row r="43" ht="35" customHeight="1" spans="9:10">
      <c r="I43" s="207" t="str">
        <f>IF(Main!B2,TEXT(EDATE(Main!B3,40),"dd mmmm yyyy"),TEXT(Main!B3+((Main!B5-Main!B3)*40)+40,"dd mmmm yyyy"))&amp;" - "&amp;IF(Main!B2,TEXT(EDATE(Main!B3,41)-1,"dd mmmm yyyy"),TEXT(Main!B3+((Main!B5-Main!B3)*41+40),"dd mmmm yyyy"))</f>
        <v>20 August 2027 - 19 September 2027</v>
      </c>
      <c r="J43" s="210">
        <f ca="1">Forecast_14!E163</f>
        <v>14234.3</v>
      </c>
    </row>
    <row r="44" ht="35" customHeight="1" spans="9:10">
      <c r="I44" s="207" t="str">
        <f>IF(Main!B2,TEXT(EDATE(Main!B3,41),"dd mmmm yyyy"),TEXT(Main!B3+((Main!B5-Main!B3)*41)+41,"dd mmmm yyyy"))&amp;" - "&amp;IF(Main!B2,TEXT(EDATE(Main!B3,42)-1,"dd mmmm yyyy"),TEXT(Main!B3+((Main!B5-Main!B3)*42+41),"dd mmmm yyyy"))</f>
        <v>20 September 2027 - 19 October 2027</v>
      </c>
      <c r="J44" s="210">
        <f ca="1">Forecast_14!E190</f>
        <v>14234.3</v>
      </c>
    </row>
    <row r="45" ht="35" customHeight="1" spans="9:10">
      <c r="I45" s="207" t="str">
        <f>IF(Main!B2,TEXT(EDATE(Main!B3,42),"dd mmmm yyyy"),TEXT(Main!B3+((Main!B5-Main!B3)*42)+42,"dd mmmm yyyy"))&amp;" - "&amp;IF(Main!B2,TEXT(EDATE(Main!B3,43)-1,"dd mmmm yyyy"),TEXT(Main!B3+((Main!B5-Main!B3)*43+42),"dd mmmm yyyy"))</f>
        <v>20 October 2027 - 19 November 2027</v>
      </c>
      <c r="J45" s="210">
        <f ca="1">Forecast_15!E136</f>
        <v>14234.3</v>
      </c>
    </row>
    <row r="46" ht="35" customHeight="1" spans="1:10">
      <c r="A46" s="15" t="str">
        <f>IF(Main!B2,TEXT(EDATE(Main!B3,2),"dd mmmm yyyy"),TEXT(Main!B3+((Main!B5-Main!B3)*2)+2,"dd mmmm yyyy"))&amp;" - "&amp;IF(Main!B2,TEXT(EDATE(Main!B3,3)-1,"dd mmmm yyyy"),TEXT(Main!B3+((Main!B5-Main!B3)*3+2),"dd mmmm yyyy"))&amp;" (Revenue / Deferred Debts Or Expenses)"</f>
        <v>20 June 2024 - 19 July 2024 (Revenue / Deferred Debts Or Expenses)</v>
      </c>
      <c r="B46" s="16"/>
      <c r="C46" s="16"/>
      <c r="D46" s="16"/>
      <c r="E46" s="16"/>
      <c r="F46" s="16"/>
      <c r="G46" s="16"/>
      <c r="I46" s="207" t="str">
        <f>IF(Main!B2,TEXT(EDATE(Main!B3,43),"dd mmmm yyyy"),TEXT(Main!B3+((Main!B5-Main!B3)*43)+43,"dd mmmm yyyy"))&amp;" - "&amp;IF(Main!B2,TEXT(EDATE(Main!B3,44)-1,"dd mmmm yyyy"),TEXT(Main!B3+((Main!B5-Main!B3)*44+43),"dd mmmm yyyy"))</f>
        <v>20 November 2027 - 19 December 2027</v>
      </c>
      <c r="J46" s="210">
        <f ca="1">Forecast_15!E163</f>
        <v>14234.3</v>
      </c>
    </row>
    <row r="47" ht="35" customHeight="1" spans="1:10">
      <c r="A47" s="17" t="s">
        <v>29</v>
      </c>
      <c r="B47" s="17" t="s">
        <v>48</v>
      </c>
      <c r="C47" s="17"/>
      <c r="D47" s="18" t="s">
        <v>49</v>
      </c>
      <c r="E47" s="18"/>
      <c r="F47" s="18" t="s">
        <v>50</v>
      </c>
      <c r="G47" s="18"/>
      <c r="I47" s="207" t="str">
        <f>IF(Main!B2,TEXT(EDATE(Main!B3,44),"dd mmmm yyyy"),TEXT(Main!B3+((Main!B5-Main!B3)*44)+44,"dd mmmm yyyy"))&amp;" - "&amp;IF(Main!B2,TEXT(EDATE(Main!B3,45)-1,"dd mmmm yyyy"),TEXT(Main!B3+((Main!B5-Main!B3)*45+44),"dd mmmm yyyy"))</f>
        <v>20 December 2027 - 19 January 2028</v>
      </c>
      <c r="J47" s="210">
        <f ca="1">Forecast_15!E190</f>
        <v>14234.3</v>
      </c>
    </row>
    <row r="48" ht="35" customHeight="1" spans="1:10">
      <c r="A48" s="95" t="s">
        <v>61</v>
      </c>
      <c r="B48" s="96" t="s">
        <v>62</v>
      </c>
      <c r="C48" s="96"/>
      <c r="D48" s="182" t="s">
        <v>63</v>
      </c>
      <c r="E48" s="182"/>
      <c r="F48" s="201">
        <v>150</v>
      </c>
      <c r="G48" s="42"/>
      <c r="I48" s="207" t="str">
        <f>IF(Main!B2,TEXT(EDATE(Main!B3,45),"dd mmmm yyyy"),TEXT(Main!B3+((Main!B5-Main!B3)*45)+45,"dd mmmm yyyy"))&amp;" - "&amp;IF(Main!B2,TEXT(EDATE(Main!B3,46)-1,"dd mmmm yyyy"),TEXT(Main!B3+((Main!B5-Main!B3)*46+45),"dd mmmm yyyy"))</f>
        <v>20 January 2028 - 19 February 2028</v>
      </c>
      <c r="J48" s="210">
        <f ca="1">Forecast_16!E136</f>
        <v>14234.3</v>
      </c>
    </row>
    <row r="49" ht="35" customHeight="1" spans="1:10">
      <c r="A49" s="95" t="s">
        <v>64</v>
      </c>
      <c r="B49" s="96" t="s">
        <v>52</v>
      </c>
      <c r="C49" s="96"/>
      <c r="D49" s="97" t="s">
        <v>53</v>
      </c>
      <c r="E49" s="97"/>
      <c r="F49" s="201">
        <v>2405</v>
      </c>
      <c r="G49" s="42"/>
      <c r="I49" s="207" t="str">
        <f>IF(Main!B2,TEXT(EDATE(Main!B3,46),"dd mmmm yyyy"),TEXT(Main!B3+((Main!B5-Main!B3)*46)+46,"dd mmmm yyyy"))&amp;" - "&amp;IF(Main!B2,TEXT(EDATE(Main!B3,47)-1,"dd mmmm yyyy"),TEXT(Main!B3+((Main!B5-Main!B3)*47+46),"dd mmmm yyyy"))</f>
        <v>20 February 2028 - 19 March 2028</v>
      </c>
      <c r="J49" s="210">
        <f ca="1">Forecast_16!E163</f>
        <v>14234.3</v>
      </c>
    </row>
    <row r="50" ht="35" customHeight="1" spans="1:10">
      <c r="A50" s="95" t="s">
        <v>65</v>
      </c>
      <c r="B50" s="96" t="s">
        <v>66</v>
      </c>
      <c r="C50" s="96"/>
      <c r="D50" s="96" t="s">
        <v>67</v>
      </c>
      <c r="E50" s="96"/>
      <c r="F50" s="201">
        <v>7700</v>
      </c>
      <c r="G50" s="42"/>
      <c r="I50" s="207" t="str">
        <f>IF(Main!B2,TEXT(EDATE(Main!B3,47),"dd mmmm yyyy"),TEXT(Main!B3+((Main!B5-Main!B3)*47)+47,"dd mmmm yyyy"))&amp;" - "&amp;IF(Main!B2,TEXT(EDATE(Main!B3,48)-1,"dd mmmm yyyy"),TEXT(Main!B3+((Main!B5-Main!B3)*48+47),"dd mmmm yyyy"))</f>
        <v>20 March 2028 - 19 April 2028</v>
      </c>
      <c r="J50" s="206">
        <f ca="1">Forecast_16!E190</f>
        <v>14234.3</v>
      </c>
    </row>
    <row r="51" ht="35" customHeight="1" spans="1:7">
      <c r="A51" s="183" t="s">
        <v>68</v>
      </c>
      <c r="B51" s="184" t="s">
        <v>69</v>
      </c>
      <c r="C51" s="184"/>
      <c r="D51" s="97"/>
      <c r="E51" s="97"/>
      <c r="F51" s="201">
        <v>411.5</v>
      </c>
      <c r="G51" s="42"/>
    </row>
    <row r="52" ht="35" customHeight="1" spans="1:7">
      <c r="A52" s="185" t="s">
        <v>70</v>
      </c>
      <c r="B52" s="96" t="s">
        <v>71</v>
      </c>
      <c r="C52" s="96"/>
      <c r="D52" s="96" t="s">
        <v>72</v>
      </c>
      <c r="E52" s="96"/>
      <c r="F52" s="201">
        <v>9350</v>
      </c>
      <c r="G52" s="42"/>
    </row>
    <row r="53" ht="35" customHeight="1" spans="1:7">
      <c r="A53" s="19"/>
      <c r="B53" s="21"/>
      <c r="C53" s="22"/>
      <c r="D53" s="23"/>
      <c r="E53" s="43"/>
      <c r="F53" s="41">
        <v>0</v>
      </c>
      <c r="G53" s="42"/>
    </row>
    <row r="54" ht="35" customHeight="1" spans="1:7">
      <c r="A54" s="178"/>
      <c r="B54" s="179"/>
      <c r="C54" s="180"/>
      <c r="D54" s="27" t="s">
        <v>54</v>
      </c>
      <c r="E54" s="44"/>
      <c r="F54" s="45">
        <f>SUM(F48:G53)</f>
        <v>20016.5</v>
      </c>
      <c r="G54" s="46"/>
    </row>
    <row r="55" ht="35" customHeight="1"/>
    <row r="56" ht="35" customHeight="1"/>
    <row r="57" ht="35" customHeight="1"/>
    <row r="58" ht="35" customHeight="1" spans="1:3">
      <c r="A58" s="186" t="str">
        <f>"Fixed Expense For the Year "&amp;TEXT(Main!B3,"mmmm yyyy")&amp;" - "&amp;IF(Main!B2,TEXT(EDATE(Main!B3,3)-1,"mmmm yyyy"),TEXT(Main!B3+((Main!B5-Main!B3)*3+2),"mmmm yyyy"))</f>
        <v>Fixed Expense For the Year April 2024 - July 2024</v>
      </c>
      <c r="B58" s="187"/>
      <c r="C58" s="188"/>
    </row>
    <row r="59" ht="35" customHeight="1" spans="1:3">
      <c r="A59" s="189" t="s">
        <v>48</v>
      </c>
      <c r="B59" s="189" t="s">
        <v>49</v>
      </c>
      <c r="C59" s="190" t="s">
        <v>50</v>
      </c>
    </row>
    <row r="60" ht="35" customHeight="1" spans="1:3">
      <c r="A60" s="191" t="s">
        <v>73</v>
      </c>
      <c r="B60" s="192"/>
      <c r="C60" s="193"/>
    </row>
    <row r="61" ht="35" customHeight="1" spans="1:3">
      <c r="A61" s="50" t="s">
        <v>74</v>
      </c>
      <c r="B61" s="194"/>
      <c r="C61" s="150">
        <v>204</v>
      </c>
    </row>
    <row r="62" ht="35" customHeight="1" spans="1:3">
      <c r="A62" s="50" t="s">
        <v>75</v>
      </c>
      <c r="B62" s="194"/>
      <c r="C62" s="150">
        <v>197</v>
      </c>
    </row>
    <row r="63" ht="35" customHeight="1" spans="1:3">
      <c r="A63" s="195" t="s">
        <v>76</v>
      </c>
      <c r="B63" s="194"/>
      <c r="C63" s="150">
        <v>0</v>
      </c>
    </row>
    <row r="64" ht="35" customHeight="1" spans="1:3">
      <c r="A64" s="50" t="s">
        <v>59</v>
      </c>
      <c r="B64" s="196"/>
      <c r="C64" s="150">
        <v>42</v>
      </c>
    </row>
    <row r="65" ht="35" customHeight="1" spans="1:3">
      <c r="A65" s="50" t="s">
        <v>77</v>
      </c>
      <c r="B65" s="194"/>
      <c r="C65" s="219">
        <v>0</v>
      </c>
    </row>
    <row r="66" ht="35" customHeight="1" spans="1:3">
      <c r="A66" s="50"/>
      <c r="B66" s="194"/>
      <c r="C66" s="219">
        <v>0</v>
      </c>
    </row>
    <row r="67" ht="35" customHeight="1" spans="1:3">
      <c r="A67" s="50"/>
      <c r="B67" s="194"/>
      <c r="C67" s="219">
        <v>0</v>
      </c>
    </row>
    <row r="68" ht="35" customHeight="1" spans="1:3">
      <c r="A68" s="50"/>
      <c r="B68" s="194"/>
      <c r="C68" s="219">
        <v>0</v>
      </c>
    </row>
    <row r="69" ht="35" customHeight="1" spans="1:3">
      <c r="A69" s="38"/>
      <c r="B69" s="39" t="s">
        <v>78</v>
      </c>
      <c r="C69" s="219">
        <f>SUM(C61:C68)</f>
        <v>443</v>
      </c>
    </row>
    <row r="70" ht="35" customHeight="1" spans="1:3">
      <c r="A70" s="191" t="s">
        <v>79</v>
      </c>
      <c r="B70" s="192"/>
      <c r="C70" s="193"/>
    </row>
    <row r="71" ht="35" customHeight="1" spans="1:3">
      <c r="A71" s="50" t="s">
        <v>80</v>
      </c>
      <c r="B71" s="194"/>
      <c r="C71" s="219">
        <v>0</v>
      </c>
    </row>
    <row r="72" ht="35" customHeight="1" spans="1:3">
      <c r="A72" s="50" t="s">
        <v>81</v>
      </c>
      <c r="B72" s="194"/>
      <c r="C72" s="219">
        <v>0</v>
      </c>
    </row>
    <row r="73" ht="35" customHeight="1" spans="1:3">
      <c r="A73" s="50" t="s">
        <v>82</v>
      </c>
      <c r="B73" s="194"/>
      <c r="C73" s="219">
        <v>0</v>
      </c>
    </row>
    <row r="74" ht="35" customHeight="1" spans="1:3">
      <c r="A74" s="50" t="s">
        <v>83</v>
      </c>
      <c r="B74" s="194"/>
      <c r="C74" s="219">
        <v>0</v>
      </c>
    </row>
    <row r="75" ht="35" customHeight="1" spans="1:3">
      <c r="A75" s="50"/>
      <c r="B75" s="194"/>
      <c r="C75" s="219">
        <v>0</v>
      </c>
    </row>
    <row r="76" ht="35" customHeight="1" spans="1:3">
      <c r="A76" s="50"/>
      <c r="B76" s="194"/>
      <c r="C76" s="219">
        <v>0</v>
      </c>
    </row>
    <row r="77" ht="35" customHeight="1" spans="1:3">
      <c r="A77" s="50"/>
      <c r="B77" s="194"/>
      <c r="C77" s="219">
        <v>0</v>
      </c>
    </row>
    <row r="78" ht="35" customHeight="1" spans="1:3">
      <c r="A78" s="50"/>
      <c r="B78" s="194"/>
      <c r="C78" s="219">
        <v>0</v>
      </c>
    </row>
    <row r="79" ht="35" customHeight="1" spans="1:3">
      <c r="A79" s="50"/>
      <c r="B79" s="194"/>
      <c r="C79" s="219">
        <v>0</v>
      </c>
    </row>
    <row r="80" ht="35" customHeight="1" spans="1:3">
      <c r="A80" s="220"/>
      <c r="B80" s="221" t="s">
        <v>78</v>
      </c>
      <c r="C80" s="219">
        <f>SUM(C71:C79)</f>
        <v>0</v>
      </c>
    </row>
    <row r="81" ht="35" customHeight="1" spans="1:3">
      <c r="A81" s="191" t="s">
        <v>84</v>
      </c>
      <c r="B81" s="192"/>
      <c r="C81" s="193"/>
    </row>
    <row r="82" ht="35" customHeight="1" spans="1:3">
      <c r="A82" s="50" t="s">
        <v>85</v>
      </c>
      <c r="B82" s="196" t="s">
        <v>86</v>
      </c>
      <c r="C82" s="36">
        <v>0</v>
      </c>
    </row>
    <row r="83" ht="35" customHeight="1" spans="1:3">
      <c r="A83" s="222" t="s">
        <v>87</v>
      </c>
      <c r="B83" s="194" t="s">
        <v>88</v>
      </c>
      <c r="C83" s="36">
        <v>0</v>
      </c>
    </row>
    <row r="84" ht="35" customHeight="1" spans="1:3">
      <c r="A84" s="51"/>
      <c r="B84" s="194"/>
      <c r="C84" s="36">
        <v>0</v>
      </c>
    </row>
    <row r="85" ht="35" customHeight="1" spans="1:3">
      <c r="A85" s="50"/>
      <c r="B85" s="194"/>
      <c r="C85" s="36">
        <v>0</v>
      </c>
    </row>
    <row r="86" ht="35" customHeight="1" spans="1:3">
      <c r="A86" s="50"/>
      <c r="B86" s="194"/>
      <c r="C86" s="36">
        <v>0</v>
      </c>
    </row>
    <row r="87" ht="35" customHeight="1" spans="1:3">
      <c r="A87" s="50"/>
      <c r="B87" s="194"/>
      <c r="C87" s="36">
        <v>0</v>
      </c>
    </row>
    <row r="88" ht="35" customHeight="1" spans="1:3">
      <c r="A88" s="50"/>
      <c r="B88" s="194"/>
      <c r="C88" s="36">
        <v>0</v>
      </c>
    </row>
    <row r="89" ht="35" customHeight="1" spans="1:3">
      <c r="A89" s="220"/>
      <c r="B89" s="221" t="s">
        <v>78</v>
      </c>
      <c r="C89" s="36">
        <f>SUM(C82:C88)</f>
        <v>0</v>
      </c>
    </row>
    <row r="90" ht="35" customHeight="1" spans="1:3">
      <c r="A90" s="191" t="s">
        <v>89</v>
      </c>
      <c r="B90" s="192"/>
      <c r="C90" s="193"/>
    </row>
    <row r="91" ht="35" customHeight="1" spans="1:3">
      <c r="A91" s="223" t="s">
        <v>90</v>
      </c>
      <c r="B91" s="224"/>
      <c r="C91" s="219">
        <v>0</v>
      </c>
    </row>
    <row r="92" ht="35" customHeight="1" spans="1:3">
      <c r="A92" s="51"/>
      <c r="B92" s="194"/>
      <c r="C92" s="219">
        <v>0</v>
      </c>
    </row>
    <row r="93" ht="35" customHeight="1" spans="1:3">
      <c r="A93" s="51"/>
      <c r="B93" s="194"/>
      <c r="C93" s="219">
        <v>0</v>
      </c>
    </row>
    <row r="94" ht="35" customHeight="1" spans="1:3">
      <c r="A94" s="50"/>
      <c r="B94" s="194"/>
      <c r="C94" s="219">
        <v>0</v>
      </c>
    </row>
    <row r="95" ht="35" customHeight="1" spans="1:3">
      <c r="A95" s="50"/>
      <c r="B95" s="194"/>
      <c r="C95" s="219">
        <v>0</v>
      </c>
    </row>
    <row r="96" ht="35" customHeight="1" spans="1:3">
      <c r="A96" s="50"/>
      <c r="B96" s="194"/>
      <c r="C96" s="219">
        <v>0</v>
      </c>
    </row>
    <row r="97" ht="35" customHeight="1" spans="1:3">
      <c r="A97" s="50"/>
      <c r="B97" s="194"/>
      <c r="C97" s="219">
        <v>0</v>
      </c>
    </row>
    <row r="98" ht="35" customHeight="1" spans="1:3">
      <c r="A98" s="50"/>
      <c r="B98" s="194"/>
      <c r="C98" s="219">
        <v>0</v>
      </c>
    </row>
    <row r="99" ht="35" customHeight="1" spans="1:3">
      <c r="A99" s="49"/>
      <c r="B99" s="39" t="s">
        <v>78</v>
      </c>
      <c r="C99" s="36">
        <f>SUM(C91:C98)</f>
        <v>0</v>
      </c>
    </row>
    <row r="100" ht="35" customHeight="1" spans="1:3">
      <c r="A100" s="191" t="s">
        <v>91</v>
      </c>
      <c r="B100" s="192"/>
      <c r="C100" s="193"/>
    </row>
    <row r="101" ht="35" customHeight="1" spans="1:3">
      <c r="A101" s="50" t="s">
        <v>92</v>
      </c>
      <c r="B101" s="225" t="s">
        <v>93</v>
      </c>
      <c r="C101" s="98">
        <v>300</v>
      </c>
    </row>
    <row r="102" ht="43" customHeight="1" spans="1:3">
      <c r="A102" s="51" t="s">
        <v>94</v>
      </c>
      <c r="B102" s="100" t="s">
        <v>95</v>
      </c>
      <c r="C102" s="98">
        <v>0</v>
      </c>
    </row>
    <row r="103" ht="35" customHeight="1" spans="1:3">
      <c r="A103" s="50" t="s">
        <v>96</v>
      </c>
      <c r="B103" s="100" t="s">
        <v>97</v>
      </c>
      <c r="C103" s="98">
        <v>0</v>
      </c>
    </row>
    <row r="104" ht="35" customHeight="1" spans="1:3">
      <c r="A104" s="50" t="s">
        <v>98</v>
      </c>
      <c r="B104" s="100" t="s">
        <v>99</v>
      </c>
      <c r="C104" s="98">
        <v>760</v>
      </c>
    </row>
    <row r="105" ht="35" customHeight="1" spans="1:3">
      <c r="A105" s="50"/>
      <c r="B105" s="194"/>
      <c r="C105" s="219">
        <v>0</v>
      </c>
    </row>
    <row r="106" ht="35" customHeight="1" spans="1:3">
      <c r="A106" s="50"/>
      <c r="B106" s="194"/>
      <c r="C106" s="219">
        <v>0</v>
      </c>
    </row>
    <row r="107" ht="35" customHeight="1" spans="1:3">
      <c r="A107" s="50"/>
      <c r="B107" s="194"/>
      <c r="C107" s="219">
        <v>0</v>
      </c>
    </row>
    <row r="108" ht="35" customHeight="1" spans="1:3">
      <c r="A108" s="50"/>
      <c r="B108" s="194"/>
      <c r="C108" s="219">
        <v>0</v>
      </c>
    </row>
    <row r="109" ht="35" customHeight="1" spans="1:3">
      <c r="A109" s="51"/>
      <c r="B109" s="39" t="s">
        <v>78</v>
      </c>
      <c r="C109" s="219">
        <f>SUM(C101:C108)</f>
        <v>1060</v>
      </c>
    </row>
    <row r="110" ht="35" customHeight="1" spans="1:3">
      <c r="A110" s="49"/>
      <c r="B110" s="39" t="s">
        <v>100</v>
      </c>
      <c r="C110" s="219">
        <f>C69+C80+C89+C99+C109</f>
        <v>1503</v>
      </c>
    </row>
    <row r="111" ht="35" customHeight="1" spans="1:3">
      <c r="A111" s="191" t="s">
        <v>101</v>
      </c>
      <c r="B111" s="192"/>
      <c r="C111" s="193"/>
    </row>
    <row r="112" ht="35" customHeight="1" spans="1:8">
      <c r="A112" s="226" t="s">
        <v>102</v>
      </c>
      <c r="B112" s="227"/>
      <c r="C112" s="228">
        <v>14950</v>
      </c>
      <c r="D112" s="14"/>
      <c r="E112" s="94"/>
      <c r="F112" s="14"/>
      <c r="G112" s="14"/>
      <c r="H112" s="14"/>
    </row>
    <row r="113" ht="35" customHeight="1" spans="1:8">
      <c r="A113" s="226" t="s">
        <v>103</v>
      </c>
      <c r="B113" s="194"/>
      <c r="C113" s="229">
        <f>5000</f>
        <v>5000</v>
      </c>
      <c r="D113" s="14"/>
      <c r="E113" s="14"/>
      <c r="F113" s="14"/>
      <c r="G113" s="14"/>
      <c r="H113" s="14"/>
    </row>
    <row r="114" ht="35" customHeight="1" spans="1:8">
      <c r="A114" s="226" t="s">
        <v>104</v>
      </c>
      <c r="B114" s="194"/>
      <c r="C114" s="230">
        <f>3300</f>
        <v>3300</v>
      </c>
      <c r="D114" s="14"/>
      <c r="E114" s="14"/>
      <c r="F114" s="14"/>
      <c r="G114" s="14"/>
      <c r="H114" s="14"/>
    </row>
    <row r="115" ht="35" customHeight="1" spans="1:8">
      <c r="A115" s="231" t="s">
        <v>105</v>
      </c>
      <c r="B115" s="194"/>
      <c r="C115" s="230">
        <v>0</v>
      </c>
      <c r="D115" s="14"/>
      <c r="E115" s="14"/>
      <c r="F115" s="14"/>
      <c r="G115" s="14"/>
      <c r="H115" s="14"/>
    </row>
    <row r="116" ht="35" customHeight="1" spans="1:8">
      <c r="A116" s="231" t="s">
        <v>106</v>
      </c>
      <c r="B116" s="194"/>
      <c r="C116" s="230">
        <v>0</v>
      </c>
      <c r="D116" s="14"/>
      <c r="E116" s="14"/>
      <c r="F116" s="14"/>
      <c r="G116" s="14"/>
      <c r="H116" s="14"/>
    </row>
    <row r="117" ht="35" customHeight="1" spans="1:8">
      <c r="A117" s="50" t="s">
        <v>107</v>
      </c>
      <c r="B117" s="194"/>
      <c r="C117" s="36">
        <v>1083</v>
      </c>
      <c r="D117" s="14"/>
      <c r="E117" s="14"/>
      <c r="F117" s="14"/>
      <c r="G117" s="14"/>
      <c r="H117" s="14"/>
    </row>
    <row r="118" ht="35" customHeight="1" spans="1:8">
      <c r="A118" s="50"/>
      <c r="B118" s="194"/>
      <c r="C118" s="36">
        <v>0</v>
      </c>
      <c r="D118" s="14"/>
      <c r="E118" s="14"/>
      <c r="F118" s="14"/>
      <c r="G118" s="14"/>
      <c r="H118" s="14"/>
    </row>
    <row r="119" ht="35" customHeight="1" spans="1:8">
      <c r="A119" s="50"/>
      <c r="B119" s="194"/>
      <c r="C119" s="36">
        <v>0</v>
      </c>
      <c r="D119" s="14"/>
      <c r="E119" s="14"/>
      <c r="F119" s="14"/>
      <c r="G119" s="14"/>
      <c r="H119" s="14"/>
    </row>
    <row r="120" ht="35" customHeight="1" spans="1:8">
      <c r="A120" s="50"/>
      <c r="B120" s="194"/>
      <c r="C120" s="36">
        <v>0</v>
      </c>
      <c r="D120" s="14"/>
      <c r="E120" s="14"/>
      <c r="F120" s="14"/>
      <c r="G120" s="14"/>
      <c r="H120" s="14"/>
    </row>
    <row r="121" ht="35" customHeight="1" spans="1:8">
      <c r="A121" s="50"/>
      <c r="B121" s="194"/>
      <c r="C121" s="36">
        <v>0</v>
      </c>
      <c r="D121" s="14"/>
      <c r="E121" s="14"/>
      <c r="F121" s="14"/>
      <c r="G121" s="14"/>
      <c r="H121" s="14"/>
    </row>
    <row r="122" ht="35" customHeight="1" spans="1:3">
      <c r="A122" s="220"/>
      <c r="B122" s="221" t="s">
        <v>108</v>
      </c>
      <c r="C122" s="219">
        <f>SUM(C112:C121)</f>
        <v>24333</v>
      </c>
    </row>
    <row r="123" ht="35" customHeight="1" spans="1:3">
      <c r="A123" s="220"/>
      <c r="B123" s="221" t="s">
        <v>109</v>
      </c>
      <c r="C123" s="36">
        <f>C122+C110</f>
        <v>25836</v>
      </c>
    </row>
    <row r="124" ht="35" customHeight="1" spans="5:5">
      <c r="E124" s="232"/>
    </row>
    <row r="125" ht="35" customHeight="1" spans="5:5">
      <c r="E125" s="232"/>
    </row>
    <row r="126" ht="35" customHeight="1"/>
    <row r="127" ht="35" customHeight="1"/>
    <row r="128" ht="35" customHeight="1" spans="1:5">
      <c r="A128" s="52" t="str">
        <f>"Debts Or Credits For the Comming "&amp;TEXT(Main!B3,"mmmm dd yyyy")&amp;" to "&amp;IF(Main!B2,TEXT(EDATE(Main!B3,1)-1,"mmmm dd yyyy"),TEXT(Main!B3+Main!B5-Main!B3,"dd mmmm yyyy"))</f>
        <v>Debts Or Credits For the Comming April 20 2024 to May 19 2024</v>
      </c>
      <c r="B128" s="53"/>
      <c r="C128" s="53"/>
      <c r="D128" s="53"/>
      <c r="E128" s="54"/>
    </row>
    <row r="129" ht="35" customHeight="1" spans="1:5">
      <c r="A129" s="52" t="s">
        <v>110</v>
      </c>
      <c r="B129" s="54"/>
      <c r="C129" s="52" t="s">
        <v>49</v>
      </c>
      <c r="D129" s="54"/>
      <c r="E129" s="69" t="s">
        <v>50</v>
      </c>
    </row>
    <row r="130" ht="35" customHeight="1" spans="1:5">
      <c r="A130" s="58" t="s">
        <v>91</v>
      </c>
      <c r="B130" s="59"/>
      <c r="C130" s="60" t="s">
        <v>111</v>
      </c>
      <c r="D130" s="61"/>
      <c r="E130" s="71"/>
    </row>
    <row r="131" ht="35" customHeight="1" spans="1:8">
      <c r="A131" s="62"/>
      <c r="B131" s="63"/>
      <c r="C131" s="64"/>
      <c r="D131" s="65"/>
      <c r="E131" s="36">
        <v>0</v>
      </c>
      <c r="F131" s="14"/>
      <c r="G131" s="14"/>
      <c r="H131" s="14"/>
    </row>
    <row r="132" ht="35" customHeight="1" spans="1:8">
      <c r="A132" s="62"/>
      <c r="B132" s="63"/>
      <c r="C132" s="64"/>
      <c r="D132" s="65"/>
      <c r="E132" s="36">
        <v>0</v>
      </c>
      <c r="F132" s="14"/>
      <c r="G132" s="14"/>
      <c r="H132" s="14"/>
    </row>
    <row r="133" ht="35" customHeight="1" spans="1:8">
      <c r="A133" s="62"/>
      <c r="B133" s="63"/>
      <c r="C133" s="64"/>
      <c r="D133" s="65"/>
      <c r="E133" s="36">
        <v>0</v>
      </c>
      <c r="F133" s="14"/>
      <c r="G133" s="14"/>
      <c r="H133" s="14"/>
    </row>
    <row r="134" ht="35" customHeight="1" spans="1:8">
      <c r="A134" s="62"/>
      <c r="B134" s="63"/>
      <c r="C134" s="64"/>
      <c r="D134" s="65"/>
      <c r="E134" s="36">
        <v>0</v>
      </c>
      <c r="F134" s="14"/>
      <c r="G134" s="14"/>
      <c r="H134" s="14"/>
    </row>
    <row r="135" ht="35" customHeight="1" spans="1:8">
      <c r="A135" s="62"/>
      <c r="B135" s="63"/>
      <c r="C135" s="64"/>
      <c r="D135" s="65"/>
      <c r="E135" s="36">
        <v>0</v>
      </c>
      <c r="F135" s="14"/>
      <c r="G135" s="14"/>
      <c r="H135" s="14"/>
    </row>
    <row r="136" ht="35" customHeight="1" spans="1:8">
      <c r="A136" s="62"/>
      <c r="B136" s="63"/>
      <c r="C136" s="64"/>
      <c r="D136" s="65"/>
      <c r="E136" s="36">
        <v>0</v>
      </c>
      <c r="F136" s="14"/>
      <c r="G136" s="14"/>
      <c r="H136" s="14"/>
    </row>
    <row r="137" ht="35" customHeight="1" spans="1:8">
      <c r="A137" s="62"/>
      <c r="B137" s="63"/>
      <c r="C137" s="64"/>
      <c r="D137" s="65"/>
      <c r="E137" s="36">
        <v>0</v>
      </c>
      <c r="F137" s="14"/>
      <c r="G137" s="14"/>
      <c r="H137" s="14"/>
    </row>
    <row r="138" ht="35" customHeight="1" spans="1:8">
      <c r="A138" s="62"/>
      <c r="B138" s="63"/>
      <c r="C138" s="64"/>
      <c r="D138" s="65"/>
      <c r="E138" s="36">
        <v>0</v>
      </c>
      <c r="F138" s="14"/>
      <c r="G138" s="14"/>
      <c r="H138" s="14"/>
    </row>
    <row r="139" ht="35" customHeight="1" spans="1:8">
      <c r="A139" s="62"/>
      <c r="B139" s="63"/>
      <c r="C139" s="64"/>
      <c r="D139" s="65"/>
      <c r="E139" s="36">
        <v>0</v>
      </c>
      <c r="F139" s="14"/>
      <c r="G139" s="14"/>
      <c r="H139" s="14"/>
    </row>
    <row r="140" ht="35" customHeight="1" spans="1:8">
      <c r="A140" s="62"/>
      <c r="B140" s="63"/>
      <c r="C140" s="64"/>
      <c r="D140" s="65"/>
      <c r="E140" s="36">
        <v>0</v>
      </c>
      <c r="F140" s="14"/>
      <c r="G140" s="14"/>
      <c r="H140" s="14"/>
    </row>
    <row r="141" ht="35" customHeight="1" spans="1:5">
      <c r="A141" s="62"/>
      <c r="B141" s="63"/>
      <c r="C141" s="66" t="s">
        <v>112</v>
      </c>
      <c r="D141" s="61"/>
      <c r="E141" s="71"/>
    </row>
    <row r="142" ht="35" customHeight="1" spans="1:5">
      <c r="A142" s="62"/>
      <c r="B142" s="63"/>
      <c r="C142" s="72"/>
      <c r="D142" s="73"/>
      <c r="E142" s="86">
        <v>0</v>
      </c>
    </row>
    <row r="143" ht="35" customHeight="1" spans="1:5">
      <c r="A143" s="62"/>
      <c r="B143" s="63"/>
      <c r="C143" s="64"/>
      <c r="D143" s="65"/>
      <c r="E143" s="86">
        <v>0</v>
      </c>
    </row>
    <row r="144" ht="35" customHeight="1" spans="1:5">
      <c r="A144" s="62"/>
      <c r="B144" s="63"/>
      <c r="C144" s="64"/>
      <c r="D144" s="65"/>
      <c r="E144" s="86">
        <v>0</v>
      </c>
    </row>
    <row r="145" ht="35" customHeight="1" spans="1:5">
      <c r="A145" s="62"/>
      <c r="B145" s="63"/>
      <c r="C145" s="64"/>
      <c r="D145" s="65"/>
      <c r="E145" s="86">
        <v>0</v>
      </c>
    </row>
    <row r="146" ht="35" customHeight="1" spans="1:5">
      <c r="A146" s="62"/>
      <c r="B146" s="63"/>
      <c r="C146" s="64"/>
      <c r="D146" s="65"/>
      <c r="E146" s="86">
        <v>0</v>
      </c>
    </row>
    <row r="147" ht="35" customHeight="1" spans="1:5">
      <c r="A147" s="74"/>
      <c r="B147" s="75"/>
      <c r="C147" s="64"/>
      <c r="D147" s="65"/>
      <c r="E147" s="86">
        <v>0</v>
      </c>
    </row>
    <row r="148" ht="35" customHeight="1" spans="1:5">
      <c r="A148" s="55" t="s">
        <v>113</v>
      </c>
      <c r="B148" s="76"/>
      <c r="C148" s="77"/>
      <c r="D148" s="78"/>
      <c r="E148" s="86">
        <f>C110</f>
        <v>1503</v>
      </c>
    </row>
    <row r="149" ht="35" customHeight="1" spans="1:5">
      <c r="A149" s="79"/>
      <c r="B149" s="80"/>
      <c r="C149" s="81" t="s">
        <v>114</v>
      </c>
      <c r="D149" s="81"/>
      <c r="E149" s="87">
        <v>0</v>
      </c>
    </row>
    <row r="150" ht="35" customHeight="1"/>
    <row r="151" ht="35" customHeight="1"/>
    <row r="152" ht="35" customHeight="1"/>
    <row r="153" ht="35" customHeight="1"/>
    <row r="154" ht="35" customHeight="1" spans="1:5">
      <c r="A154" s="52" t="str">
        <f>"Debts Or Credits For the Comming "&amp;IF(Main!B2,TEXT(EDATE(Main!B3,1),"mmmm dd yyyy"),TEXT(Main!B3+(Main!B5-Main!B3)+1,"mmmm dd yyyy"))&amp;" to "&amp;IF(Main!B2,TEXT(EDATE(Main!B3,2)-1,"dd mmmm yyyy"),TEXT(Main!B3+(Main!B5-Main!B3)*2+1,"dd mmmm yyyy"))</f>
        <v>Debts Or Credits For the Comming May 20 2024 to 19 June 2024</v>
      </c>
      <c r="B154" s="53"/>
      <c r="C154" s="53"/>
      <c r="D154" s="53"/>
      <c r="E154" s="54"/>
    </row>
    <row r="155" ht="35" customHeight="1" spans="1:5">
      <c r="A155" s="52" t="s">
        <v>110</v>
      </c>
      <c r="B155" s="54"/>
      <c r="C155" s="82" t="s">
        <v>49</v>
      </c>
      <c r="D155" s="83"/>
      <c r="E155" s="88" t="s">
        <v>50</v>
      </c>
    </row>
    <row r="156" ht="35" customHeight="1" spans="1:5">
      <c r="A156" s="55" t="str">
        <f>"Balance Brought Forward From "&amp;IF(Main!B2,TEXT(EDATE(Main!B3,1)-1,"mmmm yyyy"),TEXT(Main!B3+Main!B5-Main!B3,"mmmm yyyy"))</f>
        <v>Balance Brought Forward From May 2024</v>
      </c>
      <c r="B156" s="56"/>
      <c r="C156" s="233"/>
      <c r="D156" s="233"/>
      <c r="E156" s="87">
        <f>E149</f>
        <v>0</v>
      </c>
    </row>
    <row r="157" ht="35" customHeight="1" spans="1:5">
      <c r="A157" s="58" t="s">
        <v>91</v>
      </c>
      <c r="B157" s="59"/>
      <c r="C157" s="84" t="s">
        <v>111</v>
      </c>
      <c r="D157" s="85"/>
      <c r="E157" s="89"/>
    </row>
    <row r="158" ht="35" customHeight="1" spans="1:8">
      <c r="A158" s="62"/>
      <c r="B158" s="63"/>
      <c r="C158" s="64" t="s">
        <v>115</v>
      </c>
      <c r="D158" s="65"/>
      <c r="E158" s="98">
        <v>0</v>
      </c>
      <c r="F158" s="14"/>
      <c r="G158" s="14"/>
      <c r="H158" s="14"/>
    </row>
    <row r="159" ht="35" customHeight="1" spans="1:8">
      <c r="A159" s="62"/>
      <c r="B159" s="63"/>
      <c r="C159" s="72" t="s">
        <v>116</v>
      </c>
      <c r="D159" s="73"/>
      <c r="E159" s="98">
        <v>1000</v>
      </c>
      <c r="F159" s="14"/>
      <c r="G159" s="14"/>
      <c r="H159" s="14"/>
    </row>
    <row r="160" ht="35" customHeight="1" spans="1:8">
      <c r="A160" s="62"/>
      <c r="B160" s="63"/>
      <c r="C160" s="64"/>
      <c r="D160" s="65"/>
      <c r="E160" s="36">
        <v>0</v>
      </c>
      <c r="F160" s="14"/>
      <c r="G160" s="14"/>
      <c r="H160" s="14"/>
    </row>
    <row r="161" ht="35" customHeight="1" spans="1:8">
      <c r="A161" s="62"/>
      <c r="B161" s="63"/>
      <c r="C161" s="64"/>
      <c r="D161" s="65"/>
      <c r="E161" s="36">
        <v>0</v>
      </c>
      <c r="F161" s="14"/>
      <c r="G161" s="14"/>
      <c r="H161" s="14"/>
    </row>
    <row r="162" ht="35" customHeight="1" spans="1:8">
      <c r="A162" s="62"/>
      <c r="B162" s="63"/>
      <c r="C162" s="64"/>
      <c r="D162" s="65"/>
      <c r="E162" s="36">
        <v>0</v>
      </c>
      <c r="F162" s="14"/>
      <c r="G162" s="14"/>
      <c r="H162" s="14"/>
    </row>
    <row r="163" ht="35" customHeight="1" spans="1:8">
      <c r="A163" s="62"/>
      <c r="B163" s="63"/>
      <c r="C163" s="64"/>
      <c r="D163" s="65"/>
      <c r="E163" s="36">
        <v>0</v>
      </c>
      <c r="F163" s="14"/>
      <c r="G163" s="14"/>
      <c r="H163" s="14"/>
    </row>
    <row r="164" ht="35" customHeight="1" spans="1:8">
      <c r="A164" s="62"/>
      <c r="B164" s="63"/>
      <c r="C164" s="64"/>
      <c r="D164" s="65"/>
      <c r="E164" s="36">
        <v>0</v>
      </c>
      <c r="F164" s="14"/>
      <c r="G164" s="14"/>
      <c r="H164" s="14"/>
    </row>
    <row r="165" ht="35" customHeight="1" spans="1:8">
      <c r="A165" s="62"/>
      <c r="B165" s="63"/>
      <c r="C165" s="64"/>
      <c r="D165" s="65"/>
      <c r="E165" s="36">
        <v>0</v>
      </c>
      <c r="F165" s="14"/>
      <c r="G165" s="14"/>
      <c r="H165" s="14"/>
    </row>
    <row r="166" ht="35" customHeight="1" spans="1:8">
      <c r="A166" s="62"/>
      <c r="B166" s="63"/>
      <c r="C166" s="64"/>
      <c r="D166" s="65"/>
      <c r="E166" s="36">
        <v>0</v>
      </c>
      <c r="F166" s="14"/>
      <c r="G166" s="14"/>
      <c r="H166" s="14"/>
    </row>
    <row r="167" ht="35" customHeight="1" spans="1:8">
      <c r="A167" s="62"/>
      <c r="B167" s="63"/>
      <c r="C167" s="64"/>
      <c r="D167" s="65"/>
      <c r="E167" s="36">
        <v>0</v>
      </c>
      <c r="F167" s="14"/>
      <c r="G167" s="14"/>
      <c r="H167" s="14"/>
    </row>
    <row r="168" ht="35" customHeight="1" spans="1:5">
      <c r="A168" s="62"/>
      <c r="B168" s="63"/>
      <c r="C168" s="66" t="s">
        <v>112</v>
      </c>
      <c r="D168" s="61"/>
      <c r="E168" s="71"/>
    </row>
    <row r="169" ht="35" customHeight="1" spans="1:5">
      <c r="A169" s="62"/>
      <c r="B169" s="63"/>
      <c r="C169" s="112" t="s">
        <v>117</v>
      </c>
      <c r="D169" s="112"/>
      <c r="E169" s="98">
        <v>140</v>
      </c>
    </row>
    <row r="170" ht="35" customHeight="1" spans="1:5">
      <c r="A170" s="62"/>
      <c r="B170" s="63"/>
      <c r="C170" s="112" t="s">
        <v>118</v>
      </c>
      <c r="D170" s="112"/>
      <c r="E170" s="98">
        <v>68</v>
      </c>
    </row>
    <row r="171" ht="35" customHeight="1" spans="1:5">
      <c r="A171" s="62"/>
      <c r="B171" s="63"/>
      <c r="C171" s="112" t="s">
        <v>119</v>
      </c>
      <c r="D171" s="112"/>
      <c r="E171" s="98">
        <v>420</v>
      </c>
    </row>
    <row r="172" ht="35" customHeight="1" spans="1:5">
      <c r="A172" s="62"/>
      <c r="B172" s="63"/>
      <c r="C172" s="100" t="s">
        <v>120</v>
      </c>
      <c r="D172" s="100"/>
      <c r="E172" s="98">
        <v>775.68</v>
      </c>
    </row>
    <row r="173" ht="35" customHeight="1" spans="1:5">
      <c r="A173" s="62"/>
      <c r="B173" s="63"/>
      <c r="C173" s="64"/>
      <c r="D173" s="65"/>
      <c r="E173" s="86">
        <v>0</v>
      </c>
    </row>
    <row r="174" ht="35" customHeight="1" spans="1:5">
      <c r="A174" s="74"/>
      <c r="B174" s="75"/>
      <c r="C174" s="64"/>
      <c r="D174" s="65"/>
      <c r="E174" s="86">
        <v>0</v>
      </c>
    </row>
    <row r="175" ht="35" customHeight="1" spans="1:5">
      <c r="A175" s="55" t="s">
        <v>113</v>
      </c>
      <c r="B175" s="76"/>
      <c r="C175" s="77"/>
      <c r="D175" s="78"/>
      <c r="E175" s="86">
        <f>C110</f>
        <v>1503</v>
      </c>
    </row>
    <row r="176" ht="35" customHeight="1" spans="1:5">
      <c r="A176" s="79"/>
      <c r="B176" s="80"/>
      <c r="C176" s="81" t="s">
        <v>114</v>
      </c>
      <c r="D176" s="81"/>
      <c r="E176" s="90">
        <f>(F42+E156)-(SUM(E159:E167)+SUM(E169:E175))</f>
        <v>-416.68</v>
      </c>
    </row>
    <row r="177" ht="35" customHeight="1"/>
    <row r="178" ht="35" customHeight="1"/>
    <row r="179" ht="35" customHeight="1"/>
    <row r="180" ht="35" customHeight="1"/>
    <row r="181" ht="35" customHeight="1" spans="1:5">
      <c r="A181" s="52" t="str">
        <f>"Debts Or Credits For the Comming "&amp;IF(Main!B2,TEXT(EDATE(Main!B3,2),"dd mmmm yyyy"),TEXT(Main!B3+((Main!B5-Main!B3)*2)+2,"dd mmmm yyyy"))&amp;" to "&amp;IF(Main!B2,TEXT(EDATE(Main!B3,3)-1,"dd mmmm yyyy"),TEXT(Main!B3+((Main!B5-Main!B3)*3+2),"dd mmmm yyyy"))</f>
        <v>Debts Or Credits For the Comming 20 June 2024 to 19 July 2024</v>
      </c>
      <c r="B181" s="53"/>
      <c r="C181" s="53"/>
      <c r="D181" s="53"/>
      <c r="E181" s="54"/>
    </row>
    <row r="182" ht="35" customHeight="1" spans="1:5">
      <c r="A182" s="52" t="s">
        <v>110</v>
      </c>
      <c r="B182" s="54"/>
      <c r="C182" s="82" t="s">
        <v>49</v>
      </c>
      <c r="D182" s="83"/>
      <c r="E182" s="88" t="s">
        <v>50</v>
      </c>
    </row>
    <row r="183" ht="35" customHeight="1" spans="1:5">
      <c r="A183" s="55" t="str">
        <f>"Balance Brought Forward From "&amp;IF(Main!B2,TEXT(EDATE(Main!B3,2)-1,"mmmm yyyy"),TEXT(Main!B3+(Main!B5-Main!B3)*2+1,"mmmm yyyy"))</f>
        <v>Balance Brought Forward From June 2024</v>
      </c>
      <c r="B183" s="56"/>
      <c r="C183" s="233"/>
      <c r="D183" s="233"/>
      <c r="E183" s="90">
        <f>E176</f>
        <v>-416.68</v>
      </c>
    </row>
    <row r="184" ht="35" customHeight="1" spans="1:5">
      <c r="A184" s="58" t="s">
        <v>91</v>
      </c>
      <c r="B184" s="59"/>
      <c r="C184" s="84" t="s">
        <v>111</v>
      </c>
      <c r="D184" s="85"/>
      <c r="E184" s="89"/>
    </row>
    <row r="185" ht="35" customHeight="1" spans="1:8">
      <c r="A185" s="62"/>
      <c r="B185" s="63"/>
      <c r="C185" s="112" t="s">
        <v>121</v>
      </c>
      <c r="D185" s="112"/>
      <c r="E185" s="36">
        <v>4500</v>
      </c>
      <c r="F185" s="14"/>
      <c r="G185" s="14"/>
      <c r="H185" s="14"/>
    </row>
    <row r="186" ht="35" customHeight="1" spans="1:8">
      <c r="A186" s="62"/>
      <c r="B186" s="63"/>
      <c r="C186" s="64" t="s">
        <v>122</v>
      </c>
      <c r="D186" s="65"/>
      <c r="E186" s="36">
        <v>4000</v>
      </c>
      <c r="F186" s="14"/>
      <c r="G186" s="14"/>
      <c r="H186" s="14"/>
    </row>
    <row r="187" ht="35" customHeight="1" spans="1:8">
      <c r="A187" s="62"/>
      <c r="B187" s="63"/>
      <c r="C187" s="64"/>
      <c r="D187" s="65"/>
      <c r="E187" s="36">
        <v>0</v>
      </c>
      <c r="F187" s="14"/>
      <c r="G187" s="14"/>
      <c r="H187" s="14"/>
    </row>
    <row r="188" ht="35" customHeight="1" spans="1:8">
      <c r="A188" s="62"/>
      <c r="B188" s="63"/>
      <c r="C188" s="64"/>
      <c r="D188" s="65"/>
      <c r="E188" s="36">
        <v>0</v>
      </c>
      <c r="F188" s="14"/>
      <c r="G188" s="14"/>
      <c r="H188" s="14"/>
    </row>
    <row r="189" ht="35" customHeight="1" spans="1:8">
      <c r="A189" s="62"/>
      <c r="B189" s="63"/>
      <c r="C189" s="64"/>
      <c r="D189" s="65"/>
      <c r="E189" s="36">
        <v>0</v>
      </c>
      <c r="F189" s="14"/>
      <c r="G189" s="14"/>
      <c r="H189" s="14"/>
    </row>
    <row r="190" ht="35" customHeight="1" spans="1:8">
      <c r="A190" s="62"/>
      <c r="B190" s="63"/>
      <c r="C190" s="64"/>
      <c r="D190" s="65"/>
      <c r="E190" s="36">
        <v>0</v>
      </c>
      <c r="F190" s="14"/>
      <c r="G190" s="14"/>
      <c r="H190" s="14"/>
    </row>
    <row r="191" ht="35" customHeight="1" spans="1:8">
      <c r="A191" s="62"/>
      <c r="B191" s="63"/>
      <c r="C191" s="64"/>
      <c r="D191" s="65"/>
      <c r="E191" s="36">
        <v>0</v>
      </c>
      <c r="F191" s="14"/>
      <c r="G191" s="14"/>
      <c r="H191" s="14"/>
    </row>
    <row r="192" ht="35" customHeight="1" spans="1:8">
      <c r="A192" s="62"/>
      <c r="B192" s="63"/>
      <c r="C192" s="64"/>
      <c r="D192" s="65"/>
      <c r="E192" s="36">
        <v>0</v>
      </c>
      <c r="F192" s="14"/>
      <c r="G192" s="14"/>
      <c r="H192" s="14"/>
    </row>
    <row r="193" ht="35" customHeight="1" spans="1:8">
      <c r="A193" s="62"/>
      <c r="B193" s="63"/>
      <c r="C193" s="64"/>
      <c r="D193" s="65"/>
      <c r="E193" s="36">
        <v>0</v>
      </c>
      <c r="F193" s="14"/>
      <c r="G193" s="14"/>
      <c r="H193" s="14"/>
    </row>
    <row r="194" ht="35" customHeight="1" spans="1:8">
      <c r="A194" s="62"/>
      <c r="B194" s="63"/>
      <c r="C194" s="64"/>
      <c r="D194" s="65"/>
      <c r="E194" s="36">
        <v>0</v>
      </c>
      <c r="F194" s="14"/>
      <c r="G194" s="14"/>
      <c r="H194" s="14"/>
    </row>
    <row r="195" ht="35" customHeight="1" spans="1:5">
      <c r="A195" s="62"/>
      <c r="B195" s="63"/>
      <c r="C195" s="66" t="s">
        <v>112</v>
      </c>
      <c r="D195" s="61"/>
      <c r="E195" s="71"/>
    </row>
    <row r="196" ht="35" customHeight="1" spans="1:5">
      <c r="A196" s="62"/>
      <c r="B196" s="63"/>
      <c r="C196" s="112" t="s">
        <v>123</v>
      </c>
      <c r="D196" s="112"/>
      <c r="E196" s="98">
        <v>2254</v>
      </c>
    </row>
    <row r="197" ht="35" customHeight="1" spans="1:5">
      <c r="A197" s="62"/>
      <c r="B197" s="63"/>
      <c r="C197" s="100" t="s">
        <v>124</v>
      </c>
      <c r="D197" s="100"/>
      <c r="E197" s="98">
        <v>560</v>
      </c>
    </row>
    <row r="198" ht="35" customHeight="1" spans="1:5">
      <c r="A198" s="62"/>
      <c r="B198" s="63"/>
      <c r="C198" s="112" t="s">
        <v>125</v>
      </c>
      <c r="D198" s="112"/>
      <c r="E198" s="98">
        <v>0</v>
      </c>
    </row>
    <row r="199" ht="35" customHeight="1" spans="1:5">
      <c r="A199" s="62"/>
      <c r="B199" s="63"/>
      <c r="C199" s="72" t="s">
        <v>126</v>
      </c>
      <c r="D199" s="65"/>
      <c r="E199" s="86">
        <v>2556</v>
      </c>
    </row>
    <row r="200" ht="35" customHeight="1" spans="1:5">
      <c r="A200" s="62"/>
      <c r="B200" s="63"/>
      <c r="C200" s="64" t="s">
        <v>127</v>
      </c>
      <c r="D200" s="65"/>
      <c r="E200" s="86">
        <v>966.7</v>
      </c>
    </row>
    <row r="201" ht="35" customHeight="1" spans="1:5">
      <c r="A201" s="74"/>
      <c r="B201" s="75"/>
      <c r="C201" s="64"/>
      <c r="D201" s="65"/>
      <c r="E201" s="86">
        <v>0</v>
      </c>
    </row>
    <row r="202" ht="35" customHeight="1" spans="1:5">
      <c r="A202" s="55" t="s">
        <v>113</v>
      </c>
      <c r="B202" s="76"/>
      <c r="C202" s="77"/>
      <c r="D202" s="78"/>
      <c r="E202" s="86">
        <f>C110</f>
        <v>1503</v>
      </c>
    </row>
    <row r="203" ht="35" customHeight="1" spans="1:5">
      <c r="A203" s="79"/>
      <c r="B203" s="80"/>
      <c r="C203" s="81" t="s">
        <v>114</v>
      </c>
      <c r="D203" s="81"/>
      <c r="E203" s="90">
        <f>(F54+E183)-(SUM(E185:E194)+SUM(E196:E202))</f>
        <v>3260.12</v>
      </c>
    </row>
    <row r="204" ht="35" customHeight="1"/>
  </sheetData>
  <sheetProtection formatCells="0" formatColumns="0" formatRows="0"/>
  <mergeCells count="170">
    <mergeCell ref="A1:F1"/>
    <mergeCell ref="I1:J1"/>
    <mergeCell ref="M1:N1"/>
    <mergeCell ref="A2:C2"/>
    <mergeCell ref="D2:F2"/>
    <mergeCell ref="A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A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B41:C41"/>
    <mergeCell ref="D41:E41"/>
    <mergeCell ref="F41:G41"/>
    <mergeCell ref="B42:C42"/>
    <mergeCell ref="D42:E42"/>
    <mergeCell ref="F42:G42"/>
    <mergeCell ref="A46:G46"/>
    <mergeCell ref="B47:C47"/>
    <mergeCell ref="D47:E47"/>
    <mergeCell ref="F47:G47"/>
    <mergeCell ref="B48:C48"/>
    <mergeCell ref="F48:G48"/>
    <mergeCell ref="B49:C49"/>
    <mergeCell ref="D49:E49"/>
    <mergeCell ref="F49:G49"/>
    <mergeCell ref="B50:C50"/>
    <mergeCell ref="D50:E50"/>
    <mergeCell ref="F50:G50"/>
    <mergeCell ref="B51:C51"/>
    <mergeCell ref="D51:E51"/>
    <mergeCell ref="F51:G51"/>
    <mergeCell ref="B52:C52"/>
    <mergeCell ref="D52:E52"/>
    <mergeCell ref="F52:G52"/>
    <mergeCell ref="B53:C53"/>
    <mergeCell ref="D53:E53"/>
    <mergeCell ref="F53:G53"/>
    <mergeCell ref="B54:C54"/>
    <mergeCell ref="D54:E54"/>
    <mergeCell ref="F54:G54"/>
    <mergeCell ref="A58:C58"/>
    <mergeCell ref="A60:C60"/>
    <mergeCell ref="A70:C70"/>
    <mergeCell ref="A81:C81"/>
    <mergeCell ref="A90:C90"/>
    <mergeCell ref="A100:C100"/>
    <mergeCell ref="A111:C111"/>
    <mergeCell ref="A128:E128"/>
    <mergeCell ref="A129:B129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A148:B148"/>
    <mergeCell ref="C148:D148"/>
    <mergeCell ref="A149:B149"/>
    <mergeCell ref="C149:D149"/>
    <mergeCell ref="A154:E154"/>
    <mergeCell ref="A155:B155"/>
    <mergeCell ref="C155:D155"/>
    <mergeCell ref="A156:B156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A175:B175"/>
    <mergeCell ref="C175:D175"/>
    <mergeCell ref="A176:B176"/>
    <mergeCell ref="C176:D176"/>
    <mergeCell ref="A181:E181"/>
    <mergeCell ref="A182:B182"/>
    <mergeCell ref="C182:D182"/>
    <mergeCell ref="A183:B183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A202:B202"/>
    <mergeCell ref="C202:D202"/>
    <mergeCell ref="A203:B203"/>
    <mergeCell ref="C203:D203"/>
    <mergeCell ref="A3:A16"/>
    <mergeCell ref="D3:D16"/>
    <mergeCell ref="A130:B147"/>
    <mergeCell ref="A157:B174"/>
    <mergeCell ref="A184:B201"/>
  </mergeCells>
  <conditionalFormatting sqref="C89">
    <cfRule type="cellIs" dxfId="0" priority="88" operator="equal">
      <formula>0</formula>
    </cfRule>
    <cfRule type="cellIs" dxfId="1" priority="87" operator="greaterThan">
      <formula>0</formula>
    </cfRule>
  </conditionalFormatting>
  <conditionalFormatting sqref="C91">
    <cfRule type="cellIs" dxfId="0" priority="20" operator="equal">
      <formula>0</formula>
    </cfRule>
    <cfRule type="cellIs" dxfId="1" priority="19" operator="greaterThan">
      <formula>0</formula>
    </cfRule>
  </conditionalFormatting>
  <conditionalFormatting sqref="C104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C105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C118">
    <cfRule type="cellIs" dxfId="2" priority="1" operator="lessThan">
      <formula>0</formula>
    </cfRule>
  </conditionalFormatting>
  <conditionalFormatting sqref="C122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C123">
    <cfRule type="cellIs" dxfId="1" priority="28" operator="lessThan">
      <formula>0</formula>
    </cfRule>
    <cfRule type="cellIs" dxfId="3" priority="27" operator="equal">
      <formula>0</formula>
    </cfRule>
  </conditionalFormatting>
  <conditionalFormatting sqref="E149">
    <cfRule type="cellIs" dxfId="4" priority="72" operator="greaterThanOrEqual">
      <formula>0</formula>
    </cfRule>
    <cfRule type="cellIs" dxfId="5" priority="71" operator="lessThan">
      <formula>0</formula>
    </cfRule>
  </conditionalFormatting>
  <conditionalFormatting sqref="E156">
    <cfRule type="cellIs" dxfId="4" priority="51" operator="greaterThanOrEqual">
      <formula>0</formula>
    </cfRule>
    <cfRule type="cellIs" dxfId="5" priority="50" operator="lessThan">
      <formula>0</formula>
    </cfRule>
  </conditionalFormatting>
  <conditionalFormatting sqref="E158">
    <cfRule type="cellIs" dxfId="6" priority="12" operator="equal">
      <formula>0</formula>
    </cfRule>
  </conditionalFormatting>
  <conditionalFormatting sqref="E176">
    <cfRule type="cellIs" dxfId="4" priority="55" operator="greaterThanOrEqual">
      <formula>0</formula>
    </cfRule>
    <cfRule type="cellIs" dxfId="5" priority="54" operator="lessThan">
      <formula>0</formula>
    </cfRule>
  </conditionalFormatting>
  <conditionalFormatting sqref="E183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E196">
    <cfRule type="cellIs" dxfId="3" priority="7" operator="equal">
      <formula>0</formula>
    </cfRule>
    <cfRule type="cellIs" dxfId="1" priority="6" operator="greaterThan">
      <formula>0</formula>
    </cfRule>
  </conditionalFormatting>
  <conditionalFormatting sqref="E197">
    <cfRule type="cellIs" dxfId="3" priority="5" operator="equal">
      <formula>0</formula>
    </cfRule>
    <cfRule type="cellIs" dxfId="1" priority="4" operator="greaterThan">
      <formula>0</formula>
    </cfRule>
  </conditionalFormatting>
  <conditionalFormatting sqref="E198">
    <cfRule type="cellIs" dxfId="3" priority="3" operator="equal">
      <formula>0</formula>
    </cfRule>
    <cfRule type="cellIs" dxfId="1" priority="2" operator="greaterThan">
      <formula>0</formula>
    </cfRule>
  </conditionalFormatting>
  <conditionalFormatting sqref="E203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C61:C64">
    <cfRule type="cellIs" dxfId="0" priority="26" operator="equal">
      <formula>0</formula>
    </cfRule>
    <cfRule type="cellIs" dxfId="1" priority="25" operator="greaterThan">
      <formula>0</formula>
    </cfRule>
  </conditionalFormatting>
  <conditionalFormatting sqref="C71:C74">
    <cfRule type="cellIs" dxfId="0" priority="24" operator="equal">
      <formula>0</formula>
    </cfRule>
    <cfRule type="cellIs" dxfId="1" priority="23" operator="greaterThan">
      <formula>0</formula>
    </cfRule>
  </conditionalFormatting>
  <conditionalFormatting sqref="C75:C80">
    <cfRule type="cellIs" dxfId="0" priority="92" operator="equal">
      <formula>0</formula>
    </cfRule>
    <cfRule type="cellIs" dxfId="1" priority="91" operator="greaterThan">
      <formula>0</formula>
    </cfRule>
  </conditionalFormatting>
  <conditionalFormatting sqref="C82:C83">
    <cfRule type="cellIs" dxfId="0" priority="22" operator="equal">
      <formula>0</formula>
    </cfRule>
    <cfRule type="cellIs" dxfId="1" priority="21" operator="greaterThan">
      <formula>0</formula>
    </cfRule>
  </conditionalFormatting>
  <conditionalFormatting sqref="C84:C88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94:C98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101:C103">
    <cfRule type="cellIs" dxfId="0" priority="18" operator="equal">
      <formula>0</formula>
    </cfRule>
    <cfRule type="cellIs" dxfId="1" priority="17" operator="greaterThan">
      <formula>0</formula>
    </cfRule>
  </conditionalFormatting>
  <conditionalFormatting sqref="C106:C108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112:C117">
    <cfRule type="cellIs" dxfId="0" priority="14" operator="equal">
      <formula>0</formula>
    </cfRule>
    <cfRule type="cellIs" dxfId="1" priority="13" operator="greaterThan">
      <formula>0</formula>
    </cfRule>
  </conditionalFormatting>
  <conditionalFormatting sqref="C118:C121">
    <cfRule type="cellIs" dxfId="0" priority="43" operator="equal">
      <formula>0</formula>
    </cfRule>
    <cfRule type="cellIs" dxfId="1" priority="42" operator="greaterThan">
      <formula>0</formula>
    </cfRule>
  </conditionalFormatting>
  <conditionalFormatting sqref="E131:E140">
    <cfRule type="cellIs" dxfId="0" priority="41" operator="equal">
      <formula>0</formula>
    </cfRule>
    <cfRule type="cellIs" dxfId="1" priority="40" operator="greaterThan">
      <formula>0</formula>
    </cfRule>
  </conditionalFormatting>
  <conditionalFormatting sqref="E160:E167">
    <cfRule type="cellIs" dxfId="0" priority="39" operator="equal">
      <formula>0</formula>
    </cfRule>
    <cfRule type="cellIs" dxfId="1" priority="38" operator="greaterThan">
      <formula>0</formula>
    </cfRule>
  </conditionalFormatting>
  <conditionalFormatting sqref="E169:E172">
    <cfRule type="cellIs" dxfId="3" priority="11" operator="equal">
      <formula>0</formula>
    </cfRule>
    <cfRule type="cellIs" dxfId="1" priority="10" operator="greaterThan">
      <formula>0</formula>
    </cfRule>
  </conditionalFormatting>
  <conditionalFormatting sqref="E185:E186">
    <cfRule type="cellIs" dxfId="0" priority="9" operator="equal">
      <formula>0</formula>
    </cfRule>
    <cfRule type="cellIs" dxfId="1" priority="8" operator="greaterThan">
      <formula>0</formula>
    </cfRule>
  </conditionalFormatting>
  <conditionalFormatting sqref="E187:E194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J3:J50">
    <cfRule type="cellIs" dxfId="3" priority="35" operator="greaterThanOrEqual">
      <formula>0</formula>
    </cfRule>
  </conditionalFormatting>
  <conditionalFormatting sqref="N3:N18">
    <cfRule type="cellIs" dxfId="3" priority="34" operator="greaterThanOrEqual">
      <formula>0</formula>
    </cfRule>
  </conditionalFormatting>
  <conditionalFormatting sqref="C65:C69 C99 C92:C93 C109:C110">
    <cfRule type="cellIs" dxfId="0" priority="94" operator="equal">
      <formula>0</formula>
    </cfRule>
    <cfRule type="cellIs" dxfId="1" priority="93" operator="greaterThan">
      <formula>0</formula>
    </cfRule>
  </conditionalFormatting>
  <conditionalFormatting sqref="E130 E141:E148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E157 E168 E173:E175">
    <cfRule type="cellIs" dxfId="3" priority="57" operator="equal">
      <formula>0</formula>
    </cfRule>
    <cfRule type="cellIs" dxfId="1" priority="56" operator="greaterThan">
      <formula>0</formula>
    </cfRule>
  </conditionalFormatting>
  <conditionalFormatting sqref="E184 E195 E199:E202">
    <cfRule type="cellIs" dxfId="3" priority="49" operator="equal">
      <formula>0</formula>
    </cfRule>
    <cfRule type="cellIs" dxfId="1" priority="48" operator="greaterThan">
      <formula>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07" workbookViewId="0">
      <selection activeCell="B88" sqref="B88"/>
    </sheetView>
  </sheetViews>
  <sheetFormatPr defaultColWidth="9" defaultRowHeight="17.6"/>
  <cols>
    <col min="1" max="1" width="25" style="40" customWidth="1"/>
    <col min="2" max="2" width="20.625" style="40" customWidth="1"/>
    <col min="3" max="3" width="24.875" style="40" customWidth="1"/>
    <col min="4" max="4" width="20.625" style="40" customWidth="1"/>
    <col min="5" max="5" width="27.6597222222222" style="40" customWidth="1"/>
    <col min="6" max="6" width="20.625" style="40" customWidth="1"/>
    <col min="7" max="7" width="9" style="40"/>
    <col min="8" max="9" width="20.625" style="40" customWidth="1"/>
    <col min="10" max="16384" width="9" style="40"/>
  </cols>
  <sheetData>
    <row r="1" ht="28.5" customHeight="1" spans="1:7">
      <c r="A1" s="1" t="str">
        <f>"Forecasts For the Year "&amp;IF(Main!B2,TEXT(EDATE(Main!B3,3),"mmmm yyyy"),TEXT(Main!B3+((Main!B5-Main!B3)*3+3),"mmmm yyyy"))&amp;" to "&amp;IF(Main!B2,TEXT(EDATE(Main!B3,6)-1,"mmmm yyyy"),TEXT(Main!B3+((Main!B5-Main!B3)*6+5),"mmmm yyyy"))</f>
        <v>Forecasts For the Year July 2024 to October 2024</v>
      </c>
      <c r="B1" s="1"/>
      <c r="C1" s="1"/>
      <c r="D1" s="1"/>
      <c r="E1" s="1"/>
      <c r="F1" s="1"/>
      <c r="G1" s="1"/>
    </row>
    <row r="2" ht="28.5" customHeight="1" spans="1:7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</row>
    <row r="3" ht="42" customHeight="1" spans="1:7">
      <c r="A3" s="5"/>
      <c r="B3" s="6" t="s">
        <v>129</v>
      </c>
      <c r="C3" s="7">
        <f ca="1">E190</f>
        <v>502.71</v>
      </c>
      <c r="D3" s="7"/>
      <c r="E3" s="7"/>
      <c r="F3" s="7"/>
      <c r="G3" s="7"/>
    </row>
    <row r="4" spans="1:9">
      <c r="A4" s="8" t="s">
        <v>47</v>
      </c>
      <c r="B4" s="9"/>
      <c r="C4" s="10">
        <f ca="1">SUM(C2:G3)</f>
        <v>1684.21</v>
      </c>
      <c r="D4" s="10"/>
      <c r="E4" s="10"/>
      <c r="F4" s="10"/>
      <c r="G4" s="10"/>
      <c r="H4" s="14"/>
      <c r="I4" s="47"/>
    </row>
    <row r="5" spans="1:9">
      <c r="A5" s="11" t="s">
        <v>130</v>
      </c>
      <c r="B5" s="11"/>
      <c r="C5" s="12">
        <f ca="1">C108</f>
        <v>-11683</v>
      </c>
      <c r="D5" s="13"/>
      <c r="E5" s="13"/>
      <c r="F5" s="13"/>
      <c r="G5" s="13"/>
      <c r="H5" s="14"/>
      <c r="I5" s="47"/>
    </row>
    <row r="6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IF(Main!B2,TEXT(EDATE(Main!B3,3),"dd mmmm yyyy"),TEXT(Main!B3+((Main!B5-Main!B3)*3+3),"dd mmmm yyyy"))&amp;" - "&amp;IF(Main!B2,TEXT(EDATE(Main!B3,4)-1,"dd mmmm yyyy"),TEXT(Main!B3+((Main!B5-Main!B3)*4+3),"dd mmmm yyyy"))&amp;" / "&amp;" (Revenue / Deferred Debts Or Expenses)"</f>
        <v>20 July 2024 - 19 August 2024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142" t="s">
        <v>131</v>
      </c>
      <c r="B10" s="143" t="s">
        <v>52</v>
      </c>
      <c r="C10" s="144"/>
      <c r="D10" s="145" t="s">
        <v>53</v>
      </c>
      <c r="E10" s="151"/>
      <c r="F10" s="41">
        <v>2405</v>
      </c>
      <c r="G10" s="42"/>
      <c r="H10" s="14"/>
      <c r="I10" s="47"/>
    </row>
    <row r="11" ht="24.75" customHeight="1" spans="1:9">
      <c r="A11" s="142"/>
      <c r="B11" s="117" t="s">
        <v>132</v>
      </c>
      <c r="C11" s="118"/>
      <c r="D11" s="133"/>
      <c r="E11" s="152"/>
      <c r="F11" s="41">
        <v>27</v>
      </c>
      <c r="G11" s="42"/>
      <c r="H11" s="14"/>
      <c r="I11" s="47"/>
    </row>
    <row r="12" ht="24.75" customHeight="1" spans="1:9">
      <c r="A12" s="142"/>
      <c r="B12" s="117" t="s">
        <v>133</v>
      </c>
      <c r="C12" s="118"/>
      <c r="D12" s="133"/>
      <c r="E12" s="152"/>
      <c r="F12" s="41">
        <v>17</v>
      </c>
      <c r="G12" s="42"/>
      <c r="H12" s="14"/>
      <c r="I12" s="47"/>
    </row>
    <row r="13" ht="24.75" customHeight="1" spans="1:9">
      <c r="A13" s="142" t="s">
        <v>134</v>
      </c>
      <c r="B13" s="146" t="s">
        <v>135</v>
      </c>
      <c r="C13" s="147"/>
      <c r="D13" s="133"/>
      <c r="E13" s="152"/>
      <c r="F13" s="41">
        <v>1500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3949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IF(Main!B2,TEXT(EDATE(Main!B3,4),"dd mmmm yyyy"),TEXT(Main!B3+((Main!B5-Main!B3)*4+4),"dd mmmm yyyy"))&amp;" - "&amp;IF(Main!B2,TEXT(EDATE(Main!B3,5)-1,"dd mmmm yyyy"),TEXT(Main!B3+((Main!B5-Main!B3)*5+4),"dd mmmm yyyy"))&amp;" / "&amp;" (Revenue / Deferred Debts Or Expenses)"</f>
        <v>20 August 2024 - 19 September 2024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71" customHeight="1" spans="1:9">
      <c r="A22" s="142" t="s">
        <v>136</v>
      </c>
      <c r="B22" s="143" t="s">
        <v>137</v>
      </c>
      <c r="C22" s="144"/>
      <c r="D22" s="143" t="s">
        <v>138</v>
      </c>
      <c r="E22" s="151"/>
      <c r="F22" s="153">
        <v>411.5</v>
      </c>
      <c r="G22" s="154"/>
      <c r="H22" s="14"/>
      <c r="I22" s="47"/>
    </row>
    <row r="23" ht="46" customHeight="1" spans="1:9">
      <c r="A23" s="142" t="s">
        <v>139</v>
      </c>
      <c r="B23" s="117" t="s">
        <v>140</v>
      </c>
      <c r="C23" s="118"/>
      <c r="D23" s="148" t="s">
        <v>141</v>
      </c>
      <c r="E23" s="155"/>
      <c r="F23" s="7">
        <v>900</v>
      </c>
      <c r="G23" s="7"/>
      <c r="H23" s="14"/>
      <c r="I23" s="47"/>
    </row>
    <row r="24" ht="24.75" customHeight="1" spans="1:9">
      <c r="A24" s="142" t="s">
        <v>142</v>
      </c>
      <c r="B24" s="117" t="s">
        <v>52</v>
      </c>
      <c r="C24" s="118"/>
      <c r="D24" s="133" t="s">
        <v>53</v>
      </c>
      <c r="E24" s="152"/>
      <c r="F24" s="106">
        <v>2405</v>
      </c>
      <c r="G24" s="107"/>
      <c r="H24" s="14"/>
      <c r="I24" s="47"/>
    </row>
    <row r="25" ht="24.75" customHeight="1" spans="1:9">
      <c r="A25" s="142"/>
      <c r="B25" s="117" t="s">
        <v>133</v>
      </c>
      <c r="C25" s="118"/>
      <c r="D25" s="133"/>
      <c r="E25" s="152"/>
      <c r="F25" s="41">
        <v>17</v>
      </c>
      <c r="G25" s="42"/>
      <c r="H25" s="14"/>
      <c r="I25" s="47"/>
    </row>
    <row r="26" ht="24.75" customHeight="1" spans="1:9">
      <c r="A26" s="142"/>
      <c r="B26" s="117" t="s">
        <v>132</v>
      </c>
      <c r="C26" s="118"/>
      <c r="D26" s="133"/>
      <c r="E26" s="125"/>
      <c r="F26" s="156">
        <v>27</v>
      </c>
      <c r="G26" s="42"/>
      <c r="H26" s="14"/>
      <c r="I26" s="47"/>
    </row>
    <row r="27" ht="32" customHeight="1" spans="1:9">
      <c r="A27" s="142" t="s">
        <v>143</v>
      </c>
      <c r="B27" s="146" t="s">
        <v>66</v>
      </c>
      <c r="C27" s="147"/>
      <c r="D27" s="149" t="s">
        <v>144</v>
      </c>
      <c r="E27" s="157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3760.5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IF(Main!B2,TEXT(EDATE(Main!B3,5),"dd mmmm yyyy"),TEXT(Main!B3+((Main!B5-Main!B3)*5+5),"dd mmmm yyyy"))&amp;" - "&amp;IF(Main!B2,TEXT(EDATE(Main!B3,6)-1,"dd mmmm yyyy"),TEXT(Main!B3+((Main!B5-Main!B3)*6+5),"dd mmmm yyyy"))&amp;" / "&amp;" (Revenue / Deferred Debts Or Expenses)"</f>
        <v>20 September 2024 - 19 October 2024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142" t="s">
        <v>145</v>
      </c>
      <c r="B34" s="143" t="s">
        <v>66</v>
      </c>
      <c r="C34" s="144"/>
      <c r="D34" s="145" t="s">
        <v>144</v>
      </c>
      <c r="E34" s="151"/>
      <c r="F34" s="153">
        <v>0</v>
      </c>
      <c r="G34" s="154"/>
      <c r="H34" s="14"/>
      <c r="I34" s="47"/>
    </row>
    <row r="35" ht="24.75" customHeight="1" spans="1:9">
      <c r="A35" s="142"/>
      <c r="B35" s="117" t="s">
        <v>146</v>
      </c>
      <c r="C35" s="118"/>
      <c r="D35" s="133"/>
      <c r="E35" s="158"/>
      <c r="F35" s="7">
        <v>270</v>
      </c>
      <c r="G35" s="7"/>
      <c r="H35" s="14"/>
      <c r="I35" s="47"/>
    </row>
    <row r="36" ht="24.75" customHeight="1" spans="1:9">
      <c r="A36" s="142" t="s">
        <v>145</v>
      </c>
      <c r="B36" s="117" t="s">
        <v>52</v>
      </c>
      <c r="C36" s="118"/>
      <c r="D36" s="133" t="s">
        <v>53</v>
      </c>
      <c r="E36" s="158"/>
      <c r="F36" s="7">
        <v>2405</v>
      </c>
      <c r="G36" s="7"/>
      <c r="H36" s="14"/>
      <c r="I36" s="48"/>
    </row>
    <row r="37" ht="24.75" customHeight="1" spans="1:9">
      <c r="A37" s="142"/>
      <c r="B37" s="117" t="s">
        <v>147</v>
      </c>
      <c r="C37" s="118"/>
      <c r="D37" s="133"/>
      <c r="E37" s="158"/>
      <c r="F37" s="7">
        <v>204</v>
      </c>
      <c r="G37" s="7"/>
      <c r="H37" s="14"/>
      <c r="I37" s="47"/>
    </row>
    <row r="38" ht="24.75" customHeight="1" spans="1:9">
      <c r="A38" s="142" t="s">
        <v>145</v>
      </c>
      <c r="B38" s="117" t="s">
        <v>148</v>
      </c>
      <c r="C38" s="118"/>
      <c r="D38" s="133"/>
      <c r="E38" s="152"/>
      <c r="F38" s="106">
        <v>27</v>
      </c>
      <c r="G38" s="107"/>
      <c r="H38" s="14"/>
      <c r="I38" s="47"/>
    </row>
    <row r="39" ht="84" customHeight="1" spans="1:9">
      <c r="A39" s="19" t="s">
        <v>149</v>
      </c>
      <c r="B39" s="21" t="s">
        <v>150</v>
      </c>
      <c r="C39" s="22"/>
      <c r="D39" s="21" t="s">
        <v>151</v>
      </c>
      <c r="E39" s="22"/>
      <c r="F39" s="41">
        <v>2400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5306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spans="1:9">
      <c r="A42" s="14"/>
      <c r="B42" s="14"/>
      <c r="C42" s="14"/>
      <c r="D42" s="14"/>
      <c r="E42" s="14"/>
      <c r="F42" s="14"/>
      <c r="G42" s="14"/>
      <c r="H42" s="14"/>
      <c r="I42" s="47"/>
    </row>
    <row r="43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18" customHeight="1" spans="1:9">
      <c r="A44" s="28" t="str">
        <f>"Fixed Expense For the Year "&amp;IF(Main!B2,TEXT(EDATE(Main!B3,3),"mmmm yyyy"),TEXT(Main!B3+((Main!B5-Main!B3)*3+3),"mmmm yyyy"))&amp;" to "&amp;IF(Main!B2,TEXT(EDATE(Main!B3,6)-1,"mmmm yyyy"),TEXT(Main!B3+((Main!B5-Main!B3)*6+5),"mmmm yyyy"))</f>
        <v>Fixed Expense For the Year July 2024 to October 2024</v>
      </c>
      <c r="B44" s="29"/>
      <c r="C44" s="30"/>
      <c r="D44" s="14"/>
      <c r="E44" s="14"/>
      <c r="F44" s="14"/>
      <c r="G44" s="14"/>
      <c r="H44" s="14"/>
      <c r="I44" s="47"/>
    </row>
    <row r="45" ht="2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spans="1:9">
      <c r="A46" s="32" t="str" cm="1">
        <f ca="1" t="array" ref="A46">IF((INDIRECT("'"&amp;INDIRECT("Main!B9")&amp;"'!A60"))=0,"",(INDIRECT("'"&amp;INDIRECT("Main!B9")&amp;"'!A60")))</f>
        <v>Mobile And Communications/ Housing Expenses</v>
      </c>
      <c r="B46" s="33"/>
      <c r="C46" s="34"/>
      <c r="D46" s="14"/>
      <c r="E46" s="14"/>
      <c r="F46" s="14"/>
      <c r="G46" s="14"/>
      <c r="H46" s="14"/>
      <c r="I46" s="47"/>
    </row>
    <row r="47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150">
        <v>204</v>
      </c>
      <c r="D47" s="14"/>
      <c r="E47" s="14"/>
      <c r="F47" s="14"/>
      <c r="G47" s="14"/>
      <c r="H47" s="14"/>
      <c r="I47" s="47"/>
    </row>
    <row r="48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150">
        <v>207.5</v>
      </c>
      <c r="D48" s="14"/>
      <c r="E48" s="14"/>
      <c r="F48" s="14"/>
      <c r="G48" s="14"/>
      <c r="H48" s="14"/>
      <c r="I48" s="47"/>
    </row>
    <row r="49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150">
        <v>0</v>
      </c>
      <c r="D49" s="14"/>
      <c r="E49" s="14"/>
      <c r="F49" s="14"/>
      <c r="G49" s="14"/>
      <c r="H49" s="14"/>
      <c r="I49" s="47"/>
    </row>
    <row r="50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150">
        <v>0</v>
      </c>
      <c r="D50" s="14"/>
      <c r="E50" s="14"/>
      <c r="F50" s="14"/>
      <c r="G50" s="14"/>
      <c r="H50" s="14"/>
      <c r="I50" s="47"/>
    </row>
    <row r="51" ht="40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0</v>
      </c>
      <c r="D51" s="14"/>
      <c r="E51" s="14"/>
      <c r="F51" s="14"/>
      <c r="G51" s="14"/>
      <c r="H51" s="14"/>
      <c r="I51" s="47"/>
    </row>
    <row r="52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spans="1:9">
      <c r="A55" s="38"/>
      <c r="B55" s="39" t="s">
        <v>78</v>
      </c>
      <c r="C55" s="36">
        <f>SUM(C47:C54)</f>
        <v>411.5</v>
      </c>
      <c r="D55" s="14"/>
      <c r="E55" s="14"/>
      <c r="F55" s="14"/>
      <c r="G55" s="14"/>
      <c r="H55" s="14"/>
      <c r="I55" s="47"/>
    </row>
    <row r="56" spans="1:9">
      <c r="A56" s="91" t="str" cm="1">
        <f ca="1" t="array" ref="A56">IF((INDIRECT("'"&amp;INDIRECT("Main!B9")&amp;"'!A70"))=0,"",(INDIRECT("'"&amp;INDIRECT("Main!B9")&amp;"'!A70")))</f>
        <v>Credit Card Installments/Government Installments</v>
      </c>
      <c r="B56" s="92"/>
      <c r="C56" s="93"/>
      <c r="D56" s="14"/>
      <c r="E56" s="14"/>
      <c r="F56" s="14"/>
      <c r="G56" s="14"/>
      <c r="H56" s="14"/>
      <c r="I56" s="47"/>
    </row>
    <row r="57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spans="1:9">
      <c r="A67" s="91" t="str" cm="1">
        <f ca="1" t="array" ref="A67">IF((INDIRECT("'"&amp;INDIRECT("Main!B9")&amp;"'!A81"))=0,"",(INDIRECT("'"&amp;INDIRECT("Main!B9")&amp;"'!A81")))</f>
        <v>Donation</v>
      </c>
      <c r="B67" s="92"/>
      <c r="C67" s="93"/>
      <c r="D67" s="14"/>
      <c r="E67" s="14"/>
      <c r="F67" s="14"/>
      <c r="G67" s="14"/>
      <c r="H67" s="14"/>
      <c r="I67" s="47"/>
    </row>
    <row r="68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spans="1:9">
      <c r="A76" s="91" t="str" cm="1">
        <f ca="1" t="array" ref="A76">IF((INDIRECT("'"&amp;INDIRECT("Main!B9")&amp;"'!A90"))=0,"",(INDIRECT("'"&amp;INDIRECT("Main!B9")&amp;"'!A90")))</f>
        <v>Insurance (Personal / Properties / Medical)</v>
      </c>
      <c r="B76" s="92"/>
      <c r="C76" s="93"/>
      <c r="D76" s="14"/>
      <c r="E76" s="14"/>
      <c r="F76" s="14"/>
      <c r="G76" s="14"/>
      <c r="H76" s="14"/>
      <c r="I76" s="47"/>
    </row>
    <row r="77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spans="1:9">
      <c r="A86" s="91" t="str" cm="1">
        <f ca="1" t="array" ref="A86">IF((INDIRECT("'"&amp;INDIRECT("Main!B9")&amp;"'!A100"))=0,"",(INDIRECT("'"&amp;INDIRECT("Main!B9")&amp;"'!A100")))</f>
        <v>Other Expenses</v>
      </c>
      <c r="B86" s="92"/>
      <c r="C86" s="93"/>
      <c r="D86" s="14"/>
      <c r="E86" s="14"/>
      <c r="F86" s="14"/>
      <c r="G86" s="14"/>
      <c r="H86" s="14"/>
      <c r="I86" s="47"/>
    </row>
    <row r="87" ht="20.2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98">
        <v>600</v>
      </c>
      <c r="D87" s="14"/>
      <c r="E87" s="14"/>
      <c r="F87" s="14"/>
      <c r="G87" s="14"/>
      <c r="H87" s="14"/>
      <c r="I87" s="47"/>
    </row>
    <row r="88" ht="61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0.2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79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98">
        <v>870</v>
      </c>
      <c r="D90" s="14"/>
      <c r="E90" s="67"/>
      <c r="F90" s="14"/>
      <c r="G90" s="14"/>
      <c r="H90" s="14"/>
      <c r="I90" s="47"/>
    </row>
    <row r="91" ht="20.2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0.2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0.2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0.2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spans="1:9">
      <c r="A95" s="51"/>
      <c r="B95" s="39" t="s">
        <v>78</v>
      </c>
      <c r="C95" s="36">
        <f>SUM(C87:C94)</f>
        <v>1617</v>
      </c>
      <c r="D95" s="14"/>
      <c r="E95" s="14"/>
      <c r="F95" s="14"/>
      <c r="G95" s="14"/>
      <c r="H95" s="14"/>
      <c r="I95" s="47"/>
    </row>
    <row r="96" spans="1:9">
      <c r="A96" s="49"/>
      <c r="B96" s="39" t="s">
        <v>100</v>
      </c>
      <c r="C96" s="36">
        <f>C55+C66+C75+C85+C95</f>
        <v>2028.5</v>
      </c>
      <c r="D96" s="14"/>
      <c r="E96" s="14"/>
      <c r="F96" s="14"/>
      <c r="G96" s="14"/>
      <c r="H96" s="14"/>
      <c r="I96" s="47"/>
    </row>
    <row r="97" spans="1:9">
      <c r="A97" s="91" t="str" cm="1">
        <f ca="1" t="array" ref="A97">IF((INDIRECT("'"&amp;INDIRECT("Main!B9")&amp;"'!A111"))=0,"",(INDIRECT("'"&amp;INDIRECT("Main!B9")&amp;"'!A111")))</f>
        <v>Debts</v>
      </c>
      <c r="B97" s="92"/>
      <c r="C97" s="93"/>
      <c r="D97" s="14"/>
      <c r="E97" s="14"/>
      <c r="F97" s="14"/>
      <c r="G97" s="14"/>
      <c r="H97" s="14"/>
      <c r="I97" s="47"/>
    </row>
    <row r="98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108" cm="1">
        <f ca="1" t="array" ref="C98">(((INDIRECT("'"&amp;INDIRECT("Main!B9")&amp;"'!E131")+INDIRECT("'"&amp;INDIRECT("Main!B9")&amp;"'!E158")+INDIRECT("'"&amp;INDIRECT("Main!B9")&amp;"'!E185")))+SUM(E118+E145+E172))-INDIRECT("'"&amp;INDIRECT("Main!B9")&amp;"'!C112")</f>
        <v>-8300</v>
      </c>
      <c r="D98" s="14"/>
      <c r="E98" s="94"/>
      <c r="F98" s="14"/>
      <c r="G98" s="14"/>
      <c r="H98" s="14"/>
      <c r="I98" s="47"/>
    </row>
    <row r="99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108" cm="1">
        <f ca="1" t="array" ref="C99">(((INDIRECT("'"&amp;INDIRECT("Main!B9")&amp;"'!E132")+INDIRECT("'"&amp;INDIRECT("Main!B9")&amp;"'!E159")+INDIRECT("'"&amp;INDIRECT("Main!B9")&amp;"'!E186")))+SUM(E119+E146+E173))-INDIRECT("'"&amp;INDIRECT("Main!B9")&amp;"'!C113")</f>
        <v>0</v>
      </c>
      <c r="D99" s="14"/>
      <c r="E99" s="14"/>
      <c r="F99" s="14"/>
      <c r="G99" s="14"/>
      <c r="H99" s="14"/>
      <c r="I99" s="47"/>
    </row>
    <row r="100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108" cm="1">
        <f ca="1" t="array" ref="C100">(((INDIRECT("'"&amp;INDIRECT("Main!B9")&amp;"'!E133")+INDIRECT("'"&amp;INDIRECT("Main!B9")&amp;"'!E160")+INDIRECT("'"&amp;INDIRECT("Main!B9")&amp;"'!E187")))+SUM(E120+E147+E174))-INDIRECT("'"&amp;INDIRECT("Main!B9")&amp;"'!C114")</f>
        <v>-2300</v>
      </c>
      <c r="D100" s="14"/>
      <c r="E100" s="14"/>
      <c r="F100" s="14"/>
      <c r="G100" s="14"/>
      <c r="H100" s="14"/>
      <c r="I100" s="47"/>
    </row>
    <row r="101" ht="21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108" cm="1">
        <f ca="1" t="array" ref="C101">(((INDIRECT("'"&amp;INDIRECT("Main!B9")&amp;"'!E134")+INDIRECT("'"&amp;INDIRECT("Main!B9")&amp;"'!E161")+INDIRECT("'"&amp;INDIRECT("Main!B9")&amp;"'!E188")))+SUM(E121+E148+E175))-INDIRECT("'"&amp;INDIRECT("Main!B9")&amp;"'!C115")</f>
        <v>0</v>
      </c>
      <c r="D101" s="14"/>
      <c r="E101" s="14"/>
      <c r="F101" s="14"/>
      <c r="G101" s="14"/>
      <c r="H101" s="14"/>
      <c r="I101" s="47"/>
    </row>
    <row r="102" ht="21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108" cm="1">
        <f ca="1" t="array" ref="C102">(((INDIRECT("'"&amp;INDIRECT("Main!B9")&amp;"'!E135")+INDIRECT("'"&amp;INDIRECT("Main!B9")&amp;"'!E162")+INDIRECT("'"&amp;INDIRECT("Main!B9")&amp;"'!E189")))+SUM(E122+E149+E176))-INDIRECT("'"&amp;INDIRECT("Main!B9")&amp;"'!C116")</f>
        <v>0</v>
      </c>
      <c r="D102" s="14"/>
      <c r="E102" s="159"/>
      <c r="F102" s="14"/>
      <c r="G102" s="14"/>
      <c r="H102" s="14"/>
      <c r="I102" s="47"/>
    </row>
    <row r="103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108" cm="1">
        <f ca="1" t="array" ref="C103">(((INDIRECT("'"&amp;INDIRECT("Main!B9")&amp;"'!E136")+INDIRECT("'"&amp;INDIRECT("Main!B9")&amp;"'!E163")+INDIRECT("'"&amp;INDIRECT("Main!B9")&amp;"'!E190")))+SUM(E123+E150+E177))-INDIRECT("'"&amp;INDIRECT("Main!B9")&amp;"'!C117")</f>
        <v>-1083</v>
      </c>
      <c r="D103" s="14"/>
      <c r="E103" s="14"/>
      <c r="F103" s="14"/>
      <c r="G103" s="14"/>
      <c r="H103" s="14"/>
      <c r="I103" s="47"/>
    </row>
    <row r="104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108" cm="1">
        <f ca="1" t="array" ref="C104">(((INDIRECT("'"&amp;INDIRECT("Main!B9")&amp;"'!E137")+INDIRECT("'"&amp;INDIRECT("Main!B9")&amp;"'!E164")+INDIRECT("'"&amp;INDIRECT("Main!B9")&amp;"'!E191")))+SUM(E124+E151+E178))-INDIRECT("'"&amp;INDIRECT("Main!B9")&amp;"'!C118")</f>
        <v>0</v>
      </c>
      <c r="D104" s="14"/>
      <c r="E104" s="14"/>
      <c r="F104" s="14"/>
      <c r="G104" s="14"/>
      <c r="H104" s="14"/>
      <c r="I104" s="47"/>
    </row>
    <row r="105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108" cm="1">
        <f ca="1" t="array" ref="C105">(((INDIRECT("'"&amp;INDIRECT("Main!B9")&amp;"'!E138")+INDIRECT("'"&amp;INDIRECT("Main!B9")&amp;"'!E165")+INDIRECT("'"&amp;INDIRECT("Main!B9")&amp;"'!E192")))+SUM(E125+E152+E179))-INDIRECT("'"&amp;INDIRECT("Main!B9")&amp;"'!C119")</f>
        <v>0</v>
      </c>
      <c r="D105" s="14"/>
      <c r="E105" s="14"/>
      <c r="F105" s="14"/>
      <c r="G105" s="14"/>
      <c r="H105" s="14"/>
      <c r="I105" s="47"/>
    </row>
    <row r="106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108" cm="1">
        <f ca="1" t="array" ref="C106">(((INDIRECT("'"&amp;INDIRECT("Main!B9")&amp;"'!E139")+INDIRECT("'"&amp;INDIRECT("Main!B9")&amp;"'!E166")+INDIRECT("'"&amp;INDIRECT("Main!B9")&amp;"'!E193")))+SUM(E126+E153+E180))-INDIRECT("'"&amp;INDIRECT("Main!B9")&amp;"'!C120")</f>
        <v>0</v>
      </c>
      <c r="D106" s="14"/>
      <c r="E106" s="14"/>
      <c r="F106" s="14"/>
      <c r="G106" s="14"/>
      <c r="H106" s="14"/>
      <c r="I106" s="47"/>
    </row>
    <row r="107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108" cm="1">
        <f ca="1" t="array" ref="C107">(((INDIRECT("'"&amp;INDIRECT("Main!B9")&amp;"'!E140")+INDIRECT("'"&amp;INDIRECT("Main!B9")&amp;"'!E167")+INDIRECT("'"&amp;INDIRECT("Main!B9")&amp;"'!E194")))+SUM(E127+E154+E181))-INDIRECT("'"&amp;INDIRECT("Main!B9")&amp;"'!C121")</f>
        <v>0</v>
      </c>
      <c r="D107" s="14"/>
      <c r="E107" s="14"/>
      <c r="F107" s="14"/>
      <c r="G107" s="14"/>
      <c r="H107" s="14"/>
      <c r="I107" s="47"/>
    </row>
    <row r="108" spans="1:9">
      <c r="A108" s="49"/>
      <c r="B108" s="39" t="s">
        <v>108</v>
      </c>
      <c r="C108" s="108">
        <f ca="1">SUM(C98:C107)</f>
        <v>-11683</v>
      </c>
      <c r="D108" s="14"/>
      <c r="E108" s="14"/>
      <c r="F108" s="14"/>
      <c r="G108" s="14"/>
      <c r="H108" s="14"/>
      <c r="I108" s="47"/>
    </row>
    <row r="109" spans="1:9">
      <c r="A109" s="49"/>
      <c r="B109" s="39" t="s">
        <v>109</v>
      </c>
      <c r="C109" s="108">
        <f ca="1">C108-C96</f>
        <v>-13711.5</v>
      </c>
      <c r="D109" s="14"/>
      <c r="E109" s="14"/>
      <c r="F109" s="14"/>
      <c r="G109" s="14"/>
      <c r="H109" s="14"/>
      <c r="I109" s="47"/>
    </row>
    <row r="110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"&amp;IF(Main!B2,TEXT(EDATE(Main!B3,3),"mmmm dd yyyy"),TEXT(Main!B3+((Main!B5-Main!B3)*3+3),"mmmm dd yyyy"))&amp;" to "&amp;IF(Main!B2,TEXT(EDATE(Main!B3,4)-1,"mmmm dd yyyy"),TEXT(Main!B3+((Main!B5-Main!B3)*4+3),"mmmm dd yyyy"))</f>
        <v>Debts Or Credits For the Comming July 20 2024 to August 19 2024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"&amp;IF(Main!B2,TEXT(EDATE(Main!B3,3)-1,"mmmm yyyy"),TEXT(Main!B3+((Main!B5-Main!B3)*3+3),"mmmm yyyy"))</f>
        <v>Balance Brought Forward From July 2024</v>
      </c>
      <c r="B116" s="56"/>
      <c r="C116" s="57"/>
      <c r="D116" s="57"/>
      <c r="E116" s="87" cm="1">
        <f ca="1" t="array" ref="E116">INDIRECT("'"&amp;INDIRECT("Main!B9")&amp;"'!E203")</f>
        <v>3260.12</v>
      </c>
      <c r="F116" s="14"/>
      <c r="G116" s="14"/>
      <c r="H116" s="67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9.25" customHeight="1" spans="1:9">
      <c r="A118" s="62"/>
      <c r="B118" s="63"/>
      <c r="C118" s="64" t="s">
        <v>152</v>
      </c>
      <c r="D118" s="65"/>
      <c r="E118" s="36">
        <v>1000</v>
      </c>
      <c r="F118" s="14"/>
      <c r="G118" s="14"/>
      <c r="H118" s="14"/>
      <c r="I118" s="47"/>
    </row>
    <row r="119" ht="29.2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9.2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9.2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40.5" customHeight="1" spans="1:9">
      <c r="A129" s="62"/>
      <c r="B129" s="63"/>
      <c r="C129" s="112" t="s">
        <v>153</v>
      </c>
      <c r="D129" s="112"/>
      <c r="E129" s="98">
        <v>0</v>
      </c>
      <c r="F129" s="14"/>
      <c r="G129" s="14"/>
      <c r="H129" s="14"/>
      <c r="I129" s="47"/>
    </row>
    <row r="130" ht="131" customHeight="1" spans="1:9">
      <c r="A130" s="62"/>
      <c r="B130" s="63"/>
      <c r="C130" s="100" t="s">
        <v>154</v>
      </c>
      <c r="D130" s="112"/>
      <c r="E130" s="98">
        <v>2930</v>
      </c>
      <c r="F130" s="14"/>
      <c r="G130" s="14"/>
      <c r="H130" s="14"/>
      <c r="I130" s="47"/>
    </row>
    <row r="131" ht="24.75" customHeight="1" spans="1:9">
      <c r="A131" s="62"/>
      <c r="B131" s="63"/>
      <c r="C131" s="112" t="s">
        <v>155</v>
      </c>
      <c r="D131" s="112"/>
      <c r="E131" s="98">
        <v>204</v>
      </c>
      <c r="F131" s="14"/>
      <c r="G131" s="14"/>
      <c r="H131" s="14"/>
      <c r="I131" s="47"/>
    </row>
    <row r="132" ht="24.75" customHeight="1" spans="1:9">
      <c r="A132" s="62"/>
      <c r="B132" s="63"/>
      <c r="C132" s="112" t="s">
        <v>156</v>
      </c>
      <c r="D132" s="112"/>
      <c r="E132" s="98">
        <v>207.5</v>
      </c>
      <c r="F132" s="14"/>
      <c r="G132" s="14"/>
      <c r="H132" s="14"/>
      <c r="I132" s="47"/>
    </row>
    <row r="133" ht="24.75" customHeight="1" spans="1:9">
      <c r="A133" s="62"/>
      <c r="B133" s="63"/>
      <c r="C133" s="135" t="s">
        <v>157</v>
      </c>
      <c r="D133" s="135"/>
      <c r="E133" s="98">
        <v>139.28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2028.5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699.839999999999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"&amp;IF(Main!B2,TEXT(EDATE(Main!B3,4),"mmmm dd yyyy"),TEXT(Main!B3+((Main!B5-Main!B3)*4+4),"dd mmmm yyyy"))&amp;" to "&amp;IF(Main!B2,TEXT(EDATE(Main!B3,5)-1,"mmmm dd yyyy"),TEXT(Main!B3+((Main!B5-Main!B3)*5+4),"mmmm dd yyyy"))</f>
        <v>Debts Or Credits For the Comming August 20 2024 to September 19 2024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"&amp;IF(Main!B2,TEXT(EDATE(Main!B3,4)-1,"mmmm yyyy"),TEXT(Main!B3+((Main!B5-Main!B3)*4+3),"mmmm yyyy"))</f>
        <v>Balance Brought Forward From August 2024</v>
      </c>
      <c r="B143" s="56"/>
      <c r="C143" s="57"/>
      <c r="D143" s="57"/>
      <c r="E143" s="87">
        <f ca="1">E136</f>
        <v>699.839999999999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 t="s">
        <v>158</v>
      </c>
      <c r="D147" s="65"/>
      <c r="E147" s="36">
        <v>500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24.75" customHeight="1" spans="1:9">
      <c r="A156" s="62"/>
      <c r="B156" s="63"/>
      <c r="C156" s="112" t="s">
        <v>123</v>
      </c>
      <c r="D156" s="112"/>
      <c r="E156" s="98">
        <v>72</v>
      </c>
      <c r="F156" s="14"/>
      <c r="G156" s="14"/>
      <c r="H156" s="14"/>
      <c r="I156" s="47"/>
    </row>
    <row r="157" ht="24.75" customHeight="1" spans="1:9">
      <c r="A157" s="62"/>
      <c r="B157" s="63"/>
      <c r="C157" s="112" t="s">
        <v>159</v>
      </c>
      <c r="D157" s="112"/>
      <c r="E157" s="98">
        <v>55.3</v>
      </c>
      <c r="F157" s="14"/>
      <c r="G157" s="14"/>
      <c r="H157" s="14"/>
      <c r="I157" s="47"/>
    </row>
    <row r="158" ht="24.75" customHeight="1" spans="1:9">
      <c r="A158" s="62"/>
      <c r="B158" s="63"/>
      <c r="C158" s="112" t="s">
        <v>160</v>
      </c>
      <c r="D158" s="112"/>
      <c r="E158" s="98">
        <v>85</v>
      </c>
      <c r="F158" s="14"/>
      <c r="G158" s="14"/>
      <c r="H158" s="14"/>
      <c r="I158" s="47"/>
    </row>
    <row r="159" ht="24.75" customHeight="1" spans="1:9">
      <c r="A159" s="62"/>
      <c r="B159" s="63"/>
      <c r="C159" s="112" t="s">
        <v>161</v>
      </c>
      <c r="D159" s="112"/>
      <c r="E159" s="98">
        <v>630</v>
      </c>
      <c r="F159" s="14"/>
      <c r="G159" s="14"/>
      <c r="H159" s="14"/>
      <c r="I159" s="47"/>
    </row>
    <row r="160" ht="24.75" customHeight="1" spans="1:9">
      <c r="A160" s="62"/>
      <c r="B160" s="63"/>
      <c r="C160" s="135" t="s">
        <v>157</v>
      </c>
      <c r="D160" s="135"/>
      <c r="E160" s="98">
        <v>464.47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2028.5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625.069999999999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"&amp;IF(Main!B2,TEXT(EDATE(Main!B3,5),"mmmm dd yyyy"),TEXT(Main!B3+((Main!B5-Main!B3)*5+5),"mmmm dd yyyy"))&amp;" to "&amp;IF(Main!B2,TEXT(EDATE(Main!B3,6)-1,"mmmm dd yyyy"),TEXT(Main!B3+((Main!B5-Main!B3)*6+5),"mmmm dd yyyy"))</f>
        <v>Debts Or Credits For the Comming September 20 2024 to October 19 2024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">
        <v>162</v>
      </c>
      <c r="B170" s="56"/>
      <c r="C170" s="57"/>
      <c r="D170" s="57"/>
      <c r="E170" s="90">
        <f ca="1">E163</f>
        <v>625.069999999999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112" t="s">
        <v>163</v>
      </c>
      <c r="D172" s="112"/>
      <c r="E172" s="36">
        <v>1150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112" t="s">
        <v>158</v>
      </c>
      <c r="D174" s="112"/>
      <c r="E174" s="36">
        <v>500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24.75" customHeight="1" spans="1:9">
      <c r="A183" s="62"/>
      <c r="B183" s="63"/>
      <c r="C183" s="112" t="s">
        <v>161</v>
      </c>
      <c r="D183" s="112"/>
      <c r="E183" s="98">
        <v>30</v>
      </c>
      <c r="F183" s="14"/>
      <c r="G183" s="14"/>
      <c r="H183" s="14"/>
      <c r="I183" s="47"/>
    </row>
    <row r="184" ht="24.75" customHeight="1" spans="1:9">
      <c r="A184" s="62"/>
      <c r="B184" s="63"/>
      <c r="C184" s="112" t="s">
        <v>164</v>
      </c>
      <c r="D184" s="112"/>
      <c r="E184" s="98">
        <v>130.84</v>
      </c>
      <c r="F184" s="14"/>
      <c r="G184" s="14"/>
      <c r="H184" s="14"/>
      <c r="I184" s="47"/>
    </row>
    <row r="185" ht="24.75" customHeight="1" spans="1:9">
      <c r="A185" s="62"/>
      <c r="B185" s="63"/>
      <c r="C185" s="112" t="s">
        <v>165</v>
      </c>
      <c r="D185" s="112"/>
      <c r="E185" s="98">
        <v>60</v>
      </c>
      <c r="F185" s="14"/>
      <c r="G185" s="14"/>
      <c r="H185" s="14"/>
      <c r="I185" s="47"/>
    </row>
    <row r="186" ht="118" customHeight="1" spans="1:9">
      <c r="A186" s="62"/>
      <c r="B186" s="63"/>
      <c r="C186" s="100" t="s">
        <v>166</v>
      </c>
      <c r="D186" s="100"/>
      <c r="E186" s="98">
        <v>919.52</v>
      </c>
      <c r="F186" s="14"/>
      <c r="G186" s="14"/>
      <c r="H186" s="14"/>
      <c r="I186" s="47"/>
    </row>
    <row r="187" ht="24.75" customHeight="1" spans="1:9">
      <c r="A187" s="62"/>
      <c r="B187" s="63"/>
      <c r="C187" s="100" t="s">
        <v>161</v>
      </c>
      <c r="D187" s="100"/>
      <c r="E187" s="98">
        <v>600</v>
      </c>
      <c r="F187" s="14"/>
      <c r="G187" s="14"/>
      <c r="H187" s="14"/>
      <c r="I187" s="47"/>
    </row>
    <row r="188" ht="24.75" customHeight="1" spans="1:9">
      <c r="A188" s="74"/>
      <c r="B188" s="75"/>
      <c r="C188" s="160" t="s">
        <v>157</v>
      </c>
      <c r="D188" s="161"/>
      <c r="E188" s="98">
        <v>9.5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2028.5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502.71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3" s="40" customFormat="1" ht="24.75" customHeight="1"/>
  </sheetData>
  <sheetProtection sheet="1" formatCells="0" formatColumns="0" formatRows="0" objects="1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40" operator="greaterThanOrEqual">
      <formula>0</formula>
    </cfRule>
    <cfRule type="cellIs" dxfId="1" priority="39" operator="lessThan">
      <formula>0</formula>
    </cfRule>
  </conditionalFormatting>
  <conditionalFormatting sqref="C75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7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91">
    <cfRule type="cellIs" dxfId="0" priority="27" operator="equal">
      <formula>0</formula>
    </cfRule>
    <cfRule type="cellIs" dxfId="1" priority="26" operator="greaterThan">
      <formula>0</formula>
    </cfRule>
  </conditionalFormatting>
  <conditionalFormatting sqref="C108">
    <cfRule type="cellIs" dxfId="0" priority="56" operator="greaterThanOrEqual">
      <formula>0</formula>
    </cfRule>
    <cfRule type="cellIs" dxfId="1" priority="55" operator="lessThan">
      <formula>0</formula>
    </cfRule>
  </conditionalFormatting>
  <conditionalFormatting sqref="C109">
    <cfRule type="cellIs" dxfId="0" priority="25" operator="greaterThanOrEqual">
      <formula>0</formula>
    </cfRule>
    <cfRule type="cellIs" dxfId="1" priority="24" operator="lessThan">
      <formula>0</formula>
    </cfRule>
  </conditionalFormatting>
  <conditionalFormatting sqref="E116">
    <cfRule type="cellIs" dxfId="4" priority="30" operator="greaterThanOrEqual">
      <formula>0</formula>
    </cfRule>
    <cfRule type="cellIs" dxfId="5" priority="29" operator="lessThan">
      <formula>0</formula>
    </cfRule>
  </conditionalFormatting>
  <conditionalFormatting sqref="E118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E129">
    <cfRule type="cellIs" dxfId="6" priority="21" operator="equal">
      <formula>0</formula>
    </cfRule>
  </conditionalFormatting>
  <conditionalFormatting sqref="E130">
    <cfRule type="cellIs" dxfId="6" priority="20" operator="equal">
      <formula>0</formula>
    </cfRule>
  </conditionalFormatting>
  <conditionalFormatting sqref="E136">
    <cfRule type="cellIs" dxfId="4" priority="64" operator="greaterThanOrEqual">
      <formula>0</formula>
    </cfRule>
    <cfRule type="cellIs" dxfId="5" priority="63" operator="lessThan">
      <formula>0</formula>
    </cfRule>
  </conditionalFormatting>
  <conditionalFormatting sqref="E143">
    <cfRule type="cellIs" dxfId="4" priority="48" operator="greaterThanOrEqual">
      <formula>0</formula>
    </cfRule>
    <cfRule type="cellIs" dxfId="5" priority="47" operator="lessThan">
      <formula>0</formula>
    </cfRule>
  </conditionalFormatting>
  <conditionalFormatting sqref="E147">
    <cfRule type="cellIs" dxfId="0" priority="9" operator="equal">
      <formula>0</formula>
    </cfRule>
    <cfRule type="cellIs" dxfId="1" priority="8" operator="greaterThan">
      <formula>0</formula>
    </cfRule>
  </conditionalFormatting>
  <conditionalFormatting sqref="E163">
    <cfRule type="cellIs" dxfId="4" priority="50" operator="greaterThanOrEqual">
      <formula>0</formula>
    </cfRule>
    <cfRule type="cellIs" dxfId="5" priority="49" operator="lessThan">
      <formula>0</formula>
    </cfRule>
  </conditionalFormatting>
  <conditionalFormatting sqref="E170">
    <cfRule type="cellIs" dxfId="4" priority="42" operator="greaterThanOrEqual">
      <formula>0</formula>
    </cfRule>
    <cfRule type="cellIs" dxfId="5" priority="41" operator="lessThan">
      <formula>0</formula>
    </cfRule>
  </conditionalFormatting>
  <conditionalFormatting sqref="E172">
    <cfRule type="cellIs" dxfId="0" priority="5" operator="equal">
      <formula>0</formula>
    </cfRule>
    <cfRule type="cellIs" dxfId="1" priority="4" operator="greaterThan">
      <formula>0</formula>
    </cfRule>
  </conditionalFormatting>
  <conditionalFormatting sqref="E174">
    <cfRule type="cellIs" dxfId="0" priority="3" operator="equal">
      <formula>0</formula>
    </cfRule>
    <cfRule type="cellIs" dxfId="1" priority="2" operator="greaterThan">
      <formula>0</formula>
    </cfRule>
  </conditionalFormatting>
  <conditionalFormatting sqref="E190">
    <cfRule type="cellIs" dxfId="4" priority="44" operator="greaterThanOrEqual">
      <formula>0</formula>
    </cfRule>
    <cfRule type="cellIs" dxfId="5" priority="43" operator="lessThan">
      <formula>0</formula>
    </cfRule>
  </conditionalFormatting>
  <conditionalFormatting sqref="C47:C50">
    <cfRule type="cellIs" dxfId="0" priority="12" operator="equal">
      <formula>0</formula>
    </cfRule>
    <cfRule type="cellIs" dxfId="1" priority="11" operator="greaterThan">
      <formula>0</formula>
    </cfRule>
  </conditionalFormatting>
  <conditionalFormatting sqref="C57:C66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68:C69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70:C74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C80:C8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87:C90">
    <cfRule type="cellIs" dxfId="6" priority="10" operator="equal">
      <formula>0</formula>
    </cfRule>
  </conditionalFormatting>
  <conditionalFormatting sqref="C92:C9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98:C107">
    <cfRule type="cellIs" dxfId="1" priority="38" operator="lessThan">
      <formula>0</formula>
    </cfRule>
    <cfRule type="cellIs" dxfId="3" priority="37" operator="greaterThanOrEqual">
      <formula>0</formula>
    </cfRule>
  </conditionalFormatting>
  <conditionalFormatting sqref="E119:E127">
    <cfRule type="cellIs" dxfId="0" priority="36" operator="equal">
      <formula>0</formula>
    </cfRule>
    <cfRule type="cellIs" dxfId="1" priority="35" operator="greaterThan">
      <formula>0</formula>
    </cfRule>
  </conditionalFormatting>
  <conditionalFormatting sqref="E131:E133">
    <cfRule type="cellIs" dxfId="6" priority="19" operator="equal">
      <formula>0</formula>
    </cfRule>
  </conditionalFormatting>
  <conditionalFormatting sqref="E156:E157">
    <cfRule type="cellIs" dxfId="6" priority="7" operator="equal">
      <formula>0</formula>
    </cfRule>
  </conditionalFormatting>
  <conditionalFormatting sqref="E158:E160">
    <cfRule type="cellIs" dxfId="6" priority="6" operator="equal">
      <formula>0</formula>
    </cfRule>
  </conditionalFormatting>
  <conditionalFormatting sqref="E183:E188">
    <cfRule type="cellIs" dxfId="6" priority="1" operator="equal">
      <formula>0</formula>
    </cfRule>
  </conditionalFormatting>
  <conditionalFormatting sqref="C51:C55 C85 C78:C79 C95:C96">
    <cfRule type="cellIs" dxfId="0" priority="78" operator="equal">
      <formula>0</formula>
    </cfRule>
  </conditionalFormatting>
  <conditionalFormatting sqref="C51:C55 C85 C78:C79 C95:C96 E144 E155 E161:E162">
    <cfRule type="cellIs" dxfId="1" priority="77" operator="greaterThan">
      <formula>0</formula>
    </cfRule>
  </conditionalFormatting>
  <conditionalFormatting sqref="E117 E128 E134:E13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E144 E155 E161:E162">
    <cfRule type="cellIs" dxfId="3" priority="52" operator="equal">
      <formula>0</formula>
    </cfRule>
  </conditionalFormatting>
  <conditionalFormatting sqref="E145:E146 E148:E154">
    <cfRule type="cellIs" dxfId="0" priority="34" operator="equal">
      <formula>0</formula>
    </cfRule>
    <cfRule type="cellIs" dxfId="1" priority="33" operator="greaterThan">
      <formula>0</formula>
    </cfRule>
  </conditionalFormatting>
  <conditionalFormatting sqref="E171 E182 E189">
    <cfRule type="cellIs" dxfId="3" priority="46" operator="equal">
      <formula>0</formula>
    </cfRule>
    <cfRule type="cellIs" dxfId="1" priority="45" operator="greaterThan">
      <formula>0</formula>
    </cfRule>
  </conditionalFormatting>
  <conditionalFormatting sqref="E173 E175:E181">
    <cfRule type="cellIs" dxfId="0" priority="32" operator="equal">
      <formula>0</formula>
    </cfRule>
    <cfRule type="cellIs" dxfId="1" priority="31" operator="greaterThan">
      <formula>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2"/>
  <sheetViews>
    <sheetView topLeftCell="A94" workbookViewId="0">
      <selection activeCell="E101" sqref="E101"/>
    </sheetView>
  </sheetViews>
  <sheetFormatPr defaultColWidth="9" defaultRowHeight="17.6"/>
  <cols>
    <col min="1" max="1" width="24.875" style="40" customWidth="1"/>
    <col min="2" max="2" width="20.625" style="40" customWidth="1"/>
    <col min="3" max="3" width="24.125" style="40" customWidth="1"/>
    <col min="4" max="7" width="20.625" style="40" customWidth="1"/>
    <col min="8" max="8" width="15.625" style="40" customWidth="1"/>
    <col min="9" max="16384" width="9" style="40"/>
  </cols>
  <sheetData>
    <row r="1" ht="30" customHeight="1" spans="1:7">
      <c r="A1" s="1" t="str">
        <f>"Forecasts For the Year "&amp;IF(Main!B2,TEXT(EDATE(Main!B3,6),"mmmm yyyy"),TEXT(Main!B3+((Main!B5-Main!B3)*6+6),"mmmm yyyy"))&amp;" to "&amp;IF(Main!B2,TEXT(EDATE(Main!B3,9)-1,"mmmm yyyy"),TEXT(Main!B3+((Main!B5-Main!B3)*9+8),"mmmm yyyy"))</f>
        <v>Forecasts For the Year October 2024 to January 2025</v>
      </c>
      <c r="B1" s="1"/>
      <c r="C1" s="1"/>
      <c r="D1" s="1"/>
      <c r="E1" s="1"/>
      <c r="F1" s="1"/>
      <c r="G1" s="1"/>
    </row>
    <row r="2" ht="30" customHeight="1" spans="1:7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</row>
    <row r="3" ht="30" customHeight="1" spans="1:7">
      <c r="A3" s="5"/>
      <c r="B3" s="6" t="s">
        <v>129</v>
      </c>
      <c r="C3" s="7">
        <f ca="1">E190</f>
        <v>173.340000000001</v>
      </c>
      <c r="D3" s="7"/>
      <c r="E3" s="7"/>
      <c r="F3" s="7"/>
      <c r="G3" s="7"/>
    </row>
    <row r="4" ht="30" customHeight="1" spans="1:9">
      <c r="A4" s="8" t="s">
        <v>47</v>
      </c>
      <c r="B4" s="9"/>
      <c r="C4" s="10">
        <f ca="1">SUM(C2:G3)</f>
        <v>1354.84</v>
      </c>
      <c r="D4" s="10"/>
      <c r="E4" s="10"/>
      <c r="F4" s="10"/>
      <c r="G4" s="10"/>
      <c r="H4" s="14"/>
      <c r="I4" s="47"/>
    </row>
    <row r="5" ht="30" customHeight="1" spans="1:9">
      <c r="A5" s="11" t="s">
        <v>130</v>
      </c>
      <c r="B5" s="11"/>
      <c r="C5" s="12">
        <f ca="1">C108</f>
        <v>-10683</v>
      </c>
      <c r="D5" s="13"/>
      <c r="E5" s="13"/>
      <c r="F5" s="13"/>
      <c r="G5" s="13"/>
      <c r="H5" s="14"/>
      <c r="I5" s="47"/>
    </row>
    <row r="6" ht="30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30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30" customHeight="1" spans="1:9">
      <c r="A8" s="15" t="str">
        <f>IF(Main!B2,TEXT(EDATE(Main!B3,6),"dd mmmm yyyy"),TEXT(Main!B3+((Main!B5-Main!B3)*6+6),"dd mmmm yyyy"))&amp;" - "&amp;IF(Main!B2,TEXT(EDATE(Main!B3,7)-1,"dd mmmm yyyy"),TEXT(Main!B3+((Main!B5-Main!B3)*7+6),"dd mmmm yyyy"))&amp;" / "&amp;" (Revenue / Deferred Debts Or Expenses)"</f>
        <v>20 October 2024 - 19 November 2024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30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30" customHeight="1" spans="1:9">
      <c r="A10" s="95" t="s">
        <v>167</v>
      </c>
      <c r="B10" s="96" t="s">
        <v>66</v>
      </c>
      <c r="C10" s="96"/>
      <c r="D10" s="125" t="s">
        <v>144</v>
      </c>
      <c r="E10" s="133"/>
      <c r="F10" s="7">
        <v>0</v>
      </c>
      <c r="G10" s="7"/>
      <c r="H10" s="14"/>
      <c r="I10" s="47"/>
    </row>
    <row r="11" ht="30" customHeight="1" spans="1:9">
      <c r="A11" s="95" t="s">
        <v>168</v>
      </c>
      <c r="B11" s="96" t="s">
        <v>169</v>
      </c>
      <c r="C11" s="96"/>
      <c r="D11" s="125" t="s">
        <v>170</v>
      </c>
      <c r="E11" s="133"/>
      <c r="F11" s="7">
        <v>78</v>
      </c>
      <c r="G11" s="7"/>
      <c r="H11" s="14"/>
      <c r="I11" s="47"/>
    </row>
    <row r="12" ht="30" customHeight="1" spans="1:9">
      <c r="A12" s="95" t="s">
        <v>171</v>
      </c>
      <c r="B12" s="96" t="s">
        <v>75</v>
      </c>
      <c r="C12" s="96"/>
      <c r="D12" s="125" t="s">
        <v>172</v>
      </c>
      <c r="E12" s="133"/>
      <c r="F12" s="7">
        <v>174</v>
      </c>
      <c r="G12" s="7"/>
      <c r="H12" s="14"/>
      <c r="I12" s="47"/>
    </row>
    <row r="13" ht="30" customHeight="1" spans="1:9">
      <c r="A13" s="95" t="s">
        <v>171</v>
      </c>
      <c r="B13" s="96" t="s">
        <v>173</v>
      </c>
      <c r="C13" s="96"/>
      <c r="D13" s="125" t="s">
        <v>53</v>
      </c>
      <c r="E13" s="133"/>
      <c r="F13" s="7">
        <v>68</v>
      </c>
      <c r="G13" s="7"/>
      <c r="H13" s="14"/>
      <c r="I13" s="47"/>
    </row>
    <row r="14" ht="30" customHeight="1" spans="1:9">
      <c r="A14" s="95" t="s">
        <v>174</v>
      </c>
      <c r="B14" s="96" t="s">
        <v>173</v>
      </c>
      <c r="C14" s="96"/>
      <c r="D14" s="125" t="s">
        <v>53</v>
      </c>
      <c r="E14" s="133"/>
      <c r="F14" s="7">
        <v>68</v>
      </c>
      <c r="G14" s="7"/>
      <c r="H14" s="14"/>
      <c r="I14" s="47"/>
    </row>
    <row r="15" ht="30" customHeight="1" spans="1:9">
      <c r="A15" s="95" t="s">
        <v>175</v>
      </c>
      <c r="B15" s="96" t="s">
        <v>52</v>
      </c>
      <c r="C15" s="96"/>
      <c r="D15" s="125" t="s">
        <v>53</v>
      </c>
      <c r="E15" s="133"/>
      <c r="F15" s="7">
        <v>2405</v>
      </c>
      <c r="G15" s="7"/>
      <c r="H15" s="14"/>
      <c r="I15" s="47"/>
    </row>
    <row r="16" ht="30" customHeight="1" spans="1:9">
      <c r="A16" s="24"/>
      <c r="B16" s="25"/>
      <c r="C16" s="26"/>
      <c r="D16" s="27" t="s">
        <v>54</v>
      </c>
      <c r="E16" s="44"/>
      <c r="F16" s="45">
        <f>SUM(F10:G15)</f>
        <v>2793</v>
      </c>
      <c r="G16" s="46"/>
      <c r="H16" s="14"/>
      <c r="I16" s="47"/>
    </row>
    <row r="17" ht="30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30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30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30" customHeight="1" spans="1:9">
      <c r="A20" s="15" t="str">
        <f>IF(Main!B2,TEXT(EDATE(Main!B3,7),"dd mmmm yyyy"),TEXT(Main!B3+((Main!B5-Main!B3)*7+7),"dd mmmm yyyy"))&amp;" - "&amp;IF(Main!B2,TEXT(EDATE(Main!B3,8)-1,"dd mmmm yyyy"),TEXT(Main!B3+((Main!B5-Main!B3)*8+7),"dd mmmm yyyy"))&amp;" / "&amp;" (Revenue / Deferred Debts Or Expenses)"</f>
        <v>20 November 2024 - 19 December 2024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30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30" customHeight="1" spans="1:9">
      <c r="A22" s="95" t="s">
        <v>176</v>
      </c>
      <c r="B22" s="96" t="s">
        <v>66</v>
      </c>
      <c r="C22" s="119"/>
      <c r="D22" s="97" t="s">
        <v>144</v>
      </c>
      <c r="E22" s="120"/>
      <c r="F22" s="7">
        <v>0</v>
      </c>
      <c r="G22" s="7"/>
      <c r="H22" s="14"/>
      <c r="I22" s="47"/>
    </row>
    <row r="23" ht="30" customHeight="1" spans="1:9">
      <c r="A23" s="95" t="s">
        <v>177</v>
      </c>
      <c r="B23" s="96" t="s">
        <v>52</v>
      </c>
      <c r="C23" s="119"/>
      <c r="D23" s="97" t="s">
        <v>53</v>
      </c>
      <c r="E23" s="120"/>
      <c r="F23" s="7">
        <v>2405</v>
      </c>
      <c r="G23" s="7"/>
      <c r="H23" s="14"/>
      <c r="I23" s="47"/>
    </row>
    <row r="24" ht="127" customHeight="1" spans="1:9">
      <c r="A24" s="19" t="s">
        <v>178</v>
      </c>
      <c r="B24" s="21" t="s">
        <v>179</v>
      </c>
      <c r="C24" s="22"/>
      <c r="D24" s="21" t="s">
        <v>180</v>
      </c>
      <c r="E24" s="22"/>
      <c r="F24" s="41">
        <v>2612</v>
      </c>
      <c r="G24" s="42"/>
      <c r="H24" s="14"/>
      <c r="I24" s="47"/>
    </row>
    <row r="25" ht="170" customHeight="1" spans="1:9">
      <c r="A25" s="95" t="s">
        <v>181</v>
      </c>
      <c r="B25" s="96" t="s">
        <v>182</v>
      </c>
      <c r="C25" s="119"/>
      <c r="D25" s="96" t="s">
        <v>183</v>
      </c>
      <c r="E25" s="119"/>
      <c r="F25" s="7">
        <v>49.1</v>
      </c>
      <c r="G25" s="7"/>
      <c r="H25" s="14"/>
      <c r="I25" s="47"/>
    </row>
    <row r="26" ht="30" customHeight="1" spans="1:9">
      <c r="A26" s="95" t="s">
        <v>184</v>
      </c>
      <c r="B26" s="96" t="s">
        <v>185</v>
      </c>
      <c r="C26" s="119"/>
      <c r="D26" s="97" t="s">
        <v>186</v>
      </c>
      <c r="E26" s="120"/>
      <c r="F26" s="7">
        <v>300</v>
      </c>
      <c r="G26" s="7"/>
      <c r="H26" s="14"/>
      <c r="I26" s="47"/>
    </row>
    <row r="27" ht="30" customHeight="1" spans="1:9">
      <c r="A27" s="95" t="s">
        <v>187</v>
      </c>
      <c r="B27" s="96" t="s">
        <v>188</v>
      </c>
      <c r="C27" s="119"/>
      <c r="D27" s="96" t="s">
        <v>189</v>
      </c>
      <c r="E27" s="119"/>
      <c r="F27" s="7">
        <v>5.04</v>
      </c>
      <c r="G27" s="7"/>
      <c r="H27" s="14"/>
      <c r="I27" s="47"/>
    </row>
    <row r="28" ht="30" customHeight="1" spans="1:9">
      <c r="A28" s="24"/>
      <c r="B28" s="25"/>
      <c r="C28" s="26"/>
      <c r="D28" s="27" t="s">
        <v>54</v>
      </c>
      <c r="E28" s="44"/>
      <c r="F28" s="45">
        <f>SUM(F22:G27)</f>
        <v>5371.14</v>
      </c>
      <c r="G28" s="46"/>
      <c r="H28" s="14"/>
      <c r="I28" s="47"/>
    </row>
    <row r="29" ht="30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30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30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30" customHeight="1" spans="1:9">
      <c r="A32" s="15" t="str">
        <f>IF(Main!B2,TEXT(EDATE(Main!B3,8),"dd mmmm yyyy"),TEXT(Main!B3+((Main!B5-Main!B3)*8+8),"dd mmmm yyyy"))&amp;" - "&amp;IF(Main!B2,TEXT(EDATE(Main!B3,9)-1,"dd mmmm yyyy"),TEXT(Main!B3+((Main!B5-Main!B3)*9+8),"dd mmmm yyyy"))&amp;" / "&amp;" (Revenue / Deferred Debts Or Expenses)"</f>
        <v>20 December 2024 - 19 January 2025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30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30" customHeight="1" spans="1:9">
      <c r="A34" s="95" t="s">
        <v>190</v>
      </c>
      <c r="B34" s="126" t="s">
        <v>66</v>
      </c>
      <c r="C34" s="127"/>
      <c r="D34" s="97" t="s">
        <v>144</v>
      </c>
      <c r="E34" s="120"/>
      <c r="F34" s="7">
        <v>0</v>
      </c>
      <c r="G34" s="7"/>
      <c r="H34" s="14"/>
      <c r="I34" s="47"/>
    </row>
    <row r="35" ht="30" customHeight="1" spans="1:9">
      <c r="A35" s="95" t="s">
        <v>191</v>
      </c>
      <c r="B35" s="126" t="s">
        <v>52</v>
      </c>
      <c r="C35" s="127"/>
      <c r="D35" s="97" t="s">
        <v>53</v>
      </c>
      <c r="E35" s="120"/>
      <c r="F35" s="7">
        <v>2405</v>
      </c>
      <c r="G35" s="7"/>
      <c r="H35" s="14"/>
      <c r="I35" s="47"/>
    </row>
    <row r="36" ht="30" customHeight="1" spans="1:9">
      <c r="A36" s="95"/>
      <c r="B36" s="126" t="s">
        <v>192</v>
      </c>
      <c r="C36" s="127"/>
      <c r="D36" s="97" t="s">
        <v>193</v>
      </c>
      <c r="E36" s="120"/>
      <c r="F36" s="7">
        <v>900</v>
      </c>
      <c r="G36" s="7"/>
      <c r="H36" s="14"/>
      <c r="I36" s="48"/>
    </row>
    <row r="37" ht="210" customHeight="1" spans="1:9">
      <c r="A37" s="128" t="s">
        <v>194</v>
      </c>
      <c r="B37" s="129" t="s">
        <v>195</v>
      </c>
      <c r="C37" s="130"/>
      <c r="D37" s="129" t="s">
        <v>196</v>
      </c>
      <c r="E37" s="130"/>
      <c r="F37" s="41">
        <v>1282.54</v>
      </c>
      <c r="G37" s="42"/>
      <c r="H37" s="14"/>
      <c r="I37" s="47"/>
    </row>
    <row r="38" ht="30" customHeight="1" spans="1:9">
      <c r="A38" s="95" t="s">
        <v>191</v>
      </c>
      <c r="B38" s="126" t="s">
        <v>197</v>
      </c>
      <c r="C38" s="127"/>
      <c r="D38" s="126" t="s">
        <v>198</v>
      </c>
      <c r="E38" s="127"/>
      <c r="F38" s="7">
        <v>200</v>
      </c>
      <c r="G38" s="7"/>
      <c r="H38" s="14"/>
      <c r="I38" s="47"/>
    </row>
    <row r="39" ht="30" customHeight="1" spans="1:9">
      <c r="A39" s="95"/>
      <c r="B39" s="131" t="s">
        <v>199</v>
      </c>
      <c r="C39" s="132"/>
      <c r="D39" s="131" t="s">
        <v>200</v>
      </c>
      <c r="E39" s="132"/>
      <c r="F39" s="7">
        <v>229.6</v>
      </c>
      <c r="G39" s="7"/>
      <c r="H39" s="14"/>
      <c r="I39" s="47"/>
    </row>
    <row r="40" ht="30" customHeight="1" spans="1:9">
      <c r="A40" s="24"/>
      <c r="B40" s="25"/>
      <c r="C40" s="26"/>
      <c r="D40" s="27" t="s">
        <v>54</v>
      </c>
      <c r="E40" s="44"/>
      <c r="F40" s="45">
        <f>SUM(F34:G39)</f>
        <v>5017.14</v>
      </c>
      <c r="G40" s="46"/>
      <c r="H40" s="14"/>
      <c r="I40" s="47"/>
    </row>
    <row r="41" ht="30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30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30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30" customHeight="1" spans="1:9">
      <c r="A44" s="28" t="str">
        <f>"Fixed Expense For the Year "&amp;IF(Main!B2,TEXT(EDATE(Main!B3,6),"mmmm yyyy"),TEXT(Main!B3+((Main!B5-Main!B3)*6+6),"mmmm yyyy"))&amp;" to "&amp;IF(Main!B2,TEXT(EDATE(Main!B3,9)-1,"mmmm yyyy"),TEXT(Main!B3+((Main!B5-Main!B3)*9+8),"mmmm yyyy"))</f>
        <v>Fixed Expense For the Year October 2024 to January 2025</v>
      </c>
      <c r="B44" s="29"/>
      <c r="C44" s="30"/>
      <c r="D44" s="14"/>
      <c r="E44" s="14"/>
      <c r="F44" s="14"/>
      <c r="G44" s="14"/>
      <c r="H44" s="14"/>
      <c r="I44" s="47"/>
    </row>
    <row r="45" ht="30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30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30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0</v>
      </c>
      <c r="D47" s="14"/>
      <c r="E47" s="14"/>
      <c r="F47" s="14"/>
      <c r="G47" s="14"/>
      <c r="H47" s="14"/>
      <c r="I47" s="47"/>
    </row>
    <row r="48" ht="30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30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30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44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0</v>
      </c>
      <c r="D51" s="14"/>
      <c r="E51" s="14"/>
      <c r="F51" s="14"/>
      <c r="G51" s="14"/>
      <c r="H51" s="14"/>
      <c r="I51" s="47"/>
    </row>
    <row r="52" ht="30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30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30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30" customHeight="1" spans="1:9">
      <c r="A55" s="38"/>
      <c r="B55" s="39" t="s">
        <v>78</v>
      </c>
      <c r="C55" s="36">
        <f>SUM(C47:C54)</f>
        <v>149</v>
      </c>
      <c r="D55" s="14"/>
      <c r="E55" s="14"/>
      <c r="F55" s="14"/>
      <c r="G55" s="14"/>
      <c r="H55" s="14"/>
      <c r="I55" s="47"/>
    </row>
    <row r="56" ht="30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30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30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30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30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30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30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30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30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30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30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30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50.2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30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30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30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30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30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30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30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30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30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30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30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30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30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30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30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30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30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30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30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98">
        <v>200</v>
      </c>
      <c r="D87" s="14"/>
      <c r="E87" s="14"/>
      <c r="F87" s="14"/>
      <c r="G87" s="14"/>
      <c r="H87" s="14"/>
      <c r="I87" s="47"/>
    </row>
    <row r="88" ht="30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5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30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52</v>
      </c>
      <c r="D89" s="14"/>
      <c r="E89" s="14"/>
      <c r="F89" s="14"/>
      <c r="G89" s="14"/>
      <c r="H89" s="14"/>
      <c r="I89" s="47"/>
    </row>
    <row r="90" ht="30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98">
        <v>900</v>
      </c>
      <c r="D90" s="14"/>
      <c r="E90" s="67"/>
      <c r="F90" s="14"/>
      <c r="G90" s="14"/>
      <c r="H90" s="14"/>
      <c r="I90" s="47"/>
    </row>
    <row r="91" ht="30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30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30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30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30" customHeight="1" spans="1:9">
      <c r="A95" s="51"/>
      <c r="B95" s="39" t="s">
        <v>78</v>
      </c>
      <c r="C95" s="36">
        <f>SUM(C87:C94)</f>
        <v>1220</v>
      </c>
      <c r="D95" s="14"/>
      <c r="E95" s="14"/>
      <c r="F95" s="14"/>
      <c r="G95" s="14"/>
      <c r="H95" s="14"/>
      <c r="I95" s="47"/>
    </row>
    <row r="96" ht="30" customHeight="1" spans="1:9">
      <c r="A96" s="49"/>
      <c r="B96" s="39" t="s">
        <v>100</v>
      </c>
      <c r="C96" s="36">
        <f>C55+C66+C75+C85+C95</f>
        <v>1369</v>
      </c>
      <c r="D96" s="14"/>
      <c r="E96" s="14"/>
      <c r="F96" s="14"/>
      <c r="G96" s="14"/>
      <c r="H96" s="14"/>
      <c r="I96" s="47"/>
    </row>
    <row r="97" ht="30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30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INDIRECT("'"&amp;INDIRECT("Main!B12")&amp;"'!C98")+SUM(E118+E145+E172)</f>
        <v>-8300</v>
      </c>
      <c r="D98" s="14"/>
      <c r="E98" s="94"/>
      <c r="F98" s="14"/>
      <c r="G98" s="14"/>
      <c r="H98" s="14"/>
      <c r="I98" s="47"/>
    </row>
    <row r="99" ht="30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INDIRECT("'"&amp;INDIRECT("Main!B12")&amp;"'!C99")+SUM(E119+E146+E173)</f>
        <v>0</v>
      </c>
      <c r="D99" s="14"/>
      <c r="E99" s="14"/>
      <c r="F99" s="14"/>
      <c r="G99" s="14"/>
      <c r="H99" s="14"/>
      <c r="I99" s="47"/>
    </row>
    <row r="100" ht="30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134" cm="1">
        <f ca="1" t="array" ref="C100">INDIRECT("'"&amp;INDIRECT("Main!B12")&amp;"'!C100")+SUM(E120+E147+E174)</f>
        <v>-1300</v>
      </c>
      <c r="D100" s="14"/>
      <c r="E100" s="14"/>
      <c r="F100" s="14"/>
      <c r="G100" s="14"/>
      <c r="H100" s="14"/>
      <c r="I100" s="47"/>
    </row>
    <row r="101" ht="30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INDIRECT("'"&amp;INDIRECT("Main!B12")&amp;"'!C101")+SUM(E121+E148+E175)</f>
        <v>0</v>
      </c>
      <c r="D101" s="14"/>
      <c r="E101" s="14"/>
      <c r="F101" s="14"/>
      <c r="G101" s="14"/>
      <c r="H101" s="14"/>
      <c r="I101" s="47"/>
    </row>
    <row r="102" ht="30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INDIRECT("'"&amp;INDIRECT("Main!B12")&amp;"'!C102")+SUM(E122+E149+E176)</f>
        <v>0</v>
      </c>
      <c r="D102" s="14"/>
      <c r="E102" s="14"/>
      <c r="F102" s="14"/>
      <c r="G102" s="14"/>
      <c r="H102" s="14"/>
      <c r="I102" s="47"/>
    </row>
    <row r="103" ht="30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INDIRECT("'"&amp;INDIRECT("Main!B12")&amp;"'!C103")+SUM(E123+E150+E177)</f>
        <v>-1083</v>
      </c>
      <c r="D103" s="14"/>
      <c r="E103" s="14"/>
      <c r="F103" s="14"/>
      <c r="G103" s="14"/>
      <c r="H103" s="14"/>
      <c r="I103" s="47"/>
    </row>
    <row r="104" ht="30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INDIRECT("'"&amp;INDIRECT("Main!B12")&amp;"'!C104")+SUM(E124+E151+E178)</f>
        <v>0</v>
      </c>
      <c r="D104" s="14"/>
      <c r="E104" s="14"/>
      <c r="F104" s="14"/>
      <c r="G104" s="14"/>
      <c r="H104" s="14"/>
      <c r="I104" s="47"/>
    </row>
    <row r="105" ht="30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INDIRECT("'"&amp;INDIRECT("Main!B12")&amp;"'!C105")+SUM(E125+E152+E179)</f>
        <v>0</v>
      </c>
      <c r="D105" s="14"/>
      <c r="E105" s="14"/>
      <c r="F105" s="14"/>
      <c r="G105" s="14"/>
      <c r="H105" s="14"/>
      <c r="I105" s="47"/>
    </row>
    <row r="106" ht="30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INDIRECT("'"&amp;INDIRECT("Main!B12")&amp;"'!C106")+SUM(E126+E153+E180)</f>
        <v>0</v>
      </c>
      <c r="D106" s="14"/>
      <c r="E106" s="14"/>
      <c r="F106" s="14"/>
      <c r="G106" s="14"/>
      <c r="H106" s="14"/>
      <c r="I106" s="47"/>
    </row>
    <row r="107" ht="30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INDIRECT("'"&amp;INDIRECT("Main!B12")&amp;"'!C107")+SUM(E127+E154+E181)</f>
        <v>0</v>
      </c>
      <c r="D107" s="14"/>
      <c r="E107" s="14"/>
      <c r="F107" s="14"/>
      <c r="G107" s="14"/>
      <c r="H107" s="14"/>
      <c r="I107" s="47"/>
    </row>
    <row r="108" ht="30" customHeight="1" spans="1:9">
      <c r="A108" s="49"/>
      <c r="B108" s="39" t="s">
        <v>108</v>
      </c>
      <c r="C108" s="36">
        <f ca="1">SUM(C98:C107)</f>
        <v>-10683</v>
      </c>
      <c r="D108" s="14"/>
      <c r="E108" s="14"/>
      <c r="F108" s="14"/>
      <c r="G108" s="14"/>
      <c r="H108" s="14"/>
      <c r="I108" s="47"/>
    </row>
    <row r="109" ht="30" customHeight="1" spans="1:9">
      <c r="A109" s="49"/>
      <c r="B109" s="39" t="s">
        <v>109</v>
      </c>
      <c r="C109" s="36">
        <f ca="1">C108-C96</f>
        <v>-12052</v>
      </c>
      <c r="D109" s="14"/>
      <c r="E109" s="14"/>
      <c r="F109" s="14"/>
      <c r="G109" s="14"/>
      <c r="H109" s="14"/>
      <c r="I109" s="47"/>
    </row>
    <row r="110" ht="30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30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30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30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30" customHeight="1" spans="1:9">
      <c r="A114" s="52" t="str">
        <f>"Debts Or Credits For the Comming "&amp;IF(Main!B2,TEXT(EDATE(Main!B3,6),"mmmm dd yyyy"),TEXT(Main!B3+((Main!B5-Main!B3)*6+6),"mmmm dd yyyy"))&amp;" to "&amp;IF(Main!B2,TEXT(EDATE(Main!B3,7)-1,"mmmm dd yyyy"),TEXT(Main!B3+((Main!B5-Main!B3)*7+6),"mmmm dd yyyy"))</f>
        <v>Debts Or Credits For the Comming October 20 2024 to November 19 2024</v>
      </c>
      <c r="B114" s="53"/>
      <c r="C114" s="53"/>
      <c r="D114" s="53"/>
      <c r="E114" s="54"/>
      <c r="F114" s="14"/>
      <c r="G114" s="14"/>
      <c r="H114" s="14"/>
      <c r="I114" s="47"/>
    </row>
    <row r="115" ht="30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30" customHeight="1" spans="1:9">
      <c r="A116" s="55" t="str">
        <f>"Balance Brought Forward From "&amp;IF(Main!B2,TEXT(EDATE(Main!B3,6)-1,"mmmm yyyy"),TEXT(Main!B3+((Main!B5-Main!B3)*6+5),"mmmm yyyy"))</f>
        <v>Balance Brought Forward From October 2024</v>
      </c>
      <c r="B116" s="56"/>
      <c r="C116" s="57"/>
      <c r="D116" s="57"/>
      <c r="E116" s="87" cm="1">
        <f ca="1" t="array" ref="E116">INDIRECT("'"&amp;INDIRECT("Main!B12")&amp;"'!E190")</f>
        <v>502.71</v>
      </c>
      <c r="F116" s="14"/>
      <c r="G116" s="14"/>
      <c r="H116" s="14"/>
      <c r="I116" s="47"/>
    </row>
    <row r="117" ht="30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30" customHeight="1" spans="1:9">
      <c r="A118" s="62"/>
      <c r="B118" s="63"/>
      <c r="C118" s="112" t="s">
        <v>115</v>
      </c>
      <c r="D118" s="112"/>
      <c r="E118" s="98">
        <v>0</v>
      </c>
      <c r="F118" s="14"/>
      <c r="G118" s="14"/>
      <c r="H118" s="14"/>
      <c r="I118" s="47"/>
    </row>
    <row r="119" ht="30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30" customHeight="1" spans="1:9">
      <c r="A120" s="62"/>
      <c r="B120" s="63"/>
      <c r="C120" s="112" t="s">
        <v>201</v>
      </c>
      <c r="D120" s="112"/>
      <c r="E120" s="98">
        <v>200</v>
      </c>
      <c r="F120" s="14"/>
      <c r="G120" s="14"/>
      <c r="H120" s="14"/>
      <c r="I120" s="47"/>
    </row>
    <row r="121" ht="30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30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30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30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30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30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30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30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89" customHeight="1" spans="1:9">
      <c r="A129" s="62"/>
      <c r="B129" s="63"/>
      <c r="C129" s="100" t="s">
        <v>202</v>
      </c>
      <c r="D129" s="100"/>
      <c r="E129" s="98">
        <v>651.7</v>
      </c>
      <c r="F129" s="14"/>
      <c r="G129" s="14"/>
      <c r="H129" s="14"/>
      <c r="I129" s="47"/>
    </row>
    <row r="130" ht="30" customHeight="1" spans="1:9">
      <c r="A130" s="62"/>
      <c r="B130" s="63"/>
      <c r="C130" s="112" t="s">
        <v>203</v>
      </c>
      <c r="D130" s="112"/>
      <c r="E130" s="98">
        <v>58</v>
      </c>
      <c r="F130" s="14"/>
      <c r="G130" s="14"/>
      <c r="H130" s="14"/>
      <c r="I130" s="47"/>
    </row>
    <row r="131" ht="30" customHeight="1" spans="1:9">
      <c r="A131" s="62"/>
      <c r="B131" s="63"/>
      <c r="C131" s="112" t="s">
        <v>204</v>
      </c>
      <c r="D131" s="112"/>
      <c r="E131" s="98">
        <v>600</v>
      </c>
      <c r="F131" s="14"/>
      <c r="G131" s="14"/>
      <c r="H131" s="14"/>
      <c r="I131" s="47"/>
    </row>
    <row r="132" ht="30" customHeight="1" spans="1:9">
      <c r="A132" s="62"/>
      <c r="B132" s="63"/>
      <c r="C132" s="135" t="s">
        <v>157</v>
      </c>
      <c r="D132" s="135"/>
      <c r="E132" s="98">
        <v>291.85</v>
      </c>
      <c r="F132" s="14"/>
      <c r="G132" s="14"/>
      <c r="H132" s="14"/>
      <c r="I132" s="47"/>
    </row>
    <row r="133" ht="30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30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30" customHeight="1" spans="1:9">
      <c r="A135" s="55" t="s">
        <v>113</v>
      </c>
      <c r="B135" s="76"/>
      <c r="C135" s="77"/>
      <c r="D135" s="78"/>
      <c r="E135" s="86">
        <f>C96</f>
        <v>1369</v>
      </c>
      <c r="F135" s="14"/>
      <c r="G135" s="14"/>
      <c r="H135" s="14"/>
      <c r="I135" s="47"/>
    </row>
    <row r="136" ht="30" customHeight="1" spans="1:9">
      <c r="A136" s="79"/>
      <c r="B136" s="80"/>
      <c r="C136" s="81" t="s">
        <v>114</v>
      </c>
      <c r="D136" s="81"/>
      <c r="E136" s="87">
        <f ca="1">(F16+E116)-(SUM(E118:E127)+SUM(E129:E135))</f>
        <v>125.16</v>
      </c>
      <c r="F136" s="14"/>
      <c r="G136" s="14"/>
      <c r="H136" s="14"/>
      <c r="I136" s="47"/>
    </row>
    <row r="137" ht="30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30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30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30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30" customHeight="1" spans="1:9">
      <c r="A141" s="52" t="str">
        <f>"Debts Or Credits For the Comming "&amp;IF(Main!B2,TEXT(EDATE(Main!B3,7),"mmmm dd yyyy"),TEXT(Main!B3+((Main!B5-Main!B3)*7+7),"dd mmmm yyyy"))&amp;" to "&amp;IF(Main!B2,TEXT(EDATE(Main!B3,8)-1,"mmmm dd yyyy"),TEXT(Main!B3+((Main!B5-Main!B3)*8+7),"mmmm dd yyyy"))</f>
        <v>Debts Or Credits For the Comming November 20 2024 to December 19 2024</v>
      </c>
      <c r="B141" s="53"/>
      <c r="C141" s="53"/>
      <c r="D141" s="53"/>
      <c r="E141" s="54"/>
      <c r="F141" s="14"/>
      <c r="G141" s="14"/>
      <c r="H141" s="14"/>
      <c r="I141" s="47"/>
    </row>
    <row r="142" ht="30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30" customHeight="1" spans="1:9">
      <c r="A143" s="55" t="str">
        <f>"Balance Brought Forward From "&amp;IF(Main!B2,TEXT(EDATE(Main!B3,7)-1,"mmmm yyyy"),TEXT(Main!B3+((Main!B5-Main!B3)*7+6),"mmmm yyyy"))</f>
        <v>Balance Brought Forward From November 2024</v>
      </c>
      <c r="B143" s="56"/>
      <c r="C143" s="57"/>
      <c r="D143" s="57"/>
      <c r="E143" s="87">
        <f ca="1">E136</f>
        <v>125.16</v>
      </c>
      <c r="F143" s="14"/>
      <c r="G143" s="14"/>
      <c r="H143" s="14"/>
      <c r="I143" s="47"/>
    </row>
    <row r="144" ht="30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30" customHeight="1" spans="1:9">
      <c r="A145" s="62"/>
      <c r="B145" s="63"/>
      <c r="C145" s="100" t="s">
        <v>205</v>
      </c>
      <c r="D145" s="100"/>
      <c r="E145" s="98">
        <v>0</v>
      </c>
      <c r="F145" s="14"/>
      <c r="G145" s="14"/>
      <c r="H145" s="14"/>
      <c r="I145" s="47"/>
    </row>
    <row r="146" ht="30" customHeight="1" spans="1:9">
      <c r="A146" s="62"/>
      <c r="B146" s="63"/>
      <c r="C146" s="64"/>
      <c r="D146" s="65"/>
      <c r="E146" s="141">
        <v>0</v>
      </c>
      <c r="F146" s="14"/>
      <c r="G146" s="14"/>
      <c r="H146" s="14"/>
      <c r="I146" s="47"/>
    </row>
    <row r="147" ht="30" customHeight="1" spans="1:9">
      <c r="A147" s="62"/>
      <c r="B147" s="63"/>
      <c r="C147" s="112" t="s">
        <v>206</v>
      </c>
      <c r="D147" s="112"/>
      <c r="E147" s="98">
        <v>300</v>
      </c>
      <c r="F147" s="14"/>
      <c r="G147" s="14"/>
      <c r="H147" s="14"/>
      <c r="I147" s="47"/>
    </row>
    <row r="148" ht="30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30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30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30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30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30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30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30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310" customHeight="1" spans="1:9">
      <c r="A156" s="62"/>
      <c r="B156" s="63"/>
      <c r="C156" s="100" t="s">
        <v>207</v>
      </c>
      <c r="D156" s="100"/>
      <c r="E156" s="98">
        <v>3389</v>
      </c>
      <c r="F156" s="14"/>
      <c r="G156" s="14"/>
      <c r="H156" s="14"/>
      <c r="I156" s="47"/>
    </row>
    <row r="157" ht="30" customHeight="1" spans="1:9">
      <c r="A157" s="62"/>
      <c r="B157" s="63"/>
      <c r="C157" s="100" t="s">
        <v>208</v>
      </c>
      <c r="D157" s="100"/>
      <c r="E157" s="98">
        <v>200</v>
      </c>
      <c r="F157" s="14"/>
      <c r="G157" s="14"/>
      <c r="H157" s="14"/>
      <c r="I157" s="47"/>
    </row>
    <row r="158" ht="30" customHeight="1" spans="1:9">
      <c r="A158" s="62"/>
      <c r="B158" s="63"/>
      <c r="C158" s="136" t="s">
        <v>157</v>
      </c>
      <c r="D158" s="136"/>
      <c r="E158" s="98">
        <v>8.9</v>
      </c>
      <c r="F158" s="14"/>
      <c r="G158" s="14"/>
      <c r="H158" s="14"/>
      <c r="I158" s="47"/>
    </row>
    <row r="159" ht="30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30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30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30" customHeight="1" spans="1:9">
      <c r="A162" s="55" t="s">
        <v>113</v>
      </c>
      <c r="B162" s="76"/>
      <c r="C162" s="77"/>
      <c r="D162" s="78"/>
      <c r="E162" s="86">
        <f>C96</f>
        <v>1369</v>
      </c>
      <c r="F162" s="14"/>
      <c r="G162" s="14"/>
      <c r="H162" s="14"/>
      <c r="I162" s="47"/>
    </row>
    <row r="163" ht="30" customHeight="1" spans="1:9">
      <c r="A163" s="79"/>
      <c r="B163" s="80"/>
      <c r="C163" s="81" t="s">
        <v>114</v>
      </c>
      <c r="D163" s="81"/>
      <c r="E163" s="90">
        <f ca="1">(F28+E143)-(SUM(E145:E154)+SUM(E156:E162))</f>
        <v>229.400000000001</v>
      </c>
      <c r="F163" s="14"/>
      <c r="G163" s="14"/>
      <c r="H163" s="14"/>
      <c r="I163" s="47"/>
    </row>
    <row r="164" ht="30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30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30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30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30" customHeight="1" spans="1:9">
      <c r="A168" s="52" t="str">
        <f>"Debts Or Credits For the Comming "&amp;IF(Main!B2,TEXT(EDATE(Main!B3,8),"mmmm dd yyyy"),TEXT(Main!B3+((Main!B5-Main!B3)*8+8),"mmmm dd yyyy"))&amp;" to "&amp;IF(Main!B2,TEXT(EDATE(Main!B3,9)-1,"mmmm dd yyyy"),TEXT(Main!B3+((Main!B5-Main!B3)*9+8),"mmmm dd yyyy"))</f>
        <v>Debts Or Credits For the Comming December 20 2024 to January 19 2025</v>
      </c>
      <c r="B168" s="53"/>
      <c r="C168" s="53"/>
      <c r="D168" s="53"/>
      <c r="E168" s="54"/>
      <c r="F168" s="14"/>
      <c r="G168" s="14"/>
      <c r="H168" s="14"/>
      <c r="I168" s="47"/>
    </row>
    <row r="169" ht="30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30" customHeight="1" spans="1:9">
      <c r="A170" s="55" t="str">
        <f>"Balance Brought Forward From "&amp;IF(Main!B2,TEXT(EDATE(Main!B3,8)-1,"mmmm yyyy"),TEXT(Main!B3+((Main!B5-Main!B3)*8+7),"mmmm yyyy"))</f>
        <v>Balance Brought Forward From December 2024</v>
      </c>
      <c r="B170" s="56"/>
      <c r="C170" s="57"/>
      <c r="D170" s="57"/>
      <c r="E170" s="90">
        <f ca="1">E163</f>
        <v>229.400000000001</v>
      </c>
      <c r="F170" s="14"/>
      <c r="G170" s="14"/>
      <c r="H170" s="14"/>
      <c r="I170" s="47"/>
    </row>
    <row r="171" ht="30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30" customHeight="1" spans="1:9">
      <c r="A172" s="62"/>
      <c r="B172" s="63"/>
      <c r="C172" s="137" t="s">
        <v>115</v>
      </c>
      <c r="D172" s="137"/>
      <c r="E172" s="98">
        <v>0</v>
      </c>
      <c r="F172" s="14"/>
      <c r="G172" s="14"/>
      <c r="H172" s="14"/>
      <c r="I172" s="47"/>
    </row>
    <row r="173" ht="30" customHeight="1" spans="1:9">
      <c r="A173" s="62"/>
      <c r="B173" s="63"/>
      <c r="C173" s="138"/>
      <c r="D173" s="139"/>
      <c r="E173" s="141">
        <v>0</v>
      </c>
      <c r="F173" s="14"/>
      <c r="G173" s="14"/>
      <c r="H173" s="14"/>
      <c r="I173" s="47"/>
    </row>
    <row r="174" ht="30" customHeight="1" spans="1:9">
      <c r="A174" s="62"/>
      <c r="B174" s="63"/>
      <c r="C174" s="137" t="s">
        <v>158</v>
      </c>
      <c r="D174" s="137"/>
      <c r="E174" s="98">
        <v>500</v>
      </c>
      <c r="F174" s="14"/>
      <c r="G174" s="14"/>
      <c r="H174" s="14"/>
      <c r="I174" s="47"/>
    </row>
    <row r="175" ht="30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30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30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30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30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30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30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30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49" customHeight="1" spans="1:9">
      <c r="A183" s="62"/>
      <c r="B183" s="63"/>
      <c r="C183" s="137" t="s">
        <v>209</v>
      </c>
      <c r="D183" s="137"/>
      <c r="E183" s="98">
        <v>351</v>
      </c>
      <c r="F183" s="14"/>
      <c r="G183" s="14"/>
      <c r="H183" s="14"/>
      <c r="I183" s="47"/>
    </row>
    <row r="184" ht="49" customHeight="1" spans="1:9">
      <c r="A184" s="62"/>
      <c r="B184" s="63"/>
      <c r="C184" s="137" t="s">
        <v>210</v>
      </c>
      <c r="D184" s="137"/>
      <c r="E184" s="98">
        <v>370</v>
      </c>
      <c r="F184" s="14"/>
      <c r="G184" s="14"/>
      <c r="H184" s="14"/>
      <c r="I184" s="47"/>
    </row>
    <row r="185" ht="150" customHeight="1" spans="1:9">
      <c r="A185" s="62"/>
      <c r="B185" s="63"/>
      <c r="C185" s="137" t="s">
        <v>211</v>
      </c>
      <c r="D185" s="137"/>
      <c r="E185" s="98">
        <v>1182.5</v>
      </c>
      <c r="F185" s="14"/>
      <c r="G185" s="14"/>
      <c r="H185" s="14"/>
      <c r="I185" s="47"/>
    </row>
    <row r="186" ht="409" customHeight="1" spans="1:9">
      <c r="A186" s="62"/>
      <c r="B186" s="63"/>
      <c r="C186" s="137" t="s">
        <v>212</v>
      </c>
      <c r="D186" s="137"/>
      <c r="E186" s="98">
        <v>1232.7</v>
      </c>
      <c r="F186" s="14"/>
      <c r="G186" s="14"/>
      <c r="H186" s="14"/>
      <c r="I186" s="47"/>
    </row>
    <row r="187" ht="30" customHeight="1" spans="1:9">
      <c r="A187" s="62"/>
      <c r="B187" s="63"/>
      <c r="C187" s="140" t="s">
        <v>157</v>
      </c>
      <c r="D187" s="137"/>
      <c r="E187" s="98">
        <v>68</v>
      </c>
      <c r="F187" s="14"/>
      <c r="G187" s="14"/>
      <c r="H187" s="14"/>
      <c r="I187" s="47"/>
    </row>
    <row r="188" ht="30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1369</v>
      </c>
      <c r="F189" s="14"/>
      <c r="G189" s="14"/>
      <c r="H189" s="14"/>
      <c r="I189" s="47"/>
    </row>
    <row r="190" ht="30" customHeight="1" spans="1:9">
      <c r="A190" s="79"/>
      <c r="B190" s="80"/>
      <c r="C190" s="81" t="s">
        <v>114</v>
      </c>
      <c r="D190" s="81"/>
      <c r="E190" s="90">
        <f ca="1">(F40+E170)-(SUM(E172:E181)+SUM(E183:E189))</f>
        <v>173.340000000001</v>
      </c>
      <c r="F190" s="14"/>
      <c r="G190" s="14"/>
      <c r="H190" s="14"/>
      <c r="I190" s="47"/>
    </row>
    <row r="191" ht="30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30" customHeight="1"/>
  </sheetData>
  <sheetProtection sheet="1" formatCells="0" formatColumns="0" formatRows="0" objects="1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44:B161"/>
    <mergeCell ref="A171:B188"/>
    <mergeCell ref="A117:B134"/>
  </mergeCells>
  <conditionalFormatting sqref="C5">
    <cfRule type="cellIs" dxfId="0" priority="42" operator="greaterThanOrEqual">
      <formula>0</formula>
    </cfRule>
    <cfRule type="cellIs" dxfId="1" priority="41" operator="lessThan">
      <formula>0</formula>
    </cfRule>
  </conditionalFormatting>
  <conditionalFormatting sqref="C75">
    <cfRule type="cellIs" dxfId="0" priority="85" operator="equal">
      <formula>0</formula>
    </cfRule>
    <cfRule type="cellIs" dxfId="1" priority="84" operator="greaterThan">
      <formula>0</formula>
    </cfRule>
  </conditionalFormatting>
  <conditionalFormatting sqref="C77">
    <cfRule type="cellIs" dxfId="0" priority="83" operator="equal">
      <formula>0</formula>
    </cfRule>
    <cfRule type="cellIs" dxfId="1" priority="82" operator="greaterThan">
      <formula>0</formula>
    </cfRule>
  </conditionalFormatting>
  <conditionalFormatting sqref="C108">
    <cfRule type="cellIs" dxfId="0" priority="44" operator="greaterThanOrEqual">
      <formula>0</formula>
    </cfRule>
    <cfRule type="cellIs" dxfId="1" priority="43" operator="lessThan">
      <formula>0</formula>
    </cfRule>
  </conditionalFormatting>
  <conditionalFormatting sqref="C109">
    <cfRule type="cellIs" dxfId="0" priority="40" operator="greaterThanOrEqual">
      <formula>0</formula>
    </cfRule>
    <cfRule type="cellIs" dxfId="1" priority="39" operator="lessThan">
      <formula>0</formula>
    </cfRule>
  </conditionalFormatting>
  <conditionalFormatting sqref="E116">
    <cfRule type="cellIs" dxfId="4" priority="46" operator="greaterThanOrEqual">
      <formula>0</formula>
    </cfRule>
    <cfRule type="cellIs" dxfId="5" priority="45" operator="lessThan">
      <formula>0</formula>
    </cfRule>
  </conditionalFormatting>
  <conditionalFormatting sqref="E118">
    <cfRule type="cellIs" dxfId="7" priority="36" operator="equal">
      <formula>0</formula>
    </cfRule>
    <cfRule type="cellIs" dxfId="6" priority="35" operator="equal">
      <formula>0</formula>
    </cfRule>
  </conditionalFormatting>
  <conditionalFormatting sqref="E120">
    <cfRule type="cellIs" dxfId="7" priority="34" operator="equal">
      <formula>0</formula>
    </cfRule>
    <cfRule type="cellIs" dxfId="6" priority="33" operator="equal">
      <formula>0</formula>
    </cfRule>
  </conditionalFormatting>
  <conditionalFormatting sqref="E129">
    <cfRule type="cellIs" dxfId="7" priority="32" operator="equal">
      <formula>0</formula>
    </cfRule>
    <cfRule type="cellIs" dxfId="6" priority="31" operator="equal">
      <formula>0</formula>
    </cfRule>
  </conditionalFormatting>
  <conditionalFormatting sqref="E136">
    <cfRule type="cellIs" dxfId="4" priority="77" operator="greaterThanOrEqual">
      <formula>0</formula>
    </cfRule>
    <cfRule type="cellIs" dxfId="5" priority="76" operator="lessThan">
      <formula>0</formula>
    </cfRule>
  </conditionalFormatting>
  <conditionalFormatting sqref="E143">
    <cfRule type="cellIs" dxfId="4" priority="64" operator="greaterThanOrEqual">
      <formula>0</formula>
    </cfRule>
    <cfRule type="cellIs" dxfId="5" priority="63" operator="lessThan">
      <formula>0</formula>
    </cfRule>
  </conditionalFormatting>
  <conditionalFormatting sqref="E145">
    <cfRule type="cellIs" dxfId="7" priority="26" operator="equal">
      <formula>0</formula>
    </cfRule>
    <cfRule type="cellIs" dxfId="6" priority="25" operator="equal">
      <formula>0</formula>
    </cfRule>
  </conditionalFormatting>
  <conditionalFormatting sqref="E146">
    <cfRule type="cellIs" dxfId="0" priority="28" operator="equal">
      <formula>0</formula>
    </cfRule>
    <cfRule type="cellIs" dxfId="1" priority="27" operator="greaterThan">
      <formula>0</formula>
    </cfRule>
  </conditionalFormatting>
  <conditionalFormatting sqref="E147">
    <cfRule type="cellIs" dxfId="7" priority="24" operator="equal">
      <formula>0</formula>
    </cfRule>
    <cfRule type="cellIs" dxfId="6" priority="23" operator="equal">
      <formula>0</formula>
    </cfRule>
  </conditionalFormatting>
  <conditionalFormatting sqref="E156">
    <cfRule type="cellIs" dxfId="7" priority="22" operator="equal">
      <formula>0</formula>
    </cfRule>
    <cfRule type="cellIs" dxfId="6" priority="21" operator="equal">
      <formula>0</formula>
    </cfRule>
  </conditionalFormatting>
  <conditionalFormatting sqref="E157">
    <cfRule type="cellIs" dxfId="7" priority="20" operator="equal">
      <formula>0</formula>
    </cfRule>
    <cfRule type="cellIs" dxfId="6" priority="19" operator="equal">
      <formula>0</formula>
    </cfRule>
  </conditionalFormatting>
  <conditionalFormatting sqref="E158">
    <cfRule type="cellIs" dxfId="7" priority="18" operator="equal">
      <formula>0</formula>
    </cfRule>
    <cfRule type="cellIs" dxfId="6" priority="17" operator="equal">
      <formula>0</formula>
    </cfRule>
  </conditionalFormatting>
  <conditionalFormatting sqref="E163">
    <cfRule type="cellIs" dxfId="4" priority="66" operator="greaterThanOrEqual">
      <formula>0</formula>
    </cfRule>
    <cfRule type="cellIs" dxfId="5" priority="65" operator="lessThan">
      <formula>0</formula>
    </cfRule>
  </conditionalFormatting>
  <conditionalFormatting sqref="E170">
    <cfRule type="cellIs" dxfId="4" priority="58" operator="greaterThanOrEqual">
      <formula>0</formula>
    </cfRule>
    <cfRule type="cellIs" dxfId="5" priority="57" operator="lessThan">
      <formula>0</formula>
    </cfRule>
  </conditionalFormatting>
  <conditionalFormatting sqref="E172">
    <cfRule type="cellIs" dxfId="7" priority="14" operator="equal">
      <formula>0</formula>
    </cfRule>
    <cfRule type="cellIs" dxfId="6" priority="13" operator="equal">
      <formula>0</formula>
    </cfRule>
  </conditionalFormatting>
  <conditionalFormatting sqref="E173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E174">
    <cfRule type="cellIs" dxfId="7" priority="12" operator="equal">
      <formula>0</formula>
    </cfRule>
    <cfRule type="cellIs" dxfId="6" priority="11" operator="equal">
      <formula>0</formula>
    </cfRule>
  </conditionalFormatting>
  <conditionalFormatting sqref="E183">
    <cfRule type="cellIs" dxfId="7" priority="10" operator="equal">
      <formula>0</formula>
    </cfRule>
    <cfRule type="cellIs" dxfId="6" priority="9" operator="equal">
      <formula>0</formula>
    </cfRule>
  </conditionalFormatting>
  <conditionalFormatting sqref="E184">
    <cfRule type="cellIs" dxfId="7" priority="8" operator="equal">
      <formula>0</formula>
    </cfRule>
    <cfRule type="cellIs" dxfId="6" priority="7" operator="equal">
      <formula>0</formula>
    </cfRule>
  </conditionalFormatting>
  <conditionalFormatting sqref="E185">
    <cfRule type="cellIs" dxfId="7" priority="6" operator="equal">
      <formula>0</formula>
    </cfRule>
    <cfRule type="cellIs" dxfId="6" priority="5" operator="equal">
      <formula>0</formula>
    </cfRule>
  </conditionalFormatting>
  <conditionalFormatting sqref="E186">
    <cfRule type="cellIs" dxfId="7" priority="4" operator="equal">
      <formula>0</formula>
    </cfRule>
    <cfRule type="cellIs" dxfId="6" priority="3" operator="equal">
      <formula>0</formula>
    </cfRule>
  </conditionalFormatting>
  <conditionalFormatting sqref="E187">
    <cfRule type="cellIs" dxfId="7" priority="2" operator="equal">
      <formula>0</formula>
    </cfRule>
    <cfRule type="cellIs" dxfId="6" priority="1" operator="equal">
      <formula>0</formula>
    </cfRule>
  </conditionalFormatting>
  <conditionalFormatting sqref="E190">
    <cfRule type="cellIs" dxfId="4" priority="60" operator="greaterThanOrEqual">
      <formula>0</formula>
    </cfRule>
    <cfRule type="cellIs" dxfId="5" priority="59" operator="lessThan">
      <formula>0</formula>
    </cfRule>
  </conditionalFormatting>
  <conditionalFormatting sqref="C57:C66">
    <cfRule type="cellIs" dxfId="0" priority="89" operator="equal">
      <formula>0</formula>
    </cfRule>
    <cfRule type="cellIs" dxfId="1" priority="88" operator="greaterThan">
      <formula>0</formula>
    </cfRule>
  </conditionalFormatting>
  <conditionalFormatting sqref="C68:C69">
    <cfRule type="cellIs" dxfId="0" priority="87" operator="equal">
      <formula>0</formula>
    </cfRule>
    <cfRule type="cellIs" dxfId="1" priority="86" operator="greaterThan">
      <formula>0</formula>
    </cfRule>
  </conditionalFormatting>
  <conditionalFormatting sqref="C70:C74">
    <cfRule type="cellIs" dxfId="0" priority="75" operator="equal">
      <formula>0</formula>
    </cfRule>
    <cfRule type="cellIs" dxfId="1" priority="74" operator="greaterThan">
      <formula>0</formula>
    </cfRule>
  </conditionalFormatting>
  <conditionalFormatting sqref="C80:C84">
    <cfRule type="cellIs" dxfId="0" priority="73" operator="equal">
      <formula>0</formula>
    </cfRule>
    <cfRule type="cellIs" dxfId="1" priority="72" operator="greaterThan">
      <formula>0</formula>
    </cfRule>
  </conditionalFormatting>
  <conditionalFormatting sqref="C87:C90">
    <cfRule type="cellIs" dxfId="6" priority="38" operator="equal">
      <formula>0</formula>
    </cfRule>
    <cfRule type="cellIs" dxfId="7" priority="37" operator="equal">
      <formula>0</formula>
    </cfRule>
  </conditionalFormatting>
  <conditionalFormatting sqref="C91:C94">
    <cfRule type="cellIs" dxfId="0" priority="71" operator="equal">
      <formula>0</formula>
    </cfRule>
    <cfRule type="cellIs" dxfId="1" priority="70" operator="greaterThan">
      <formula>0</formula>
    </cfRule>
  </conditionalFormatting>
  <conditionalFormatting sqref="C98:C107">
    <cfRule type="cellIs" dxfId="1" priority="54" operator="lessThan">
      <formula>0</formula>
    </cfRule>
    <cfRule type="cellIs" dxfId="3" priority="53" operator="greaterThanOrEqual">
      <formula>0</formula>
    </cfRule>
  </conditionalFormatting>
  <conditionalFormatting sqref="E130:E132">
    <cfRule type="cellIs" dxfId="7" priority="30" operator="equal">
      <formula>0</formula>
    </cfRule>
    <cfRule type="cellIs" dxfId="6" priority="29" operator="equal">
      <formula>0</formula>
    </cfRule>
  </conditionalFormatting>
  <conditionalFormatting sqref="E148:E154">
    <cfRule type="cellIs" dxfId="0" priority="50" operator="equal">
      <formula>0</formula>
    </cfRule>
    <cfRule type="cellIs" dxfId="1" priority="49" operator="greaterThan">
      <formula>0</formula>
    </cfRule>
  </conditionalFormatting>
  <conditionalFormatting sqref="E175:E181">
    <cfRule type="cellIs" dxfId="0" priority="48" operator="equal">
      <formula>0</formula>
    </cfRule>
    <cfRule type="cellIs" dxfId="1" priority="47" operator="greaterThan">
      <formula>0</formula>
    </cfRule>
  </conditionalFormatting>
  <conditionalFormatting sqref="C47:C55 C85 C78:C79 C95:C96">
    <cfRule type="cellIs" dxfId="0" priority="91" operator="equal">
      <formula>0</formula>
    </cfRule>
  </conditionalFormatting>
  <conditionalFormatting sqref="C47:C55 C85 C78:C79 C95:C96 E144 E155 E159:E162">
    <cfRule type="cellIs" dxfId="1" priority="90" operator="greaterThan">
      <formula>0</formula>
    </cfRule>
  </conditionalFormatting>
  <conditionalFormatting sqref="E117 E128 E133:E135">
    <cfRule type="cellIs" dxfId="0" priority="79" operator="equal">
      <formula>0</formula>
    </cfRule>
    <cfRule type="cellIs" dxfId="1" priority="78" operator="greaterThan">
      <formula>0</formula>
    </cfRule>
  </conditionalFormatting>
  <conditionalFormatting sqref="E119 E121:E127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E144 E155 E159:E162">
    <cfRule type="cellIs" dxfId="3" priority="67" operator="equal">
      <formula>0</formula>
    </cfRule>
  </conditionalFormatting>
  <conditionalFormatting sqref="E171 E182 E188:E189">
    <cfRule type="cellIs" dxfId="3" priority="62" operator="equal">
      <formula>0</formula>
    </cfRule>
    <cfRule type="cellIs" dxfId="1" priority="61" operator="greaterThan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31" workbookViewId="0">
      <selection activeCell="E184" sqref="E184"/>
    </sheetView>
  </sheetViews>
  <sheetFormatPr defaultColWidth="9" defaultRowHeight="17.6"/>
  <cols>
    <col min="1" max="1" width="24.8819444444444" customWidth="1"/>
    <col min="2" max="2" width="24.25" customWidth="1"/>
    <col min="3" max="3" width="28.125" customWidth="1"/>
    <col min="4" max="7" width="20.625" customWidth="1"/>
  </cols>
  <sheetData>
    <row r="1" ht="24.75" customHeight="1" spans="1:9">
      <c r="A1" s="1" t="str">
        <f>"Forecasts For the Year "&amp;IF(Main!B2,TEXT(EDATE(Main!B3,9),"mmmm yyyy"),TEXT(Main!B3+((Main!B5-Main!B3)*9+9),"mmmm yyyy"))&amp;" to "&amp;IF(Main!B2,TEXT(EDATE(Main!B3,12)-1,"mmmm yyyy"),TEXT(Main!B3+((Main!B5-Main!B3)*12+11),"mmmm yyyy"))</f>
        <v>Forecasts For the Year January 2025 to April 2025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166.500000000001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1348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-6983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IF(Main!B2,TEXT(EDATE(Main!B3,9),"dd mmmm yyyy"),TEXT(Main!B3+((Main!B5-Main!B3)*9+9),"dd mmmm yyyy"))&amp;" - "&amp;IF(Main!B2,TEXT(EDATE(Main!B3,10)-1,"dd mmmm yyyy"),TEXT(Main!B3+((Main!B5-Main!B3)*10+9),"dd mmmm yyyy"))&amp;" / "&amp;" (Revenue / Deferred Debts Or Expenses)"</f>
        <v>20 January 2025 - 19 February 2025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 t="s">
        <v>213</v>
      </c>
      <c r="B10" s="96" t="s">
        <v>52</v>
      </c>
      <c r="C10" s="119"/>
      <c r="D10" s="97" t="s">
        <v>53</v>
      </c>
      <c r="E10" s="120"/>
      <c r="F10" s="7">
        <v>2405</v>
      </c>
      <c r="G10" s="7"/>
      <c r="H10" s="14"/>
      <c r="I10" s="47"/>
    </row>
    <row r="11" ht="24.75" customHeight="1" spans="1:9">
      <c r="A11" s="95" t="s">
        <v>214</v>
      </c>
      <c r="B11" s="96" t="s">
        <v>66</v>
      </c>
      <c r="C11" s="119"/>
      <c r="D11" s="97" t="s">
        <v>144</v>
      </c>
      <c r="E11" s="120"/>
      <c r="F11" s="7">
        <v>0</v>
      </c>
      <c r="G11" s="7"/>
      <c r="H11" s="14"/>
      <c r="I11" s="47"/>
    </row>
    <row r="12" ht="135" customHeight="1" spans="1:9">
      <c r="A12" s="19" t="s">
        <v>215</v>
      </c>
      <c r="B12" s="21" t="s">
        <v>216</v>
      </c>
      <c r="C12" s="22"/>
      <c r="D12" s="21" t="s">
        <v>217</v>
      </c>
      <c r="E12" s="22"/>
      <c r="F12" s="41">
        <v>2506.5</v>
      </c>
      <c r="G12" s="42"/>
      <c r="H12" s="14"/>
      <c r="I12" s="47"/>
    </row>
    <row r="13" ht="95" customHeight="1" spans="1:9">
      <c r="A13" s="19" t="s">
        <v>218</v>
      </c>
      <c r="B13" s="21" t="s">
        <v>219</v>
      </c>
      <c r="C13" s="22"/>
      <c r="D13" s="21" t="s">
        <v>220</v>
      </c>
      <c r="E13" s="22"/>
      <c r="F13" s="41">
        <v>18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4929.5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IF(Main!B2,TEXT(EDATE(Main!B3,10),"dd mmmm yyyy"),TEXT(Main!B3+((Main!B5-Main!B3)*10+10),"dd mmmm yyyy"))&amp;" - "&amp;IF(Main!B2,TEXT(EDATE(Main!B3,11)-1,"dd mmmm yyyy"),TEXT(Main!B3+((Main!B5-Main!B3)*11+10),"dd mmmm yyyy"))&amp;" / "&amp;" (Revenue / Deferred Debts Or Expenses)"</f>
        <v>20 February 2025 - 19 March 2025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 t="s">
        <v>221</v>
      </c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222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24.75" customHeight="1" spans="1:9">
      <c r="A25" s="95"/>
      <c r="B25" s="96" t="s">
        <v>225</v>
      </c>
      <c r="C25" s="96"/>
      <c r="D25" s="97" t="s">
        <v>226</v>
      </c>
      <c r="E25" s="97"/>
      <c r="F25" s="7">
        <v>50</v>
      </c>
      <c r="G25" s="7"/>
      <c r="H25" s="14"/>
      <c r="I25" s="47"/>
    </row>
    <row r="26" ht="71" customHeight="1" spans="1:9">
      <c r="A26" s="19" t="s">
        <v>227</v>
      </c>
      <c r="B26" s="104" t="s">
        <v>102</v>
      </c>
      <c r="C26" s="105"/>
      <c r="D26" s="104" t="s">
        <v>228</v>
      </c>
      <c r="E26" s="105"/>
      <c r="F26" s="106">
        <v>16</v>
      </c>
      <c r="G26" s="107"/>
      <c r="H26" s="14"/>
      <c r="I26" s="47"/>
    </row>
    <row r="27" ht="24.75" customHeight="1" spans="1:9">
      <c r="A27" s="19" t="s">
        <v>229</v>
      </c>
      <c r="B27" s="21" t="s">
        <v>104</v>
      </c>
      <c r="C27" s="22"/>
      <c r="D27" s="21" t="s">
        <v>230</v>
      </c>
      <c r="E27" s="22"/>
      <c r="F27" s="41">
        <v>800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3301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IF(Main!B2,TEXT(EDATE(Main!B3,11),"dd mmmm yyyy"),TEXT(Main!B3+((Main!B5-Main!B3)*11+11),"dd mmmm yyyy"))&amp;" - "&amp;IF(Main!B2,TEXT(EDATE(Main!B3,12)-1,"dd mmmm yyyy"),TEXT(Main!B3+((Main!B5-Main!B3)*12+11),"dd mmmm yyyy"))&amp;" / "&amp;" (Revenue / Deferred Debts Or Expenses)"</f>
        <v>20 March 2025 - 19 April 2025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120" t="s">
        <v>53</v>
      </c>
      <c r="E34" s="121"/>
      <c r="F34" s="7">
        <v>2435</v>
      </c>
      <c r="G34" s="7"/>
      <c r="H34" s="14"/>
      <c r="I34" s="47"/>
    </row>
    <row r="35" ht="24.75" customHeight="1" spans="1:9">
      <c r="A35" s="95" t="s">
        <v>231</v>
      </c>
      <c r="B35" s="96" t="s">
        <v>66</v>
      </c>
      <c r="C35" s="96"/>
      <c r="D35" s="120" t="s">
        <v>144</v>
      </c>
      <c r="E35" s="121"/>
      <c r="F35" s="7">
        <v>0</v>
      </c>
      <c r="G35" s="7"/>
      <c r="H35" s="14"/>
      <c r="I35" s="47"/>
    </row>
    <row r="36" ht="24.75" customHeight="1" spans="1:9">
      <c r="A36" s="95"/>
      <c r="B36" s="96" t="s">
        <v>225</v>
      </c>
      <c r="C36" s="96"/>
      <c r="D36" s="120" t="s">
        <v>226</v>
      </c>
      <c r="E36" s="121"/>
      <c r="F36" s="7">
        <v>50</v>
      </c>
      <c r="G36" s="7"/>
      <c r="H36" s="14"/>
      <c r="I36" s="48"/>
    </row>
    <row r="37" ht="24.75" customHeight="1" spans="1:9">
      <c r="A37" s="109" t="s">
        <v>232</v>
      </c>
      <c r="B37" s="110" t="s">
        <v>104</v>
      </c>
      <c r="C37" s="111"/>
      <c r="D37" s="110" t="s">
        <v>233</v>
      </c>
      <c r="E37" s="111"/>
      <c r="F37" s="7">
        <v>1000</v>
      </c>
      <c r="G37" s="7"/>
      <c r="H37" s="14"/>
      <c r="I37" s="47"/>
    </row>
    <row r="38" ht="51" customHeight="1" spans="1:9">
      <c r="A38" s="19" t="s">
        <v>234</v>
      </c>
      <c r="B38" s="21" t="s">
        <v>235</v>
      </c>
      <c r="C38" s="22"/>
      <c r="D38" s="21" t="s">
        <v>236</v>
      </c>
      <c r="E38" s="22"/>
      <c r="F38" s="41">
        <v>62</v>
      </c>
      <c r="G38" s="42"/>
      <c r="H38" s="14"/>
      <c r="I38" s="47"/>
    </row>
    <row r="39" ht="59" customHeight="1" spans="1:9">
      <c r="A39" s="19" t="s">
        <v>237</v>
      </c>
      <c r="B39" s="21" t="s">
        <v>102</v>
      </c>
      <c r="C39" s="22"/>
      <c r="D39" s="21" t="s">
        <v>238</v>
      </c>
      <c r="E39" s="22"/>
      <c r="F39" s="41">
        <v>525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4072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"&amp;IF(Main!B2,TEXT(EDATE(Main!B3,9),"mmmm yyyy"),TEXT(Main!B3+((Main!B5-Main!B3)*9+9),"mmmm yyyy"))&amp;" to "&amp;IF(Main!B2,TEXT(EDATE(Main!B3,12)-1,"mmmm yyyy"),TEXT(Main!B3+((Main!B5-Main!B3)*12+11),"mmmm yyyy"))</f>
        <v>Fixed Expense For the Year January 2025 to April 2025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7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98">
        <v>0</v>
      </c>
      <c r="D87" s="14"/>
      <c r="E87" s="14"/>
      <c r="F87" s="14"/>
      <c r="G87" s="14"/>
      <c r="H87" s="14"/>
      <c r="I87" s="47"/>
    </row>
    <row r="88" ht="39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52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98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120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397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INDIRECT("'"&amp;INDIRECT("Main!B15")&amp;"'!C98")+SUM(E118+E145+E172)</f>
        <v>-5900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INDIRECT("'"&amp;INDIRECT("Main!B15")&amp;"'!C99")+SUM(E119+E146+E173)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INDIRECT("'"&amp;INDIRECT("Main!B15")&amp;"'!C100")+SUM(E120+E147+E174)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INDIRECT("'"&amp;INDIRECT("Main!B15")&amp;"'!C101")+SUM(E121+E148+E175)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INDIRECT("'"&amp;INDIRECT("Main!B15")&amp;"'!C102")+SUM(E122+E149+E176)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INDIRECT("'"&amp;INDIRECT("Main!B15")&amp;"'!C103")+SUM(E123+E150+E177)</f>
        <v>-1083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INDIRECT("'"&amp;INDIRECT("Main!B15")&amp;"'!C104")+SUM(E124+E151+E178)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INDIRECT("'"&amp;INDIRECT("Main!B15")&amp;"'!C105")+SUM(E125+E152+E179)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INDIRECT("'"&amp;INDIRECT("Main!B15")&amp;"'!C106")+SUM(E126+E153+E180)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INDIRECT("'"&amp;INDIRECT("Main!B15")&amp;"'!C107")+SUM(E127+E154+E181)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-6983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-7380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"&amp;IF(Main!B2,TEXT(EDATE(Main!B3,9),"mmmm dd yyyy"),TEXT(Main!B3+((Main!B5-Main!B3)*9+9),"mmmm dd yyyy"))&amp;" to "&amp;IF(Main!B2,TEXT(EDATE(Main!B3,10)-1,"mmmm dd yyyy"),TEXT(Main!B3+((Main!B5-Main!B3)*10+9),"mmmm dd yyyy"))</f>
        <v>Debts Or Credits For the Comming January 20 2025 to February 19 2025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"&amp;IF(Main!B2,TEXT(EDATE(Main!B3,9)-1,"mmmm yyyy"),TEXT(Main!B3+((Main!B5-Main!B3)*9+8),"mmmm yyyy"))</f>
        <v>Balance Brought Forward From January 2025</v>
      </c>
      <c r="B116" s="56"/>
      <c r="C116" s="57"/>
      <c r="D116" s="57"/>
      <c r="E116" s="70" cm="1">
        <f ca="1" t="array" ref="E116">INDIRECT("'"&amp;INDIRECT("Main!B15")&amp;"'!E190")</f>
        <v>173.340000000001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112" t="s">
        <v>239</v>
      </c>
      <c r="D118" s="112"/>
      <c r="E118" s="102">
        <v>1400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100" t="s">
        <v>158</v>
      </c>
      <c r="D120" s="100"/>
      <c r="E120" s="102">
        <v>500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199" customHeight="1" spans="1:9">
      <c r="A129" s="62"/>
      <c r="B129" s="63"/>
      <c r="C129" s="100" t="s">
        <v>240</v>
      </c>
      <c r="D129" s="100"/>
      <c r="E129" s="102">
        <v>2132.94</v>
      </c>
      <c r="F129" s="14"/>
      <c r="G129" s="14"/>
      <c r="H129" s="14"/>
      <c r="I129" s="47"/>
    </row>
    <row r="130" ht="409" customHeight="1" spans="1:9">
      <c r="A130" s="62"/>
      <c r="B130" s="63"/>
      <c r="C130" s="100" t="s">
        <v>241</v>
      </c>
      <c r="D130" s="100"/>
      <c r="E130" s="102">
        <v>316.9</v>
      </c>
      <c r="F130" s="14"/>
      <c r="G130" s="14"/>
      <c r="H130" s="14"/>
      <c r="I130" s="47"/>
    </row>
    <row r="131" ht="268" customHeight="1" spans="1:9">
      <c r="A131" s="62"/>
      <c r="B131" s="63"/>
      <c r="C131" s="117" t="s">
        <v>242</v>
      </c>
      <c r="D131" s="118"/>
      <c r="E131" s="102">
        <v>244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397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112.000000000001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"&amp;IF(Main!B2,TEXT(EDATE(Main!B3,10),"mmmm dd yyyy"),TEXT(Main!B3+((Main!B5-Main!B3)*10+10),"dd mmmm yyyy"))&amp;" to "&amp;IF(Main!B2,TEXT(EDATE(Main!B3,11)-1,"mmmm dd yyyy"),TEXT(Main!B3+((Main!B5-Main!B3)*11+10),"mmmm dd yyyy"))</f>
        <v>Debts Or Credits For the Comming February 20 2025 to March 19 2025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"&amp;IF(Main!B2,TEXT(EDATE(Main!B3,10)-1,"mmmm yyyy"),TEXT(Main!B3+((Main!B5-Main!B3)*10+9),"mmmm yyyy"))</f>
        <v>Balance Brought Forward From February 2025</v>
      </c>
      <c r="B143" s="56"/>
      <c r="C143" s="57"/>
      <c r="D143" s="57"/>
      <c r="E143" s="87">
        <f ca="1">E136</f>
        <v>112.000000000001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100" t="s">
        <v>243</v>
      </c>
      <c r="D145" s="100"/>
      <c r="E145" s="102">
        <v>500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92" customHeight="1" spans="1:9">
      <c r="A156" s="62"/>
      <c r="B156" s="63"/>
      <c r="C156" s="100" t="s">
        <v>244</v>
      </c>
      <c r="D156" s="100"/>
      <c r="E156" s="102">
        <v>777.5</v>
      </c>
      <c r="F156" s="14"/>
      <c r="G156" s="14"/>
      <c r="H156" s="14"/>
      <c r="I156" s="47"/>
    </row>
    <row r="157" ht="379" customHeight="1" spans="1:9">
      <c r="A157" s="62"/>
      <c r="B157" s="63"/>
      <c r="C157" s="100" t="s">
        <v>245</v>
      </c>
      <c r="D157" s="100"/>
      <c r="E157" s="102">
        <v>533.3</v>
      </c>
      <c r="F157" s="14"/>
      <c r="G157" s="14"/>
      <c r="H157" s="14"/>
      <c r="I157" s="47"/>
    </row>
    <row r="158" ht="81" customHeight="1" spans="1:9">
      <c r="A158" s="62"/>
      <c r="B158" s="63"/>
      <c r="C158" s="72" t="s">
        <v>246</v>
      </c>
      <c r="D158" s="65"/>
      <c r="E158" s="86">
        <v>850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397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355.200000000001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"&amp;IF(Main!B2,TEXT(EDATE(Main!B3,11),"mmmm dd yyyy"),TEXT(Main!B3+((Main!B5-Main!B3)*11+11),"mmmm dd yyyy"))&amp;" to "&amp;IF(Main!B2,TEXT(EDATE(Main!B3,12)-1,"mmmm dd yyyy"),TEXT(Main!B3+((Main!B5-Main!B3)*12+11),"mmmm dd yyyy"))</f>
        <v>Debts Or Credits For the Comming March 20 2025 to April 19 2025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"&amp;IF(Main!B2,TEXT(EDATE(Main!B3,11)-1,"mmmm yyyy"),TEXT(Main!B3+((Main!B5-Main!B3)*11+10),"mmmm yyyy"))</f>
        <v>Balance Brought Forward From March 2025</v>
      </c>
      <c r="B170" s="56"/>
      <c r="C170" s="57"/>
      <c r="D170" s="57"/>
      <c r="E170" s="90">
        <f ca="1">E163</f>
        <v>355.200000000001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112" t="s">
        <v>243</v>
      </c>
      <c r="D172" s="112"/>
      <c r="E172" s="102">
        <v>500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 t="s">
        <v>247</v>
      </c>
      <c r="D174" s="65"/>
      <c r="E174" s="36">
        <v>800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77" customHeight="1" spans="1:9">
      <c r="A183" s="62"/>
      <c r="B183" s="63"/>
      <c r="C183" s="100" t="s">
        <v>248</v>
      </c>
      <c r="D183" s="100"/>
      <c r="E183" s="36">
        <v>650</v>
      </c>
      <c r="F183" s="14"/>
      <c r="G183" s="14"/>
      <c r="H183" s="14"/>
      <c r="I183" s="47"/>
    </row>
    <row r="184" ht="409" customHeight="1" spans="1:9">
      <c r="A184" s="62"/>
      <c r="B184" s="63"/>
      <c r="C184" s="100" t="s">
        <v>249</v>
      </c>
      <c r="D184" s="100"/>
      <c r="E184" s="102">
        <v>914.7</v>
      </c>
      <c r="F184" s="14"/>
      <c r="G184" s="14"/>
      <c r="H184" s="14"/>
      <c r="I184" s="47"/>
    </row>
    <row r="185" ht="24.75" customHeight="1" spans="1:9">
      <c r="A185" s="62"/>
      <c r="B185" s="63"/>
      <c r="C185" s="122" t="s">
        <v>250</v>
      </c>
      <c r="D185" s="123"/>
      <c r="E185" s="124">
        <v>999</v>
      </c>
      <c r="F185" s="14"/>
      <c r="G185" s="14"/>
      <c r="H185" s="14"/>
      <c r="I185" s="47"/>
    </row>
    <row r="186" spans="1:9">
      <c r="A186" s="62"/>
      <c r="B186" s="63"/>
      <c r="C186" s="64" t="s">
        <v>251</v>
      </c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397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166.500000000001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8" operator="greaterThanOrEqual">
      <formula>0</formula>
    </cfRule>
    <cfRule type="cellIs" dxfId="1" priority="27" operator="lessThan">
      <formula>0</formula>
    </cfRule>
  </conditionalFormatting>
  <conditionalFormatting sqref="C75">
    <cfRule type="cellIs" dxfId="0" priority="73" operator="equal">
      <formula>0</formula>
    </cfRule>
    <cfRule type="cellIs" dxfId="1" priority="72" operator="greaterThan">
      <formula>0</formula>
    </cfRule>
  </conditionalFormatting>
  <conditionalFormatting sqref="C77">
    <cfRule type="cellIs" dxfId="0" priority="71" operator="equal">
      <formula>0</formula>
    </cfRule>
    <cfRule type="cellIs" dxfId="1" priority="70" operator="greaterThan">
      <formula>0</formula>
    </cfRule>
  </conditionalFormatting>
  <conditionalFormatting sqref="C90">
    <cfRule type="cellIs" dxfId="7" priority="24" operator="equal">
      <formula>0</formula>
    </cfRule>
  </conditionalFormatting>
  <conditionalFormatting sqref="C91">
    <cfRule type="cellIs" dxfId="0" priority="30" operator="equal">
      <formula>0</formula>
    </cfRule>
    <cfRule type="cellIs" dxfId="1" priority="29" operator="greaterThan">
      <formula>0</formula>
    </cfRule>
  </conditionalFormatting>
  <conditionalFormatting sqref="C108">
    <cfRule type="cellIs" dxfId="0" priority="26" operator="greaterThanOrEqual">
      <formula>0</formula>
    </cfRule>
    <cfRule type="cellIs" dxfId="1" priority="25" operator="lessThan">
      <formula>0</formula>
    </cfRule>
  </conditionalFormatting>
  <conditionalFormatting sqref="C109">
    <cfRule type="cellIs" dxfId="0" priority="57" operator="greaterThanOrEqual">
      <formula>0</formula>
    </cfRule>
    <cfRule type="cellIs" dxfId="1" priority="56" operator="lessThan">
      <formula>0</formula>
    </cfRule>
  </conditionalFormatting>
  <conditionalFormatting sqref="E116">
    <cfRule type="cellIs" dxfId="4" priority="34" operator="greaterThanOrEqual">
      <formula>0</formula>
    </cfRule>
    <cfRule type="cellIs" dxfId="5" priority="33" operator="lessThan">
      <formula>0</formula>
    </cfRule>
  </conditionalFormatting>
  <conditionalFormatting sqref="E118">
    <cfRule type="cellIs" dxfId="6" priority="20" operator="equal">
      <formula>0</formula>
    </cfRule>
  </conditionalFormatting>
  <conditionalFormatting sqref="E119">
    <cfRule type="cellIs" dxfId="0" priority="22" operator="equal">
      <formula>0</formula>
    </cfRule>
    <cfRule type="cellIs" dxfId="1" priority="21" operator="greaterThan">
      <formula>0</formula>
    </cfRule>
  </conditionalFormatting>
  <conditionalFormatting sqref="E120">
    <cfRule type="cellIs" dxfId="6" priority="19" operator="equal">
      <formula>0</formula>
    </cfRule>
  </conditionalFormatting>
  <conditionalFormatting sqref="E129">
    <cfRule type="cellIs" dxfId="6" priority="18" operator="equal">
      <formula>0</formula>
    </cfRule>
  </conditionalFormatting>
  <conditionalFormatting sqref="E130">
    <cfRule type="cellIs" dxfId="7" priority="17" operator="equal">
      <formula>0</formula>
    </cfRule>
    <cfRule type="cellIs" dxfId="6" priority="16" operator="equal">
      <formula>0</formula>
    </cfRule>
  </conditionalFormatting>
  <conditionalFormatting sqref="E131">
    <cfRule type="cellIs" dxfId="7" priority="15" operator="equal">
      <formula>0</formula>
    </cfRule>
    <cfRule type="cellIs" dxfId="6" priority="14" operator="equal">
      <formula>0</formula>
    </cfRule>
  </conditionalFormatting>
  <conditionalFormatting sqref="E136">
    <cfRule type="cellIs" dxfId="4" priority="65" operator="greaterThanOrEqual">
      <formula>0</formula>
    </cfRule>
    <cfRule type="cellIs" dxfId="5" priority="64" operator="lessThan">
      <formula>0</formula>
    </cfRule>
  </conditionalFormatting>
  <conditionalFormatting sqref="E143">
    <cfRule type="cellIs" dxfId="4" priority="52" operator="greaterThanOrEqual">
      <formula>0</formula>
    </cfRule>
    <cfRule type="cellIs" dxfId="5" priority="51" operator="lessThan">
      <formula>0</formula>
    </cfRule>
  </conditionalFormatting>
  <conditionalFormatting sqref="E145">
    <cfRule type="cellIs" dxfId="6" priority="13" operator="equal">
      <formula>0</formula>
    </cfRule>
  </conditionalFormatting>
  <conditionalFormatting sqref="E156">
    <cfRule type="cellIs" dxfId="6" priority="10" operator="equal">
      <formula>0</formula>
    </cfRule>
  </conditionalFormatting>
  <conditionalFormatting sqref="E157">
    <cfRule type="cellIs" dxfId="7" priority="9" operator="equal">
      <formula>0</formula>
    </cfRule>
    <cfRule type="cellIs" dxfId="6" priority="8" operator="equal">
      <formula>0</formula>
    </cfRule>
  </conditionalFormatting>
  <conditionalFormatting sqref="E158">
    <cfRule type="cellIs" dxfId="1" priority="12" operator="greaterThan">
      <formula>0</formula>
    </cfRule>
    <cfRule type="cellIs" dxfId="3" priority="11" operator="equal">
      <formula>0</formula>
    </cfRule>
  </conditionalFormatting>
  <conditionalFormatting sqref="E163">
    <cfRule type="cellIs" dxfId="4" priority="54" operator="greaterThanOrEqual">
      <formula>0</formula>
    </cfRule>
    <cfRule type="cellIs" dxfId="5" priority="53" operator="lessThan">
      <formula>0</formula>
    </cfRule>
  </conditionalFormatting>
  <conditionalFormatting sqref="E170">
    <cfRule type="cellIs" dxfId="4" priority="46" operator="greaterThanOrEqual">
      <formula>0</formula>
    </cfRule>
    <cfRule type="cellIs" dxfId="5" priority="45" operator="lessThan">
      <formula>0</formula>
    </cfRule>
  </conditionalFormatting>
  <conditionalFormatting sqref="E172">
    <cfRule type="cellIs" dxfId="6" priority="5" operator="equal">
      <formula>0</formula>
    </cfRule>
  </conditionalFormatting>
  <conditionalFormatting sqref="E183">
    <cfRule type="cellIs" dxfId="0" priority="2" operator="equal">
      <formula>0</formula>
    </cfRule>
    <cfRule type="cellIs" dxfId="1" priority="1" operator="greaterThan">
      <formula>0</formula>
    </cfRule>
  </conditionalFormatting>
  <conditionalFormatting sqref="E184">
    <cfRule type="cellIs" dxfId="7" priority="4" operator="equal">
      <formula>0</formula>
    </cfRule>
    <cfRule type="cellIs" dxfId="6" priority="3" operator="equal">
      <formula>0</formula>
    </cfRule>
  </conditionalFormatting>
  <conditionalFormatting sqref="E190">
    <cfRule type="cellIs" dxfId="4" priority="48" operator="greaterThanOrEqual">
      <formula>0</formula>
    </cfRule>
    <cfRule type="cellIs" dxfId="5" priority="47" operator="lessThan">
      <formula>0</formula>
    </cfRule>
  </conditionalFormatting>
  <conditionalFormatting sqref="C57:C66">
    <cfRule type="cellIs" dxfId="0" priority="77" operator="equal">
      <formula>0</formula>
    </cfRule>
    <cfRule type="cellIs" dxfId="1" priority="76" operator="greaterThan">
      <formula>0</formula>
    </cfRule>
  </conditionalFormatting>
  <conditionalFormatting sqref="C68:C69">
    <cfRule type="cellIs" dxfId="0" priority="75" operator="equal">
      <formula>0</formula>
    </cfRule>
    <cfRule type="cellIs" dxfId="1" priority="74" operator="greaterThan">
      <formula>0</formula>
    </cfRule>
  </conditionalFormatting>
  <conditionalFormatting sqref="C70:C74">
    <cfRule type="cellIs" dxfId="0" priority="63" operator="equal">
      <formula>0</formula>
    </cfRule>
    <cfRule type="cellIs" dxfId="1" priority="62" operator="greaterThan">
      <formula>0</formula>
    </cfRule>
  </conditionalFormatting>
  <conditionalFormatting sqref="C78:C79">
    <cfRule type="cellIs" dxfId="0" priority="32" operator="equal">
      <formula>0</formula>
    </cfRule>
    <cfRule type="cellIs" dxfId="1" priority="31" operator="greaterThan">
      <formula>0</formula>
    </cfRule>
  </conditionalFormatting>
  <conditionalFormatting sqref="C80:C84">
    <cfRule type="cellIs" dxfId="0" priority="61" operator="equal">
      <formula>0</formula>
    </cfRule>
    <cfRule type="cellIs" dxfId="1" priority="60" operator="greaterThan">
      <formula>0</formula>
    </cfRule>
  </conditionalFormatting>
  <conditionalFormatting sqref="C87:C90">
    <cfRule type="cellIs" dxfId="6" priority="23" operator="equal">
      <formula>0</formula>
    </cfRule>
  </conditionalFormatting>
  <conditionalFormatting sqref="C92:C94">
    <cfRule type="cellIs" dxfId="0" priority="59" operator="equal">
      <formula>0</formula>
    </cfRule>
    <cfRule type="cellIs" dxfId="1" priority="58" operator="greaterThan">
      <formula>0</formula>
    </cfRule>
  </conditionalFormatting>
  <conditionalFormatting sqref="C98:C107">
    <cfRule type="cellIs" dxfId="1" priority="42" operator="lessThan">
      <formula>0</formula>
    </cfRule>
    <cfRule type="cellIs" dxfId="3" priority="41" operator="greaterThanOrEqual">
      <formula>0</formula>
    </cfRule>
  </conditionalFormatting>
  <conditionalFormatting sqref="E121:E127">
    <cfRule type="cellIs" dxfId="0" priority="40" operator="equal">
      <formula>0</formula>
    </cfRule>
    <cfRule type="cellIs" dxfId="1" priority="39" operator="greaterThan">
      <formula>0</formula>
    </cfRule>
  </conditionalFormatting>
  <conditionalFormatting sqref="E146:E154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E173:E174">
    <cfRule type="cellIs" dxfId="0" priority="7" operator="equal">
      <formula>0</formula>
    </cfRule>
    <cfRule type="cellIs" dxfId="1" priority="6" operator="greaterThan">
      <formula>0</formula>
    </cfRule>
  </conditionalFormatting>
  <conditionalFormatting sqref="E175:E181">
    <cfRule type="cellIs" dxfId="0" priority="36" operator="equal">
      <formula>0</formula>
    </cfRule>
    <cfRule type="cellIs" dxfId="1" priority="35" operator="greaterThan">
      <formula>0</formula>
    </cfRule>
  </conditionalFormatting>
  <conditionalFormatting sqref="C47:C55 C85 C95:C96">
    <cfRule type="cellIs" dxfId="0" priority="79" operator="equal">
      <formula>0</formula>
    </cfRule>
  </conditionalFormatting>
  <conditionalFormatting sqref="C47:C55 C85 C95:C96 E144 E155 E159:E162">
    <cfRule type="cellIs" dxfId="1" priority="78" operator="greaterThan">
      <formula>0</formula>
    </cfRule>
  </conditionalFormatting>
  <conditionalFormatting sqref="E117 E128 E132:E135">
    <cfRule type="cellIs" dxfId="0" priority="67" operator="equal">
      <formula>0</formula>
    </cfRule>
    <cfRule type="cellIs" dxfId="1" priority="66" operator="greaterThan">
      <formula>0</formula>
    </cfRule>
  </conditionalFormatting>
  <conditionalFormatting sqref="E144 E155 E159:E162">
    <cfRule type="cellIs" dxfId="3" priority="55" operator="equal">
      <formula>0</formula>
    </cfRule>
  </conditionalFormatting>
  <conditionalFormatting sqref="E171 E182 E185:E189">
    <cfRule type="cellIs" dxfId="3" priority="50" operator="equal">
      <formula>0</formula>
    </cfRule>
    <cfRule type="cellIs" dxfId="1" priority="49" operator="greaterThan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58" workbookViewId="0">
      <selection activeCell="E129" sqref="E129"/>
    </sheetView>
  </sheetViews>
  <sheetFormatPr defaultColWidth="9" defaultRowHeight="17.6"/>
  <cols>
    <col min="1" max="1" width="26.1527777777778" customWidth="1"/>
    <col min="2" max="2" width="30.9027777777778" customWidth="1"/>
    <col min="3" max="3" width="27.875" customWidth="1"/>
    <col min="4" max="6" width="20.625" customWidth="1"/>
    <col min="8" max="8" width="20.625" customWidth="1"/>
  </cols>
  <sheetData>
    <row r="1" ht="24.75" customHeight="1" spans="1:9">
      <c r="A1" s="1" t="str">
        <f>"Forecasts For the Year "&amp;IF(Main!B2,TEXT(EDATE(Main!B3,12),"mmmm yyyy"),TEXT(Main!B3+((Main!B5-Main!B3)*12+12),"mmmm yyyy"))&amp;" to "&amp;IF(Main!B2,TEXT(EDATE(Main!B3,15)-1,"mmmm yyyy"),TEXT(Main!B3+((Main!B5-Main!B3)*15+14),"mmmm yyyy"))</f>
        <v>Forecasts For the Year April 2025 to July 2025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967.500000000001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2149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-3083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IF(Main!B2,TEXT(EDATE(Main!B3,12),"dd mmmm yyyy"),TEXT(Main!B3+((Main!B5-Main!B3)*12+12),"dd mmmm yyyy"))&amp;" - "&amp;IF(Main!B2,TEXT(EDATE(Main!B3,13)-1,"dd mmmm yyyy"),TEXT(Main!B3+((Main!B5-Main!B3)*13+12),"dd mmmm yyyy"))&amp;" / "&amp;" (Revenue / Deferred Debts Or Expenses)"</f>
        <v>20 April 2025 - 19 May 2025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/>
      <c r="B11" s="96" t="s">
        <v>223</v>
      </c>
      <c r="C11" s="96"/>
      <c r="D11" s="97" t="s">
        <v>224</v>
      </c>
      <c r="E11" s="97"/>
      <c r="F11" s="7">
        <v>0</v>
      </c>
      <c r="G11" s="7"/>
      <c r="H11" s="14"/>
      <c r="I11" s="47"/>
    </row>
    <row r="12" ht="24.75" customHeight="1" spans="1:9">
      <c r="A12" s="95" t="s">
        <v>252</v>
      </c>
      <c r="B12" s="96" t="s">
        <v>66</v>
      </c>
      <c r="C12" s="96"/>
      <c r="D12" s="97" t="s">
        <v>144</v>
      </c>
      <c r="E12" s="97"/>
      <c r="F12" s="7">
        <v>0</v>
      </c>
      <c r="G12" s="7"/>
      <c r="H12" s="14"/>
      <c r="I12" s="47"/>
    </row>
    <row r="13" ht="24.75" customHeight="1" spans="1:9">
      <c r="A13" s="95"/>
      <c r="B13" s="110" t="s">
        <v>253</v>
      </c>
      <c r="C13" s="111"/>
      <c r="D13" s="110" t="s">
        <v>254</v>
      </c>
      <c r="E13" s="111"/>
      <c r="F13" s="41">
        <v>50</v>
      </c>
      <c r="G13" s="42"/>
      <c r="H13" s="14"/>
      <c r="I13" s="47"/>
    </row>
    <row r="14" ht="49" customHeight="1" spans="1:9">
      <c r="A14" s="19"/>
      <c r="B14" s="110" t="s">
        <v>255</v>
      </c>
      <c r="C14" s="111"/>
      <c r="D14" s="110" t="s">
        <v>256</v>
      </c>
      <c r="E14" s="111"/>
      <c r="F14" s="41">
        <v>137</v>
      </c>
      <c r="G14" s="42"/>
      <c r="H14" s="14"/>
      <c r="I14" s="47"/>
    </row>
    <row r="15" ht="24.75" customHeight="1" spans="1:9">
      <c r="A15" s="19"/>
      <c r="B15" s="21"/>
      <c r="C15" s="22"/>
      <c r="D15" s="21"/>
      <c r="E15" s="22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2622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IF(Main!B2,TEXT(EDATE(Main!B3,13),"dd mmmm yyyy"),TEXT(Main!B3+((Main!B5-Main!B3)*13+13),"dd mmmm yyyy"))&amp;" - "&amp;IF(Main!B2,TEXT(EDATE(Main!B3,14)-1,"dd mmmm yyyy"),TEXT(Main!B3+((Main!B5-Main!B3)*14+13),"dd mmmm yyyy"))&amp;" / "&amp;" (Revenue / Deferred Debts Or Expenses)"</f>
        <v>20 May 2025 - 19 June 2025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257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113"/>
      <c r="B24" s="114" t="s">
        <v>52</v>
      </c>
      <c r="C24" s="114"/>
      <c r="D24" s="115" t="s">
        <v>258</v>
      </c>
      <c r="E24" s="115"/>
      <c r="F24" s="116">
        <v>1035</v>
      </c>
      <c r="G24" s="116"/>
      <c r="H24" s="14"/>
      <c r="I24" s="47"/>
    </row>
    <row r="25" ht="24.75" customHeight="1" spans="1:9">
      <c r="A25" s="19"/>
      <c r="B25" s="21"/>
      <c r="C25" s="22"/>
      <c r="D25" s="21"/>
      <c r="E25" s="22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3470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IF(Main!B2,TEXT(EDATE(Main!B3,14),"dd mmmm yyyy"),TEXT(Main!B3+((Main!B5-Main!B3)*14+14),"dd mmmm yyyy"))&amp;" - "&amp;IF(Main!B2,TEXT(EDATE(Main!B3,15)-1,"dd mmmm yyyy"),TEXT(Main!B3+((Main!B5-Main!B3)*15+14),"dd mmmm yyyy"))&amp;" / "&amp;" (Revenue / Deferred Debts Or Expenses)"</f>
        <v>20 June 2025 - 19 July 2025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97" t="s">
        <v>53</v>
      </c>
      <c r="E34" s="97"/>
      <c r="F34" s="7">
        <v>2435</v>
      </c>
      <c r="G34" s="7"/>
      <c r="H34" s="14"/>
      <c r="I34" s="47"/>
    </row>
    <row r="35" ht="24.75" customHeight="1" spans="1:9">
      <c r="A35" s="95" t="s">
        <v>259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1"/>
      <c r="E37" s="22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"&amp;IF(Main!B2,TEXT(EDATE(Main!B3,12),"mmmm yyyy"),TEXT(Main!B3+((Main!B5-Main!B3)*12+12),"mmmm yyyy"))&amp;" to "&amp;IF(Main!B2,TEXT(EDATE(Main!B3,15)-1,"mmmm yyyy"),TEXT(Main!B3+((Main!B5-Main!B3)*15+14),"mmmm yyyy"))</f>
        <v>Fixed Expense For the Year April 2025 to July 2025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40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43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INDIRECT("'"&amp;INDIRECT("Main!B18")&amp;"'!C98")+SUM(E118+E145+E172)</f>
        <v>-2000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INDIRECT("'"&amp;INDIRECT("Main!B18")&amp;"'!C99")+SUM(E119+E146+E173)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INDIRECT("'"&amp;INDIRECT("Main!B18")&amp;"'!C100")+SUM(E120+E147+E174)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INDIRECT("'"&amp;INDIRECT("Main!B18")&amp;"'!C101")+SUM(E121+E148+E175)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INDIRECT("'"&amp;INDIRECT("Main!B18")&amp;"'!C102")+SUM(E122+E149+E176)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INDIRECT("'"&amp;INDIRECT("Main!B18")&amp;"'!C103")+SUM(E123+E150+E177)</f>
        <v>-1083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INDIRECT("'"&amp;INDIRECT("Main!B18")&amp;"'!C104")+SUM(E124+E151+E178)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INDIRECT("'"&amp;INDIRECT("Main!B18")&amp;"'!C105")+SUM(E125+E152+E179)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INDIRECT("'"&amp;INDIRECT("Main!B18")&amp;"'!C106")+SUM(E126+E153+E180)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INDIRECT("'"&amp;INDIRECT("Main!B18")&amp;"'!C107")+SUM(E127+E154+E181)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-3083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-3483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"&amp;IF(Main!B2,TEXT(EDATE(Main!B3,12),"mmmm dd yyyy"),TEXT(Main!B3+((Main!B5-Main!B3)*12+12),"mmmm dd yyyy"))&amp;" to "&amp;IF(Main!B2,TEXT(EDATE(Main!B3,13)-1,"mmmm dd yyyy"),TEXT(Main!B3+((Main!B5-Main!B3)*13+12),"mmmm dd yyyy"))</f>
        <v>Debts Or Credits For the Comming April 20 2025 to May 19 2025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"&amp;IF(Main!B2,TEXT(EDATE(Main!B3,12)-1,"mmmm yyyy"),TEXT(Main!B3+((Main!B5-Main!B3)*12+11),"mmmm yyyy"))</f>
        <v>Balance Brought Forward From April 2025</v>
      </c>
      <c r="B116" s="56"/>
      <c r="C116" s="57"/>
      <c r="D116" s="57"/>
      <c r="E116" s="70" cm="1">
        <f ca="1" t="array" ref="E116">INDIRECT("'"&amp;INDIRECT("Main!B18")&amp;"'!E190")</f>
        <v>166.500000000001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46" customHeight="1" spans="1:9">
      <c r="A118" s="62"/>
      <c r="B118" s="63"/>
      <c r="C118" s="100" t="s">
        <v>260</v>
      </c>
      <c r="D118" s="100"/>
      <c r="E118" s="36">
        <v>1000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64" customHeight="1" spans="1:9">
      <c r="A129" s="62"/>
      <c r="B129" s="63"/>
      <c r="C129" s="100" t="s">
        <v>261</v>
      </c>
      <c r="D129" s="112"/>
      <c r="E129" s="98">
        <v>125</v>
      </c>
      <c r="F129" s="14"/>
      <c r="G129" s="14"/>
      <c r="H129" s="14"/>
      <c r="I129" s="47"/>
    </row>
    <row r="130" ht="137" customHeight="1" spans="1:9">
      <c r="A130" s="62"/>
      <c r="B130" s="63"/>
      <c r="C130" s="117" t="s">
        <v>262</v>
      </c>
      <c r="D130" s="118"/>
      <c r="E130" s="98">
        <v>207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1056.5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"&amp;IF(Main!B2,TEXT(EDATE(Main!B3,13),"mmmm dd yyyy"),TEXT(Main!B3+((Main!B5-Main!B3)*13+13),"dd mmmm yyyy"))&amp;" to "&amp;IF(Main!B2,TEXT(EDATE(Main!B3,14)-1,"mmmm dd yyyy"),TEXT(Main!B3+((Main!B5-Main!B3)*14+13),"mmmm dd yyyy"))</f>
        <v>Debts Or Credits For the Comming May 20 2025 to June 19 2025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"&amp;IF(Main!B2,TEXT(EDATE(Main!B3,13)-1,"mmmm yyyy"),TEXT(Main!B3+((Main!B5-Main!B3)*13+12),"mmmm yyyy"))</f>
        <v>Balance Brought Forward From May 2025</v>
      </c>
      <c r="B143" s="56"/>
      <c r="C143" s="57"/>
      <c r="D143" s="57"/>
      <c r="E143" s="87">
        <f ca="1">E136</f>
        <v>1056.5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112" t="s">
        <v>263</v>
      </c>
      <c r="D145" s="112"/>
      <c r="E145" s="36">
        <v>1800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81" customHeight="1" spans="1:9">
      <c r="A156" s="62"/>
      <c r="B156" s="63"/>
      <c r="C156" s="100" t="s">
        <v>264</v>
      </c>
      <c r="D156" s="100"/>
      <c r="E156" s="98">
        <v>719</v>
      </c>
      <c r="F156" s="14"/>
      <c r="G156" s="14"/>
      <c r="H156" s="14"/>
      <c r="I156" s="47"/>
    </row>
    <row r="157" ht="25" customHeight="1" spans="1:9">
      <c r="A157" s="62"/>
      <c r="B157" s="63"/>
      <c r="C157" s="100" t="s">
        <v>265</v>
      </c>
      <c r="D157" s="100"/>
      <c r="E157" s="98">
        <v>400</v>
      </c>
      <c r="F157" s="14"/>
      <c r="G157" s="14"/>
      <c r="H157" s="14"/>
      <c r="I157" s="47"/>
    </row>
    <row r="158" ht="25" customHeight="1" spans="1:9">
      <c r="A158" s="62"/>
      <c r="B158" s="63"/>
      <c r="C158" s="72"/>
      <c r="D158" s="73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1207.5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"&amp;IF(Main!B2,TEXT(EDATE(Main!B3,14),"mmmm dd yyyy"),TEXT(Main!B3+((Main!B5-Main!B3)*14+14),"mmmm dd yyyy"))&amp;" to "&amp;IF(Main!B2,TEXT(EDATE(Main!B3,15)-1,"mmmm dd yyyy"),TEXT(Main!B3+((Main!B5-Main!B3)*15+14),"mmmm dd yyyy"))</f>
        <v>Debts Or Credits For the Comming June 20 2025 to July 19 2025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"&amp;IF(Main!B2,TEXT(EDATE(Main!B3,14)-1,"mmmm yyyy"),TEXT(Main!B3+((Main!B5-Main!B3)*14+13),"mmmm yyyy"))</f>
        <v>Balance Brought Forward From June 2025</v>
      </c>
      <c r="B170" s="56"/>
      <c r="C170" s="57"/>
      <c r="D170" s="57"/>
      <c r="E170" s="90">
        <f ca="1">E163</f>
        <v>1207.5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112" t="s">
        <v>266</v>
      </c>
      <c r="D172" s="112"/>
      <c r="E172" s="36">
        <v>1100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71" customHeight="1" spans="1:9">
      <c r="A183" s="62"/>
      <c r="B183" s="63"/>
      <c r="C183" s="100" t="s">
        <v>267</v>
      </c>
      <c r="D183" s="100"/>
      <c r="E183" s="98">
        <v>775</v>
      </c>
      <c r="F183" s="14"/>
      <c r="G183" s="14"/>
      <c r="H183" s="14"/>
      <c r="I183" s="47"/>
    </row>
    <row r="184" ht="61" customHeight="1" spans="1:9">
      <c r="A184" s="62"/>
      <c r="B184" s="63"/>
      <c r="C184" s="100" t="s">
        <v>197</v>
      </c>
      <c r="D184" s="100"/>
      <c r="E184" s="98">
        <v>400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967.500000000001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33" operator="greaterThanOrEqual">
      <formula>0</formula>
    </cfRule>
    <cfRule type="cellIs" dxfId="1" priority="32" operator="lessThan">
      <formula>0</formula>
    </cfRule>
  </conditionalFormatting>
  <conditionalFormatting sqref="C75">
    <cfRule type="cellIs" dxfId="0" priority="78" operator="equal">
      <formula>0</formula>
    </cfRule>
    <cfRule type="cellIs" dxfId="1" priority="77" operator="greaterThan">
      <formula>0</formula>
    </cfRule>
  </conditionalFormatting>
  <conditionalFormatting sqref="C77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87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90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91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C108">
    <cfRule type="cellIs" dxfId="0" priority="31" operator="greaterThanOrEqual">
      <formula>0</formula>
    </cfRule>
    <cfRule type="cellIs" dxfId="1" priority="30" operator="lessThan">
      <formula>0</formula>
    </cfRule>
  </conditionalFormatting>
  <conditionalFormatting sqref="C109">
    <cfRule type="cellIs" dxfId="0" priority="29" operator="greaterThanOrEqual">
      <formula>0</formula>
    </cfRule>
    <cfRule type="cellIs" dxfId="1" priority="28" operator="lessThan">
      <formula>0</formula>
    </cfRule>
  </conditionalFormatting>
  <conditionalFormatting sqref="E116">
    <cfRule type="cellIs" dxfId="4" priority="39" operator="greaterThanOrEqual">
      <formula>0</formula>
    </cfRule>
    <cfRule type="cellIs" dxfId="5" priority="38" operator="lessThan">
      <formula>0</formula>
    </cfRule>
  </conditionalFormatting>
  <conditionalFormatting sqref="E118">
    <cfRule type="cellIs" dxfId="0" priority="8" operator="equal">
      <formula>0</formula>
    </cfRule>
    <cfRule type="cellIs" dxfId="1" priority="7" operator="greaterThan">
      <formula>0</formula>
    </cfRule>
  </conditionalFormatting>
  <conditionalFormatting sqref="E129">
    <cfRule type="cellIs" dxfId="6" priority="20" operator="equal">
      <formula>0</formula>
    </cfRule>
  </conditionalFormatting>
  <conditionalFormatting sqref="E130">
    <cfRule type="cellIs" dxfId="7" priority="19" operator="equal">
      <formula>0</formula>
    </cfRule>
    <cfRule type="cellIs" dxfId="6" priority="18" operator="equal">
      <formula>0</formula>
    </cfRule>
  </conditionalFormatting>
  <conditionalFormatting sqref="E131">
    <cfRule type="cellIs" dxfId="1" priority="4" operator="greaterThan">
      <formula>0</formula>
    </cfRule>
    <cfRule type="cellIs" dxfId="3" priority="3" operator="equal">
      <formula>0</formula>
    </cfRule>
  </conditionalFormatting>
  <conditionalFormatting sqref="E136">
    <cfRule type="cellIs" dxfId="4" priority="70" operator="greaterThanOrEqual">
      <formula>0</formula>
    </cfRule>
    <cfRule type="cellIs" dxfId="5" priority="69" operator="lessThan">
      <formula>0</formula>
    </cfRule>
  </conditionalFormatting>
  <conditionalFormatting sqref="E143">
    <cfRule type="cellIs" dxfId="4" priority="57" operator="greaterThanOrEqual">
      <formula>0</formula>
    </cfRule>
    <cfRule type="cellIs" dxfId="5" priority="56" operator="lessThan">
      <formula>0</formula>
    </cfRule>
  </conditionalFormatting>
  <conditionalFormatting sqref="E145">
    <cfRule type="cellIs" dxfId="0" priority="2" operator="equal">
      <formula>0</formula>
    </cfRule>
    <cfRule type="cellIs" dxfId="1" priority="1" operator="greaterThan">
      <formula>0</formula>
    </cfRule>
  </conditionalFormatting>
  <conditionalFormatting sqref="E156">
    <cfRule type="cellIs" dxfId="6" priority="16" operator="equal">
      <formula>0</formula>
    </cfRule>
  </conditionalFormatting>
  <conditionalFormatting sqref="E157">
    <cfRule type="cellIs" dxfId="7" priority="15" operator="equal">
      <formula>0</formula>
    </cfRule>
    <cfRule type="cellIs" dxfId="6" priority="14" operator="equal">
      <formula>0</formula>
    </cfRule>
  </conditionalFormatting>
  <conditionalFormatting sqref="E163">
    <cfRule type="cellIs" dxfId="4" priority="59" operator="greaterThanOrEqual">
      <formula>0</formula>
    </cfRule>
    <cfRule type="cellIs" dxfId="5" priority="58" operator="lessThan">
      <formula>0</formula>
    </cfRule>
  </conditionalFormatting>
  <conditionalFormatting sqref="E170">
    <cfRule type="cellIs" dxfId="4" priority="51" operator="greaterThanOrEqual">
      <formula>0</formula>
    </cfRule>
    <cfRule type="cellIs" dxfId="5" priority="50" operator="lessThan">
      <formula>0</formula>
    </cfRule>
  </conditionalFormatting>
  <conditionalFormatting sqref="E172">
    <cfRule type="cellIs" dxfId="0" priority="6" operator="equal">
      <formula>0</formula>
    </cfRule>
    <cfRule type="cellIs" dxfId="1" priority="5" operator="greaterThan">
      <formula>0</formula>
    </cfRule>
  </conditionalFormatting>
  <conditionalFormatting sqref="E184">
    <cfRule type="cellIs" dxfId="7" priority="12" operator="equal">
      <formula>0</formula>
    </cfRule>
  </conditionalFormatting>
  <conditionalFormatting sqref="E190">
    <cfRule type="cellIs" dxfId="4" priority="53" operator="greaterThanOrEqual">
      <formula>0</formula>
    </cfRule>
    <cfRule type="cellIs" dxfId="5" priority="52" operator="lessThan">
      <formula>0</formula>
    </cfRule>
  </conditionalFormatting>
  <conditionalFormatting sqref="C57:C66">
    <cfRule type="cellIs" dxfId="0" priority="82" operator="equal">
      <formula>0</formula>
    </cfRule>
    <cfRule type="cellIs" dxfId="1" priority="81" operator="greaterThan">
      <formula>0</formula>
    </cfRule>
  </conditionalFormatting>
  <conditionalFormatting sqref="C68:C69">
    <cfRule type="cellIs" dxfId="0" priority="80" operator="equal">
      <formula>0</formula>
    </cfRule>
    <cfRule type="cellIs" dxfId="1" priority="79" operator="greaterThan">
      <formula>0</formula>
    </cfRule>
  </conditionalFormatting>
  <conditionalFormatting sqref="C70:C74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78:C79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C80:C84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88:C89">
    <cfRule type="cellIs" dxfId="6" priority="26" operator="equal">
      <formula>0</formula>
    </cfRule>
  </conditionalFormatting>
  <conditionalFormatting sqref="C92:C94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98:C107">
    <cfRule type="cellIs" dxfId="1" priority="47" operator="lessThan">
      <formula>0</formula>
    </cfRule>
    <cfRule type="cellIs" dxfId="3" priority="46" operator="greaterThanOrEqual">
      <formula>0</formula>
    </cfRule>
  </conditionalFormatting>
  <conditionalFormatting sqref="E119:E127">
    <cfRule type="cellIs" dxfId="0" priority="45" operator="equal">
      <formula>0</formula>
    </cfRule>
    <cfRule type="cellIs" dxfId="1" priority="44" operator="greaterThan">
      <formula>0</formula>
    </cfRule>
  </conditionalFormatting>
  <conditionalFormatting sqref="E146:E154">
    <cfRule type="cellIs" dxfId="0" priority="43" operator="equal">
      <formula>0</formula>
    </cfRule>
    <cfRule type="cellIs" dxfId="1" priority="42" operator="greaterThan">
      <formula>0</formula>
    </cfRule>
  </conditionalFormatting>
  <conditionalFormatting sqref="E173:E181">
    <cfRule type="cellIs" dxfId="0" priority="41" operator="equal">
      <formula>0</formula>
    </cfRule>
    <cfRule type="cellIs" dxfId="1" priority="40" operator="greaterThan">
      <formula>0</formula>
    </cfRule>
  </conditionalFormatting>
  <conditionalFormatting sqref="E183:E184">
    <cfRule type="cellIs" dxfId="6" priority="11" operator="equal">
      <formula>0</formula>
    </cfRule>
  </conditionalFormatting>
  <conditionalFormatting sqref="C47:C55 C85 C95:C96">
    <cfRule type="cellIs" dxfId="0" priority="84" operator="equal">
      <formula>0</formula>
    </cfRule>
  </conditionalFormatting>
  <conditionalFormatting sqref="C47:C55 C85 C95:C96 E144 E155 E158:E162">
    <cfRule type="cellIs" dxfId="1" priority="83" operator="greaterThan">
      <formula>0</formula>
    </cfRule>
  </conditionalFormatting>
  <conditionalFormatting sqref="E117 E128 E132:E135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E144 E155 E158:E162">
    <cfRule type="cellIs" dxfId="3" priority="60" operator="equal">
      <formula>0</formula>
    </cfRule>
  </conditionalFormatting>
  <conditionalFormatting sqref="E171 E182 E185:E189">
    <cfRule type="cellIs" dxfId="3" priority="55" operator="equal">
      <formula>0</formula>
    </cfRule>
    <cfRule type="cellIs" dxfId="1" priority="54" operator="greaterThan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47" workbookViewId="0">
      <selection activeCell="D91" sqref="D91"/>
    </sheetView>
  </sheetViews>
  <sheetFormatPr defaultColWidth="9" defaultRowHeight="17.6"/>
  <cols>
    <col min="1" max="1" width="24.8819444444444" customWidth="1"/>
    <col min="2" max="2" width="29.625" customWidth="1"/>
    <col min="3" max="8" width="20.625" customWidth="1"/>
  </cols>
  <sheetData>
    <row r="1" ht="24.75" customHeight="1" spans="1:9">
      <c r="A1" s="1" t="str">
        <f>"Forecasts For the Year "&amp;IF(Main!B2,TEXT(EDATE(Main!B3,15),"mmmm yyyy"),TEXT(Main!B3+((Main!B5-Main!B3)*15+15),"mmmm yyyy"))&amp;" to "&amp;IF(Main!B2,TEXT(EDATE(Main!B3,18)-1,"mmmm yyyy"),TEXT(Main!B3+((Main!B5-Main!B3)*18+17),"mmmm yyyy"))</f>
        <v>Forecasts For the Year July 2025 to October 2025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775.500000000001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1957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IF(Main!B2,TEXT(EDATE(Main!B3,15),"dd mmmm yyyy"),TEXT(Main!B3+((Main!B5-Main!B3)*15+15),"dd mmmm yyyy"))&amp;" - "&amp;IF(Main!B2,TEXT(EDATE(Main!B3,16)-1,"dd mmmm yyyy"),TEXT(Main!B3+((Main!B5-Main!B3)*16+15),"dd mmmm yyyy"))&amp;" / "&amp;" (Revenue / Deferred Debts Or Expenses)"</f>
        <v>20 July 2025 - 19 August 2025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268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269</v>
      </c>
      <c r="C12" s="96"/>
      <c r="D12" s="97" t="s">
        <v>270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1"/>
      <c r="E13" s="22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IF(Main!B2,TEXT(EDATE(Main!B3,16),"dd mmmm yyyy"),TEXT(Main!B3+((Main!B5-Main!B3)*16+16),"dd mmmm yyyy"))&amp;" - "&amp;IF(Main!B2,TEXT(EDATE(Main!B3,17)-1,"dd mmmm yyyy"),TEXT(Main!B3+((Main!B5-Main!B3)*17+16),"dd mmmm yyyy"))&amp;" / "&amp;" (Revenue / Deferred Debts Or Expenses)"</f>
        <v>20 August 2025 - 19 September 2025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271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33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IF(Main!B2,TEXT(EDATE(Main!B3,17),"dd mmmm yyyy"),TEXT(Main!B3+((Main!B5-Main!B3)*17+17),"dd mmmm yyyy"))&amp;" - "&amp;IF(Main!B2,TEXT(EDATE(Main!B3,18)-1,"dd mmmm yyyy"),TEXT(Main!B3+((Main!B5-Main!B3)*18+17),"dd mmmm yyyy"))&amp;" / "&amp;" (Revenue / Deferred Debts Or Expenses)"</f>
        <v>20 September 2025 - 19 October 2025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97" t="s">
        <v>53</v>
      </c>
      <c r="E34" s="97"/>
      <c r="F34" s="7">
        <v>2435</v>
      </c>
      <c r="G34" s="7"/>
      <c r="H34" s="14"/>
      <c r="I34" s="47"/>
    </row>
    <row r="35" ht="24.75" customHeight="1" spans="1:9">
      <c r="A35" s="95" t="s">
        <v>272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109"/>
      <c r="B36" s="110" t="s">
        <v>273</v>
      </c>
      <c r="C36" s="111"/>
      <c r="D36" s="110" t="s">
        <v>274</v>
      </c>
      <c r="E36" s="111"/>
      <c r="F36" s="7">
        <v>0</v>
      </c>
      <c r="G36" s="7"/>
      <c r="H36" s="14"/>
      <c r="I36" s="48"/>
    </row>
    <row r="37" ht="24.75" customHeight="1" spans="1:9">
      <c r="A37" s="19"/>
      <c r="B37" s="21" t="s">
        <v>275</v>
      </c>
      <c r="C37" s="22"/>
      <c r="D37" s="23"/>
      <c r="E37" s="43"/>
      <c r="F37" s="41">
        <v>149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2584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"&amp;IF(Main!B2,TEXT(EDATE(Main!B3,15),"mmmm yyyy"),TEXT(Main!B3+((Main!B5-Main!B3)*15+15),"mmmm yyyy"))&amp;" to "&amp;IF(Main!B2,TEXT(EDATE(Main!B3,18)-1,"mmmm yyyy"),TEXT(Main!B3+((Main!B5-Main!B3)*18+17),"mmmm yyyy"))</f>
        <v>Fixed Expense For the Year July 2025 to October 2025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6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98">
        <v>0</v>
      </c>
      <c r="D87" s="14"/>
      <c r="E87" s="14"/>
      <c r="F87" s="14"/>
      <c r="G87" s="14"/>
      <c r="H87" s="14"/>
      <c r="I87" s="47"/>
    </row>
    <row r="88" ht="50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98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108" cm="1">
        <f ca="1" t="array" ref="C98">INDIRECT("'"&amp;INDIRECT("Main!B21")&amp;"'!C98")+SUM(E118+E145+E172)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108" cm="1">
        <f ca="1" t="array" ref="C99">INDIRECT("'"&amp;INDIRECT("Main!B21")&amp;"'!C99")+SUM(E119+E146+E173)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108" cm="1">
        <f ca="1" t="array" ref="C100">INDIRECT("'"&amp;INDIRECT("Main!B21")&amp;"'!C100")+SUM(E120+E147+E174)</f>
        <v>0</v>
      </c>
      <c r="D100" s="14"/>
      <c r="E100" s="14"/>
      <c r="F100" s="14"/>
      <c r="G100" s="14"/>
      <c r="H100" s="14"/>
      <c r="I100" s="47"/>
    </row>
    <row r="101" ht="4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108" cm="1">
        <f ca="1" t="array" ref="C101">INDIRECT("'"&amp;INDIRECT("Main!B21")&amp;"'!C101")+SUM(E121+E148+E175)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108" cm="1">
        <f ca="1" t="array" ref="C102">INDIRECT("'"&amp;INDIRECT("Main!B21")&amp;"'!C102")+SUM(E122+E149+E176)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108" cm="1">
        <f ca="1" t="array" ref="C103">INDIRECT("'"&amp;INDIRECT("Main!B21")&amp;"'!C103")+SUM(E123+E150+E177)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108" cm="1">
        <f ca="1" t="array" ref="C104">INDIRECT("'"&amp;INDIRECT("Main!B21")&amp;"'!C104")+SUM(E124+E151+E178)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108" cm="1">
        <f ca="1" t="array" ref="C105">INDIRECT("'"&amp;INDIRECT("Main!B21")&amp;"'!C105")+SUM(E125+E152+E179)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108" cm="1">
        <f ca="1" t="array" ref="C106">INDIRECT("'"&amp;INDIRECT("Main!B21")&amp;"'!C106")+SUM(E126+E153+E180)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108" cm="1">
        <f ca="1" t="array" ref="C107">INDIRECT("'"&amp;INDIRECT("Main!B21")&amp;"'!C107")+SUM(E127+E154+E181)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108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108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"&amp;IF(Main!B2,TEXT(EDATE(Main!B3,15),"mmmm dd yyyy"),TEXT(Main!B3+((Main!B5-Main!B3)*15+15),"mmmm dd yyyy"))&amp;" to "&amp;IF(Main!B2,TEXT(EDATE(Main!B3,16)-1,"mmmm dd yyyy"),TEXT(Main!B3+((Main!B5-Main!B3)*16+15),"mmmm dd yyyy"))</f>
        <v>Debts Or Credits For the Comming July 20 2025 to August 19 2025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"&amp;IF(Main!B2,TEXT(EDATE(Main!B3,15)-1,"mmmm yyyy"),TEXT(Main!B3+((Main!B5-Main!B3)*15+14),"mmmm yyyy"))</f>
        <v>Balance Brought Forward From July 2025</v>
      </c>
      <c r="B116" s="56"/>
      <c r="C116" s="57"/>
      <c r="D116" s="57"/>
      <c r="E116" s="70" cm="1">
        <f ca="1" t="array" ref="E116">INDIRECT("'"&amp;INDIRECT("Main!B21")&amp;"'!E190")</f>
        <v>967.500000000001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112" t="s">
        <v>266</v>
      </c>
      <c r="D118" s="112"/>
      <c r="E118" s="98">
        <v>1100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104" customHeight="1" spans="1:9">
      <c r="A129" s="62"/>
      <c r="B129" s="63"/>
      <c r="C129" s="100" t="s">
        <v>276</v>
      </c>
      <c r="D129" s="100"/>
      <c r="E129" s="98">
        <v>669</v>
      </c>
      <c r="F129" s="14"/>
      <c r="G129" s="14"/>
      <c r="H129" s="14"/>
      <c r="I129" s="47"/>
    </row>
    <row r="130" ht="30" customHeight="1" spans="1:9">
      <c r="A130" s="62"/>
      <c r="B130" s="63"/>
      <c r="C130" s="100" t="s">
        <v>277</v>
      </c>
      <c r="D130" s="100"/>
      <c r="E130" s="98">
        <v>400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833.500000000001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"&amp;IF(Main!B2,TEXT(EDATE(Main!B3,16),"mmmm dd yyyy"),TEXT(Main!B3+((Main!B5-Main!B3)*16+16),"dd mmmm yyyy"))&amp;" to "&amp;IF(Main!B2,TEXT(EDATE(Main!B3,17)-1,"mmmm dd yyyy"),TEXT(Main!B3+((Main!B5-Main!B3)*17+16),"mmmm dd yyyy"))</f>
        <v>Debts Or Credits For the Comming August 20 2025 to September 19 2025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"&amp;IF(Main!B2,TEXT(EDATE(Main!B3,16)-1,"mmmm yyyy"),TEXT(Main!B3+((Main!B5-Main!B3)*16+15),"mmmm yyyy"))</f>
        <v>Balance Brought Forward From August 2025</v>
      </c>
      <c r="B143" s="56"/>
      <c r="C143" s="57"/>
      <c r="D143" s="57"/>
      <c r="E143" s="87">
        <f ca="1">E136</f>
        <v>833.500000000001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112" t="s">
        <v>278</v>
      </c>
      <c r="D145" s="112"/>
      <c r="E145" s="98">
        <v>800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95" customHeight="1" spans="1:9">
      <c r="A156" s="62"/>
      <c r="B156" s="63"/>
      <c r="C156" s="100" t="s">
        <v>279</v>
      </c>
      <c r="D156" s="100"/>
      <c r="E156" s="98">
        <v>825</v>
      </c>
      <c r="F156" s="14"/>
      <c r="G156" s="14"/>
      <c r="H156" s="14"/>
      <c r="I156" s="47"/>
    </row>
    <row r="157" ht="40" customHeight="1" spans="1:9">
      <c r="A157" s="62"/>
      <c r="B157" s="63"/>
      <c r="C157" s="100" t="s">
        <v>277</v>
      </c>
      <c r="D157" s="100"/>
      <c r="E157" s="98">
        <v>400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843.500000000001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"&amp;IF(Main!B2,TEXT(EDATE(Main!B3,17),"mmmm dd yyyy"),TEXT(Main!B3+((Main!B5-Main!B3)*17+17),"mmmm dd yyyy"))&amp;" to "&amp;IF(Main!B2,TEXT(EDATE(Main!B3,18)-1,"mmmm dd yyyy"),TEXT(Main!B3+((Main!B5-Main!B3)*18+17),"mmmm dd yyyy"))</f>
        <v>Debts Or Credits For the Comming September 20 2025 to October 19 2025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"&amp;IF(Main!B2,TEXT(EDATE(Main!B3,17)-1,"mmmm yyyy"),TEXT(Main!B3+((Main!B5-Main!B3)*17+16),"mmmm yyyy"))</f>
        <v>Balance Brought Forward From September 2025</v>
      </c>
      <c r="B170" s="56"/>
      <c r="C170" s="57"/>
      <c r="D170" s="57"/>
      <c r="E170" s="90">
        <f ca="1">E163</f>
        <v>843.500000000001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112" t="s">
        <v>280</v>
      </c>
      <c r="D172" s="112"/>
      <c r="E172" s="98">
        <v>100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112" t="s">
        <v>281</v>
      </c>
      <c r="D177" s="112"/>
      <c r="E177" s="36">
        <v>1083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110" customHeight="1" spans="1:9">
      <c r="A183" s="62"/>
      <c r="B183" s="63"/>
      <c r="C183" s="100" t="s">
        <v>276</v>
      </c>
      <c r="D183" s="100"/>
      <c r="E183" s="98">
        <v>669</v>
      </c>
      <c r="F183" s="14"/>
      <c r="G183" s="14"/>
      <c r="H183" s="14"/>
      <c r="I183" s="47"/>
    </row>
    <row r="184" ht="39" customHeight="1" spans="1:9">
      <c r="A184" s="62"/>
      <c r="B184" s="63"/>
      <c r="C184" s="100" t="s">
        <v>277</v>
      </c>
      <c r="D184" s="100"/>
      <c r="E184" s="98">
        <v>400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775.500000000001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7" operator="greaterThanOrEqual">
      <formula>0</formula>
    </cfRule>
    <cfRule type="cellIs" dxfId="1" priority="26" operator="lessThan">
      <formula>0</formula>
    </cfRule>
  </conditionalFormatting>
  <conditionalFormatting sqref="C75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7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90">
    <cfRule type="cellIs" dxfId="7" priority="21" operator="equal">
      <formula>0</formula>
    </cfRule>
  </conditionalFormatting>
  <conditionalFormatting sqref="C91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108">
    <cfRule type="cellIs" dxfId="0" priority="25" operator="greaterThanOrEqual">
      <formula>0</formula>
    </cfRule>
    <cfRule type="cellIs" dxfId="1" priority="24" operator="lessThan">
      <formula>0</formula>
    </cfRule>
  </conditionalFormatting>
  <conditionalFormatting sqref="C109">
    <cfRule type="cellIs" dxfId="0" priority="23" operator="greaterThanOrEqual">
      <formula>0</formula>
    </cfRule>
    <cfRule type="cellIs" dxfId="1" priority="22" operator="lessThan">
      <formula>0</formula>
    </cfRule>
  </conditionalFormatting>
  <conditionalFormatting sqref="E116">
    <cfRule type="cellIs" dxfId="4" priority="33" operator="greaterThanOrEqual">
      <formula>0</formula>
    </cfRule>
    <cfRule type="cellIs" dxfId="5" priority="32" operator="lessThan">
      <formula>0</formula>
    </cfRule>
  </conditionalFormatting>
  <conditionalFormatting sqref="E118">
    <cfRule type="cellIs" dxfId="6" priority="1" operator="equal">
      <formula>0</formula>
    </cfRule>
  </conditionalFormatting>
  <conditionalFormatting sqref="E129">
    <cfRule type="cellIs" dxfId="6" priority="18" operator="equal">
      <formula>0</formula>
    </cfRule>
  </conditionalFormatting>
  <conditionalFormatting sqref="E130">
    <cfRule type="cellIs" dxfId="7" priority="17" operator="equal">
      <formula>0</formula>
    </cfRule>
    <cfRule type="cellIs" dxfId="6" priority="16" operator="equal">
      <formula>0</formula>
    </cfRule>
  </conditionalFormatting>
  <conditionalFormatting sqref="E136">
    <cfRule type="cellIs" dxfId="4" priority="64" operator="greaterThanOrEqual">
      <formula>0</formula>
    </cfRule>
    <cfRule type="cellIs" dxfId="5" priority="63" operator="lessThan">
      <formula>0</formula>
    </cfRule>
  </conditionalFormatting>
  <conditionalFormatting sqref="E143">
    <cfRule type="cellIs" dxfId="4" priority="51" operator="greaterThanOrEqual">
      <formula>0</formula>
    </cfRule>
    <cfRule type="cellIs" dxfId="5" priority="50" operator="lessThan">
      <formula>0</formula>
    </cfRule>
  </conditionalFormatting>
  <conditionalFormatting sqref="E145">
    <cfRule type="cellIs" dxfId="6" priority="13" operator="equal">
      <formula>0</formula>
    </cfRule>
  </conditionalFormatting>
  <conditionalFormatting sqref="E156">
    <cfRule type="cellIs" dxfId="6" priority="12" operator="equal">
      <formula>0</formula>
    </cfRule>
  </conditionalFormatting>
  <conditionalFormatting sqref="E157">
    <cfRule type="cellIs" dxfId="7" priority="11" operator="equal">
      <formula>0</formula>
    </cfRule>
    <cfRule type="cellIs" dxfId="6" priority="10" operator="equal">
      <formula>0</formula>
    </cfRule>
  </conditionalFormatting>
  <conditionalFormatting sqref="E163">
    <cfRule type="cellIs" dxfId="4" priority="53" operator="greaterThanOrEqual">
      <formula>0</formula>
    </cfRule>
    <cfRule type="cellIs" dxfId="5" priority="52" operator="lessThan">
      <formula>0</formula>
    </cfRule>
  </conditionalFormatting>
  <conditionalFormatting sqref="E170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E172">
    <cfRule type="cellIs" dxfId="6" priority="2" operator="equal">
      <formula>0</formula>
    </cfRule>
  </conditionalFormatting>
  <conditionalFormatting sqref="E183">
    <cfRule type="cellIs" dxfId="6" priority="7" operator="equal">
      <formula>0</formula>
    </cfRule>
  </conditionalFormatting>
  <conditionalFormatting sqref="E184">
    <cfRule type="cellIs" dxfId="7" priority="6" operator="equal">
      <formula>0</formula>
    </cfRule>
    <cfRule type="cellIs" dxfId="6" priority="5" operator="equal">
      <formula>0</formula>
    </cfRule>
  </conditionalFormatting>
  <conditionalFormatting sqref="E185">
    <cfRule type="cellIs" dxfId="1" priority="4" operator="greaterThan">
      <formula>0</formula>
    </cfRule>
    <cfRule type="cellIs" dxfId="3" priority="3" operator="equal">
      <formula>0</formula>
    </cfRule>
  </conditionalFormatting>
  <conditionalFormatting sqref="E190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C57:C66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68:C69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70:C74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C78:C79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C80:C8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87:C90">
    <cfRule type="cellIs" dxfId="6" priority="20" operator="equal">
      <formula>0</formula>
    </cfRule>
  </conditionalFormatting>
  <conditionalFormatting sqref="C92:C9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98:C107">
    <cfRule type="cellIs" dxfId="1" priority="41" operator="lessThan">
      <formula>0</formula>
    </cfRule>
    <cfRule type="cellIs" dxfId="3" priority="40" operator="greaterThanOrEqual">
      <formula>0</formula>
    </cfRule>
  </conditionalFormatting>
  <conditionalFormatting sqref="E119:E127">
    <cfRule type="cellIs" dxfId="0" priority="39" operator="equal">
      <formula>0</formula>
    </cfRule>
    <cfRule type="cellIs" dxfId="1" priority="38" operator="greaterThan">
      <formula>0</formula>
    </cfRule>
  </conditionalFormatting>
  <conditionalFormatting sqref="E146:E150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E151:E154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E173:E177">
    <cfRule type="cellIs" dxfId="0" priority="9" operator="equal">
      <formula>0</formula>
    </cfRule>
    <cfRule type="cellIs" dxfId="1" priority="8" operator="greaterThan">
      <formula>0</formula>
    </cfRule>
  </conditionalFormatting>
  <conditionalFormatting sqref="E178:E181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C47:C55 C85 C95:C96">
    <cfRule type="cellIs" dxfId="0" priority="78" operator="equal">
      <formula>0</formula>
    </cfRule>
  </conditionalFormatting>
  <conditionalFormatting sqref="C47:C55 C85 C95:C96 E144 E155 E158:E162">
    <cfRule type="cellIs" dxfId="1" priority="77" operator="greaterThan">
      <formula>0</formula>
    </cfRule>
  </conditionalFormatting>
  <conditionalFormatting sqref="E117 E128 E131:E13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E144 E155 E158:E162">
    <cfRule type="cellIs" dxfId="3" priority="54" operator="equal">
      <formula>0</formula>
    </cfRule>
  </conditionalFormatting>
  <conditionalFormatting sqref="E171 E182 E186:E189">
    <cfRule type="cellIs" dxfId="3" priority="49" operator="equal">
      <formula>0</formula>
    </cfRule>
    <cfRule type="cellIs" dxfId="1" priority="48" operator="greaterThan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55" workbookViewId="0">
      <selection activeCell="E131" sqref="E131"/>
    </sheetView>
  </sheetViews>
  <sheetFormatPr defaultColWidth="9" defaultRowHeight="17.6"/>
  <cols>
    <col min="1" max="1" width="26.5" customWidth="1"/>
    <col min="2" max="2" width="20.625" customWidth="1"/>
    <col min="3" max="3" width="26.25" customWidth="1"/>
    <col min="4" max="8" width="20.625" customWidth="1"/>
  </cols>
  <sheetData>
    <row r="1" ht="24.75" customHeight="1" spans="1:9">
      <c r="A1" s="1" t="str">
        <f>"Forecasts For the Year "&amp;IF(Main!B2,TEXT(EDATE(Main!B3,18),"mmmm yyyy"),TEXT(Main!B3+((Main!B5-Main!B3)*18+18),"mmmm yyyy"))&amp;" to "&amp;IF(Main!B2,TEXT(EDATE(Main!B3,21)-1,"mmmm yyyy"),TEXT(Main!B3+((Main!B5-Main!B3)*21+20),"mmmm yyyy"))</f>
        <v>Forecasts For the Year October 2025 to January 2026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spans="1:9">
      <c r="A3" s="5"/>
      <c r="B3" s="6" t="s">
        <v>129</v>
      </c>
      <c r="C3" s="7">
        <f ca="1">E190</f>
        <v>2707.6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3889.1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IF(Main!B2,TEXT(EDATE(Main!B3,18),"dd mmmm yyyy"),TEXT(Main!B3+((Main!B5-Main!B3)*18+18),"dd mmmm yyyy"))&amp;" - "&amp;IF(Main!B2,TEXT(EDATE(Main!B3,19)-1,"dd mmmm yyyy"),TEXT(Main!B3+((Main!B5-Main!B3)*19+18),"dd mmmm yyyy"))&amp;" / "&amp;" (Revenue / Deferred Debts Or Expenses)"</f>
        <v>20 October 2025 - 19 November 2025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282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223</v>
      </c>
      <c r="C12" s="96"/>
      <c r="D12" s="97" t="s">
        <v>224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IF(Main!B2,TEXT(EDATE(Main!B3,19),"dd mmmm yyyy"),TEXT(Main!B3+((Main!B5-Main!B3)*19+19),"dd mmmm yyyy"))&amp;" - "&amp;IF(Main!B2,TEXT(EDATE(Main!B3,20)-1,"dd mmmm yyyy"),TEXT(Main!B3+((Main!B5-Main!B3)*20+19),"dd mmmm yyyy"))&amp;" / "&amp;" (Revenue / Deferred Debts Or Expenses)"</f>
        <v>20 November 2025 - 19 December 2025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283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19"/>
      <c r="B24" s="21"/>
      <c r="C24" s="22"/>
      <c r="D24" s="23"/>
      <c r="E24" s="43"/>
      <c r="F24" s="41">
        <v>0</v>
      </c>
      <c r="G24" s="42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IF(Main!B2,TEXT(EDATE(Main!B3,20),"dd mmmm yyyy"),TEXT(Main!B3+((Main!B5-Main!B3)*20+20),"dd mmmm yyyy"))&amp;" - "&amp;IF(Main!B2,TEXT(EDATE(Main!B3,21)-1,"dd mmmm yyyy"),TEXT(Main!B3+((Main!B5-Main!B3)*21+20),"dd mmmm yyyy"))&amp;" / "&amp;" (Revenue / Deferred Debts Or Expenses)"</f>
        <v>20 December 2025 - 19 January 2026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104" t="s">
        <v>52</v>
      </c>
      <c r="C34" s="105"/>
      <c r="D34" s="104" t="s">
        <v>53</v>
      </c>
      <c r="E34" s="105"/>
      <c r="F34" s="106">
        <v>2435</v>
      </c>
      <c r="G34" s="107"/>
      <c r="H34" s="14"/>
      <c r="I34" s="47"/>
    </row>
    <row r="35" ht="24.75" customHeight="1" spans="1:9">
      <c r="A35" s="95" t="s">
        <v>284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"&amp;IF(Main!B2,TEXT(EDATE(Main!B3,18),"mmmm yyyy"),TEXT(Main!B3+((Main!B5-Main!B3)*18+18),"mmmm yyyy"))&amp;" to "&amp;IF(Main!B2,TEXT(EDATE(Main!B3,21)-1,"mmmm yyyy"),TEXT(Main!B3+((Main!B5-Main!B3)*21+20),"mmmm yyyy"))</f>
        <v>Fixed Expense For the Year October 2025 to January 2026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4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48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59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108" cm="1">
        <f ca="1" t="array" ref="C98">INDIRECT("'"&amp;INDIRECT("Main!B24")&amp;"'!C98")+SUM(E118+E145+E172)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108" cm="1">
        <f ca="1" t="array" ref="C99">INDIRECT("'"&amp;INDIRECT("Main!B24")&amp;"'!C99")+SUM(E119+E146+E173)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108" cm="1">
        <f ca="1" t="array" ref="C100">INDIRECT("'"&amp;INDIRECT("Main!B24")&amp;"'!C100")+SUM(E120+E147+E174)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108" cm="1">
        <f ca="1" t="array" ref="C101">INDIRECT("'"&amp;INDIRECT("Main!B24")&amp;"'!C101")+SUM(E121+E148+E175)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108" cm="1">
        <f ca="1" t="array" ref="C102">INDIRECT("'"&amp;INDIRECT("Main!B24")&amp;"'!C102")+SUM(E122+E149+E176)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108" cm="1">
        <f ca="1" t="array" ref="C103">INDIRECT("'"&amp;INDIRECT("Main!B24")&amp;"'!C103")+SUM(E123+E150+E177)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108" cm="1">
        <f ca="1" t="array" ref="C104">INDIRECT("'"&amp;INDIRECT("Main!B24")&amp;"'!C104")+SUM(E124+E151+E178)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108" cm="1">
        <f ca="1" t="array" ref="C105">INDIRECT("'"&amp;INDIRECT("Main!B24")&amp;"'!C105")+SUM(E125+E152+E179)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108" cm="1">
        <f ca="1" t="array" ref="C106">INDIRECT("'"&amp;INDIRECT("Main!B24")&amp;"'!C106")+SUM(E126+E153+E180)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108" cm="1">
        <f ca="1" t="array" ref="C107">INDIRECT("'"&amp;INDIRECT("Main!B24")&amp;"'!C107")+SUM(E127+E154+E181)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108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108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"&amp;IF(Main!B2,TEXT(EDATE(Main!B3,18),"mmmm dd yyyy"),TEXT(Main!B3+((Main!B5-Main!B3)*18+18),"mmmm dd yyyy"))&amp;" to "&amp;IF(Main!B2,TEXT(EDATE(Main!B3,19)-1,"mmmm dd yyyy"),TEXT(Main!B3+((Main!B5-Main!B3)*19+18),"mmmm dd yyyy"))</f>
        <v>Debts Or Credits For the Comming October 20 2025 to November 19 2025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"&amp;IF(Main!B2,TEXT(EDATE(Main!B3,18)-1,"mmmm yyyy"),TEXT(Main!B3+((Main!B5-Main!B3)*18+17),"mmmm yyyy"))</f>
        <v>Balance Brought Forward From October 2025</v>
      </c>
      <c r="B116" s="56"/>
      <c r="C116" s="57"/>
      <c r="D116" s="57"/>
      <c r="E116" s="70" cm="1">
        <f ca="1" t="array" ref="E116">INDIRECT("'"&amp;INDIRECT("Main!B24")&amp;"'!E190")</f>
        <v>775.500000000001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69" customHeight="1" spans="1:9">
      <c r="A129" s="62"/>
      <c r="B129" s="63"/>
      <c r="C129" s="100" t="s">
        <v>267</v>
      </c>
      <c r="D129" s="100"/>
      <c r="E129" s="98">
        <v>775</v>
      </c>
      <c r="F129" s="14"/>
      <c r="G129" s="14"/>
      <c r="H129" s="14"/>
      <c r="I129" s="47"/>
    </row>
    <row r="130" ht="24.75" customHeight="1" spans="1:9">
      <c r="A130" s="62"/>
      <c r="B130" s="63"/>
      <c r="C130" s="100" t="s">
        <v>197</v>
      </c>
      <c r="D130" s="100"/>
      <c r="E130" s="98">
        <v>523.3</v>
      </c>
      <c r="F130" s="14"/>
      <c r="G130" s="14"/>
      <c r="H130" s="14"/>
      <c r="I130" s="47"/>
    </row>
    <row r="131" ht="24.75" customHeight="1" spans="1:9">
      <c r="A131" s="62"/>
      <c r="B131" s="63"/>
      <c r="C131" s="64" t="s">
        <v>285</v>
      </c>
      <c r="D131" s="65"/>
      <c r="E131" s="86">
        <v>149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3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1363.2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"&amp;IF(Main!B2,TEXT(EDATE(Main!B3,19),"mmmm dd yyyy"),TEXT(Main!B3+((Main!B5-Main!B3)*19+19),"dd mmmm yyyy"))&amp;" to "&amp;IF(Main!B2,TEXT(EDATE(Main!B3,20)-1,"mmmm dd yyyy"),TEXT(Main!B3+((Main!B5-Main!B3)*20+19),"mmmm dd yyyy"))</f>
        <v>Debts Or Credits For the Comming November 20 2025 to December 19 2025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"&amp;IF(Main!B2,TEXT(EDATE(Main!B3,19)-1,"mmmm yyyy"),TEXT(Main!B3+((Main!B5-Main!B3)*19+18),"mmmm yyyy"))</f>
        <v>Balance Brought Forward From November 2025</v>
      </c>
      <c r="B143" s="56"/>
      <c r="C143" s="57"/>
      <c r="D143" s="57"/>
      <c r="E143" s="87">
        <f ca="1">E136</f>
        <v>1363.2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133" customHeight="1" spans="1:9">
      <c r="A156" s="62"/>
      <c r="B156" s="63"/>
      <c r="C156" s="100" t="s">
        <v>286</v>
      </c>
      <c r="D156" s="100"/>
      <c r="E156" s="102">
        <v>719</v>
      </c>
      <c r="F156" s="14"/>
      <c r="G156" s="14"/>
      <c r="H156" s="14"/>
      <c r="I156" s="47"/>
    </row>
    <row r="157" ht="133" customHeight="1" spans="1:9">
      <c r="A157" s="62"/>
      <c r="B157" s="63"/>
      <c r="C157" s="100" t="s">
        <v>197</v>
      </c>
      <c r="D157" s="100"/>
      <c r="E157" s="102">
        <v>523.3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3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2155.9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"&amp;IF(Main!B2,TEXT(EDATE(Main!B3,20),"mmmm dd yyyy"),TEXT(Main!B3+((Main!B5-Main!B3)*20+20),"mmmm dd yyyy"))&amp;" to "&amp;IF(Main!B2,TEXT(EDATE(Main!B3,21)-1,"mmmm dd yyyy"),TEXT(Main!B3+((Main!B5-Main!B3)*21+20),"mmmm dd yyyy"))</f>
        <v>Debts Or Credits For the Comming December 20 2025 to January 19 2026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"&amp;IF(Main!B2,TEXT(EDATE(Main!B3,20)-1,"mmmm yyyy"),TEXT(Main!B3+((Main!B5-Main!B3)*20+19),"mmmm yyyy"))</f>
        <v>Balance Brought Forward From December 2025</v>
      </c>
      <c r="B170" s="56"/>
      <c r="C170" s="57"/>
      <c r="D170" s="57"/>
      <c r="E170" s="90">
        <f ca="1">E163</f>
        <v>2155.9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66" customHeight="1" spans="1:9">
      <c r="A183" s="62"/>
      <c r="B183" s="63"/>
      <c r="C183" s="100" t="s">
        <v>287</v>
      </c>
      <c r="D183" s="100"/>
      <c r="E183" s="98">
        <v>960</v>
      </c>
      <c r="F183" s="14"/>
      <c r="G183" s="14"/>
      <c r="H183" s="14"/>
      <c r="I183" s="47"/>
    </row>
    <row r="184" ht="33" customHeight="1" spans="1:9">
      <c r="A184" s="62"/>
      <c r="B184" s="63"/>
      <c r="C184" s="100" t="s">
        <v>197</v>
      </c>
      <c r="D184" s="100"/>
      <c r="E184" s="98">
        <v>523.3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2707.6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9" operator="greaterThanOrEqual">
      <formula>0</formula>
    </cfRule>
    <cfRule type="cellIs" dxfId="1" priority="28" operator="lessThan">
      <formula>0</formula>
    </cfRule>
  </conditionalFormatting>
  <conditionalFormatting sqref="C75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77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87">
    <cfRule type="cellIs" dxfId="0" priority="19" operator="equal">
      <formula>0</formula>
    </cfRule>
    <cfRule type="cellIs" dxfId="1" priority="18" operator="greaterThan">
      <formula>0</formula>
    </cfRule>
  </conditionalFormatting>
  <conditionalFormatting sqref="C90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91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C108">
    <cfRule type="cellIs" dxfId="0" priority="27" operator="greaterThanOrEqual">
      <formula>0</formula>
    </cfRule>
    <cfRule type="cellIs" dxfId="1" priority="26" operator="lessThan">
      <formula>0</formula>
    </cfRule>
  </conditionalFormatting>
  <conditionalFormatting sqref="C109">
    <cfRule type="cellIs" dxfId="0" priority="25" operator="greaterThanOrEqual">
      <formula>0</formula>
    </cfRule>
    <cfRule type="cellIs" dxfId="1" priority="24" operator="lessThan">
      <formula>0</formula>
    </cfRule>
  </conditionalFormatting>
  <conditionalFormatting sqref="E116">
    <cfRule type="cellIs" dxfId="4" priority="35" operator="greaterThanOrEqual">
      <formula>0</formula>
    </cfRule>
    <cfRule type="cellIs" dxfId="5" priority="34" operator="lessThan">
      <formula>0</formula>
    </cfRule>
  </conditionalFormatting>
  <conditionalFormatting sqref="E129">
    <cfRule type="cellIs" dxfId="6" priority="17" operator="equal">
      <formula>0</formula>
    </cfRule>
  </conditionalFormatting>
  <conditionalFormatting sqref="E130">
    <cfRule type="cellIs" dxfId="7" priority="16" operator="equal">
      <formula>0</formula>
    </cfRule>
    <cfRule type="cellIs" dxfId="6" priority="15" operator="equal">
      <formula>0</formula>
    </cfRule>
  </conditionalFormatting>
  <conditionalFormatting sqref="E131">
    <cfRule type="cellIs" dxfId="1" priority="8" operator="greaterThan">
      <formula>0</formula>
    </cfRule>
    <cfRule type="cellIs" dxfId="3" priority="7" operator="equal">
      <formula>0</formula>
    </cfRule>
  </conditionalFormatting>
  <conditionalFormatting sqref="E132">
    <cfRule type="cellIs" dxfId="0" priority="2" operator="equal">
      <formula>0</formula>
    </cfRule>
    <cfRule type="cellIs" dxfId="1" priority="1" operator="greaterThan">
      <formula>0</formula>
    </cfRule>
  </conditionalFormatting>
  <conditionalFormatting sqref="E136">
    <cfRule type="cellIs" dxfId="4" priority="66" operator="greaterThanOrEqual">
      <formula>0</formula>
    </cfRule>
    <cfRule type="cellIs" dxfId="5" priority="65" operator="lessThan">
      <formula>0</formula>
    </cfRule>
  </conditionalFormatting>
  <conditionalFormatting sqref="E143">
    <cfRule type="cellIs" dxfId="4" priority="53" operator="greaterThanOrEqual">
      <formula>0</formula>
    </cfRule>
    <cfRule type="cellIs" dxfId="5" priority="52" operator="lessThan">
      <formula>0</formula>
    </cfRule>
  </conditionalFormatting>
  <conditionalFormatting sqref="E145">
    <cfRule type="cellIs" dxfId="0" priority="6" operator="equal">
      <formula>0</formula>
    </cfRule>
    <cfRule type="cellIs" dxfId="1" priority="5" operator="greaterThan">
      <formula>0</formula>
    </cfRule>
  </conditionalFormatting>
  <conditionalFormatting sqref="E156">
    <cfRule type="cellIs" dxfId="6" priority="14" operator="equal">
      <formula>0</formula>
    </cfRule>
  </conditionalFormatting>
  <conditionalFormatting sqref="E157">
    <cfRule type="cellIs" dxfId="7" priority="13" operator="equal">
      <formula>0</formula>
    </cfRule>
    <cfRule type="cellIs" dxfId="6" priority="12" operator="equal">
      <formula>0</formula>
    </cfRule>
  </conditionalFormatting>
  <conditionalFormatting sqref="E158">
    <cfRule type="cellIs" dxfId="0" priority="4" operator="equal">
      <formula>0</formula>
    </cfRule>
    <cfRule type="cellIs" dxfId="1" priority="3" operator="greaterThan">
      <formula>0</formula>
    </cfRule>
  </conditionalFormatting>
  <conditionalFormatting sqref="E163">
    <cfRule type="cellIs" dxfId="4" priority="55" operator="greaterThanOrEqual">
      <formula>0</formula>
    </cfRule>
    <cfRule type="cellIs" dxfId="5" priority="54" operator="lessThan">
      <formula>0</formula>
    </cfRule>
  </conditionalFormatting>
  <conditionalFormatting sqref="E170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E183">
    <cfRule type="cellIs" dxfId="6" priority="11" operator="equal">
      <formula>0</formula>
    </cfRule>
  </conditionalFormatting>
  <conditionalFormatting sqref="E184">
    <cfRule type="cellIs" dxfId="7" priority="10" operator="equal">
      <formula>0</formula>
    </cfRule>
    <cfRule type="cellIs" dxfId="6" priority="9" operator="equal">
      <formula>0</formula>
    </cfRule>
  </conditionalFormatting>
  <conditionalFormatting sqref="E190">
    <cfRule type="cellIs" dxfId="4" priority="49" operator="greaterThanOrEqual">
      <formula>0</formula>
    </cfRule>
    <cfRule type="cellIs" dxfId="5" priority="48" operator="lessThan">
      <formula>0</formula>
    </cfRule>
  </conditionalFormatting>
  <conditionalFormatting sqref="C57:C66">
    <cfRule type="cellIs" dxfId="0" priority="78" operator="equal">
      <formula>0</formula>
    </cfRule>
    <cfRule type="cellIs" dxfId="1" priority="77" operator="greaterThan">
      <formula>0</formula>
    </cfRule>
  </conditionalFormatting>
  <conditionalFormatting sqref="C68:C69">
    <cfRule type="cellIs" dxfId="0" priority="76" operator="equal">
      <formula>0</formula>
    </cfRule>
    <cfRule type="cellIs" dxfId="1" priority="75" operator="greaterThan">
      <formula>0</formula>
    </cfRule>
  </conditionalFormatting>
  <conditionalFormatting sqref="C70:C74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78:C79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C80:C84">
    <cfRule type="cellIs" dxfId="0" priority="62" operator="equal">
      <formula>0</formula>
    </cfRule>
    <cfRule type="cellIs" dxfId="1" priority="61" operator="greaterThan">
      <formula>0</formula>
    </cfRule>
  </conditionalFormatting>
  <conditionalFormatting sqref="C88:C89">
    <cfRule type="cellIs" dxfId="6" priority="22" operator="equal">
      <formula>0</formula>
    </cfRule>
  </conditionalFormatting>
  <conditionalFormatting sqref="C92:C9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98:C107">
    <cfRule type="cellIs" dxfId="1" priority="43" operator="lessThan">
      <formula>0</formula>
    </cfRule>
    <cfRule type="cellIs" dxfId="3" priority="42" operator="greaterThanOrEqual">
      <formula>0</formula>
    </cfRule>
  </conditionalFormatting>
  <conditionalFormatting sqref="E118:E127">
    <cfRule type="cellIs" dxfId="0" priority="41" operator="equal">
      <formula>0</formula>
    </cfRule>
    <cfRule type="cellIs" dxfId="1" priority="40" operator="greaterThan">
      <formula>0</formula>
    </cfRule>
  </conditionalFormatting>
  <conditionalFormatting sqref="E146:E154">
    <cfRule type="cellIs" dxfId="0" priority="39" operator="equal">
      <formula>0</formula>
    </cfRule>
    <cfRule type="cellIs" dxfId="1" priority="38" operator="greaterThan">
      <formula>0</formula>
    </cfRule>
  </conditionalFormatting>
  <conditionalFormatting sqref="E172:E181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C47:C55 C85 C95:C96">
    <cfRule type="cellIs" dxfId="0" priority="80" operator="equal">
      <formula>0</formula>
    </cfRule>
  </conditionalFormatting>
  <conditionalFormatting sqref="C47:C55 C85 C95:C96 E144 E155 E159:E162">
    <cfRule type="cellIs" dxfId="1" priority="79" operator="greaterThan">
      <formula>0</formula>
    </cfRule>
  </conditionalFormatting>
  <conditionalFormatting sqref="E117 E128 E133:E135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E144 E155 E159:E162">
    <cfRule type="cellIs" dxfId="3" priority="56" operator="equal">
      <formula>0</formula>
    </cfRule>
  </conditionalFormatting>
  <conditionalFormatting sqref="E171 E182 E185:E189">
    <cfRule type="cellIs" dxfId="3" priority="51" operator="equal">
      <formula>0</formula>
    </cfRule>
    <cfRule type="cellIs" dxfId="1" priority="50" operator="greaterThan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67" workbookViewId="0">
      <selection activeCell="E184" sqref="E184"/>
    </sheetView>
  </sheetViews>
  <sheetFormatPr defaultColWidth="9" defaultRowHeight="17.6"/>
  <cols>
    <col min="1" max="1" width="26.5" customWidth="1"/>
    <col min="2" max="2" width="25" customWidth="1"/>
    <col min="3" max="3" width="21.25" customWidth="1"/>
    <col min="4" max="8" width="20.625" customWidth="1"/>
  </cols>
  <sheetData>
    <row r="1" ht="24.75" customHeight="1" spans="1:9">
      <c r="A1" s="1" t="str">
        <f>"Forecasts For the Year "&amp;IF(Main!B2,TEXT(EDATE(Main!B3,21),"mmmm yyyy"),TEXT(Main!B3+((Main!B5-Main!B3)*21+21),"mmmm yyyy"))&amp;" to "&amp;IF(Main!B2,TEXT(EDATE(Main!B3,24)-1,"mmmm yyyy"),TEXT(Main!B3+((Main!B5-Main!B3)*24+23),"mmmm yyyy"))</f>
        <v>Forecasts For the Year January 2026 to April 2026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4784.7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5966.2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IF(Main!B2,TEXT(EDATE(Main!B3,21),"dd mmmm yyyy"),TEXT(Main!B3+((Main!B5-Main!B3)*21+21),"dd mmmm yyyy"))&amp;" - "&amp;IF(Main!B2,TEXT(EDATE(Main!B3,22)-1,"dd mmmm yyyy"),TEXT(Main!B3+((Main!B5-Main!B3)*22+21),"dd mmmm yyyy"))&amp;" / "&amp;" (Revenue / Deferred Debts Or Expenses)"</f>
        <v>20 January 2026 - 19 February 2026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288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223</v>
      </c>
      <c r="C12" s="96"/>
      <c r="D12" s="97" t="s">
        <v>224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IF(Main!B2,TEXT(EDATE(Main!B3,22),"dd mmmm yyyy"),TEXT(Main!B3+((Main!B5-Main!B3)*22+22),"dd mmmm yyyy"))&amp;" - "&amp;IF(Main!B2,TEXT(EDATE(Main!B3,23)-1,"dd mmmm yyyy"),TEXT(Main!B3+((Main!B5-Main!B3)*23+22),"dd mmmm yyyy"))&amp;" / "&amp;" (Revenue / Deferred Debts Or Expenses)"</f>
        <v>20 February 2026 - 19 March 2026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104" t="s">
        <v>52</v>
      </c>
      <c r="C22" s="105"/>
      <c r="D22" s="104" t="s">
        <v>53</v>
      </c>
      <c r="E22" s="105"/>
      <c r="F22" s="106">
        <v>2435</v>
      </c>
      <c r="G22" s="107"/>
      <c r="H22" s="14"/>
      <c r="I22" s="47"/>
    </row>
    <row r="23" ht="24.75" customHeight="1" spans="1:9">
      <c r="A23" s="95" t="s">
        <v>289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IF(Main!B2,TEXT(EDATE(Main!B3,23),"dd mmmm yyyy"),TEXT(Main!B3+((Main!B5-Main!B3)*23+23),"dd mmmm yyyy"))&amp;" - "&amp;IF(Main!B2,TEXT(EDATE(Main!B3,24)-1,"dd mmmm yyyy"),TEXT(Main!B3+((Main!B5-Main!B3)*24+23),"dd mmmm yyyy"))&amp;" / "&amp;" (Revenue / Deferred Debts Or Expenses)"</f>
        <v>20 March 2026 - 19 April 2026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104" t="s">
        <v>52</v>
      </c>
      <c r="C34" s="105"/>
      <c r="D34" s="104" t="s">
        <v>53</v>
      </c>
      <c r="E34" s="105"/>
      <c r="F34" s="106">
        <v>2435</v>
      </c>
      <c r="G34" s="107"/>
      <c r="H34" s="14"/>
      <c r="I34" s="47"/>
    </row>
    <row r="35" ht="24.75" customHeight="1" spans="1:9">
      <c r="A35" s="95" t="s">
        <v>290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"&amp;IF(Main!B2,TEXT(EDATE(Main!B3,21),"mmmm yyyy"),TEXT(Main!B3+((Main!B5-Main!B3)*21+21),"mmmm yyyy"))&amp;" to "&amp;IF(Main!B2,TEXT(EDATE(Main!B3,24)-1,"mmmm yyyy"),TEXT(Main!B3+((Main!B5-Main!B3)*24+23),"mmmm yyyy"))</f>
        <v>Fixed Expense For the Year January 2026 to April 2026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6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54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INDIRECT("'"&amp;INDIRECT("Main!B27")&amp;"'!C98")+SUM(E118+E145+E172)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INDIRECT("'"&amp;INDIRECT("Main!B27")&amp;"'!C99")+SUM(E119+E146+E173)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INDIRECT("'"&amp;INDIRECT("Main!B27")&amp;"'!C100")+SUM(E120+E147+E174)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INDIRECT("'"&amp;INDIRECT("Main!B27")&amp;"'!C101")+SUM(E121+E148+E175)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INDIRECT("'"&amp;INDIRECT("Main!B27")&amp;"'!C102")+SUM(E122+E149+E176)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INDIRECT("'"&amp;INDIRECT("Main!B27")&amp;"'!C103")+SUM(E123+E150+E177)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INDIRECT("'"&amp;INDIRECT("Main!B27")&amp;"'!C104")+SUM(E124+E151+E178)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INDIRECT("'"&amp;INDIRECT("Main!B27")&amp;"'!C105")+SUM(E125+E152+E179)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INDIRECT("'"&amp;INDIRECT("Main!B27")&amp;"'!C106")+SUM(E126+E153+E180)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INDIRECT("'"&amp;INDIRECT("Main!B27")&amp;"'!C107")+SUM(E127+E154+E181)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"&amp;IF(Main!B2,TEXT(EDATE(Main!B3,21),"mmmm dd yyyy"),TEXT(Main!B3+((Main!B5-Main!B3)*21+21),"mmmm dd yyyy"))&amp;" to "&amp;IF(Main!B2,TEXT(EDATE(Main!B3,22)-1,"mmmm dd yyyy"),TEXT(Main!B3+((Main!B5-Main!B3)*22+21),"mmmm dd yyyy"))</f>
        <v>Debts Or Credits For the Comming January 20 2026 to February 19 2026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"&amp;IF(Main!B2,TEXT(EDATE(Main!B3,21)-1,"mmmm yyyy"),TEXT(Main!B3+((Main!B5-Main!B3)*21+20),"mmmm yyyy"))</f>
        <v>Balance Brought Forward From January 2026</v>
      </c>
      <c r="B116" s="56"/>
      <c r="C116" s="57"/>
      <c r="D116" s="57"/>
      <c r="E116" s="70" cm="1">
        <f ca="1" t="array" ref="E116">INDIRECT("'"&amp;INDIRECT("Main!B27")&amp;"'!E190")</f>
        <v>2707.6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96" customHeight="1" spans="1:9">
      <c r="A129" s="62"/>
      <c r="B129" s="63"/>
      <c r="C129" s="99" t="s">
        <v>276</v>
      </c>
      <c r="D129" s="99"/>
      <c r="E129" s="101">
        <v>669</v>
      </c>
      <c r="F129" s="14"/>
      <c r="G129" s="14"/>
      <c r="H129" s="14"/>
      <c r="I129" s="47"/>
    </row>
    <row r="130" ht="28" customHeight="1" spans="1:9">
      <c r="A130" s="62"/>
      <c r="B130" s="63"/>
      <c r="C130" s="100" t="s">
        <v>197</v>
      </c>
      <c r="D130" s="100"/>
      <c r="E130" s="102">
        <v>523.3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3550.3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"&amp;IF(Main!B2,TEXT(EDATE(Main!B3,22),"mmmm dd yyyy"),TEXT(Main!B3+((Main!B5-Main!B3)*22+22),"dd mmmm yyyy"))&amp;" to "&amp;IF(Main!B2,TEXT(EDATE(Main!B3,23)-1,"mmmm dd yyyy"),TEXT(Main!B3+((Main!B5-Main!B3)*23+22),"mmmm dd yyyy"))</f>
        <v>Debts Or Credits For the Comming February 20 2026 to March 19 2026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"&amp;IF(Main!B2,TEXT(EDATE(Main!B3,22)-1,"mmmm yyyy"),TEXT(Main!B3+((Main!B5-Main!B3)*22+21),"mmmm yyyy"))</f>
        <v>Balance Brought Forward From February 2026</v>
      </c>
      <c r="B143" s="56"/>
      <c r="C143" s="57"/>
      <c r="D143" s="57"/>
      <c r="E143" s="87">
        <f ca="1">E136</f>
        <v>3550.3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74" customHeight="1" spans="1:9">
      <c r="A156" s="62"/>
      <c r="B156" s="63"/>
      <c r="C156" s="99" t="s">
        <v>291</v>
      </c>
      <c r="D156" s="103"/>
      <c r="E156" s="101">
        <v>1120</v>
      </c>
      <c r="F156" s="14"/>
      <c r="G156" s="14"/>
      <c r="H156" s="14"/>
      <c r="I156" s="47"/>
    </row>
    <row r="157" ht="74" customHeight="1" spans="1:9">
      <c r="A157" s="62"/>
      <c r="B157" s="63"/>
      <c r="C157" s="100" t="s">
        <v>197</v>
      </c>
      <c r="D157" s="100"/>
      <c r="E157" s="102">
        <v>523.3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3942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"&amp;IF(Main!B2,TEXT(EDATE(Main!B3,23),"mmmm dd yyyy"),TEXT(Main!B3+((Main!B5-Main!B3)*23+23),"mmmm dd yyyy"))&amp;" to "&amp;IF(Main!B2,TEXT(EDATE(Main!B3,24)-1,"mmmm dd yyyy"),TEXT(Main!B3+((Main!B5-Main!B3)*24+23),"mmmm dd yyyy"))</f>
        <v>Debts Or Credits For the Comming March 20 2026 to April 19 2026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"&amp;IF(Main!B2,TEXT(EDATE(Main!B3,23)-1,"mmmm yyyy"),TEXT(Main!B3+((Main!B5-Main!B3)*23+22),"mmmm yyyy"))</f>
        <v>Balance Brought Forward From March 2026</v>
      </c>
      <c r="B170" s="56"/>
      <c r="C170" s="57"/>
      <c r="D170" s="57"/>
      <c r="E170" s="90">
        <f ca="1">E163</f>
        <v>3942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70" customHeight="1" spans="1:9">
      <c r="A183" s="62"/>
      <c r="B183" s="63"/>
      <c r="C183" s="99" t="s">
        <v>276</v>
      </c>
      <c r="D183" s="99"/>
      <c r="E183" s="101">
        <v>669</v>
      </c>
      <c r="F183" s="14"/>
      <c r="G183" s="14"/>
      <c r="H183" s="14"/>
      <c r="I183" s="47"/>
    </row>
    <row r="184" ht="70" customHeight="1" spans="1:9">
      <c r="A184" s="62"/>
      <c r="B184" s="63"/>
      <c r="C184" s="100" t="s">
        <v>197</v>
      </c>
      <c r="D184" s="100"/>
      <c r="E184" s="102">
        <v>523.3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4784.7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ht="24.75" customHeight="1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75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77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87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90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91">
    <cfRule type="cellIs" dxfId="0" priority="27" operator="equal">
      <formula>0</formula>
    </cfRule>
    <cfRule type="cellIs" dxfId="1" priority="26" operator="greaterThan">
      <formula>0</formula>
    </cfRule>
  </conditionalFormatting>
  <conditionalFormatting sqref="C108">
    <cfRule type="cellIs" dxfId="0" priority="19" operator="greaterThanOrEqual">
      <formula>0</formula>
    </cfRule>
    <cfRule type="cellIs" dxfId="1" priority="18" operator="lessThan">
      <formula>0</formula>
    </cfRule>
  </conditionalFormatting>
  <conditionalFormatting sqref="C109">
    <cfRule type="cellIs" dxfId="0" priority="17" operator="greaterThanOrEqual">
      <formula>0</formula>
    </cfRule>
    <cfRule type="cellIs" dxfId="1" priority="16" operator="lessThan">
      <formula>0</formula>
    </cfRule>
  </conditionalFormatting>
  <conditionalFormatting sqref="E116">
    <cfRule type="cellIs" dxfId="4" priority="31" operator="greaterThanOrEqual">
      <formula>0</formula>
    </cfRule>
    <cfRule type="cellIs" dxfId="5" priority="30" operator="lessThan">
      <formula>0</formula>
    </cfRule>
  </conditionalFormatting>
  <conditionalFormatting sqref="C129">
    <cfRule type="cellIs" dxfId="8" priority="9" operator="equal">
      <formula>0</formula>
    </cfRule>
  </conditionalFormatting>
  <conditionalFormatting sqref="E130">
    <cfRule type="cellIs" dxfId="7" priority="8" operator="equal">
      <formula>0</formula>
    </cfRule>
    <cfRule type="cellIs" dxfId="6" priority="7" operator="equal">
      <formula>0</formula>
    </cfRule>
  </conditionalFormatting>
  <conditionalFormatting sqref="E136">
    <cfRule type="cellIs" dxfId="4" priority="62" operator="greaterThanOrEqual">
      <formula>0</formula>
    </cfRule>
    <cfRule type="cellIs" dxfId="5" priority="61" operator="lessThan">
      <formula>0</formula>
    </cfRule>
  </conditionalFormatting>
  <conditionalFormatting sqref="E143">
    <cfRule type="cellIs" dxfId="4" priority="49" operator="greaterThanOrEqual">
      <formula>0</formula>
    </cfRule>
    <cfRule type="cellIs" dxfId="5" priority="48" operator="lessThan">
      <formula>0</formula>
    </cfRule>
  </conditionalFormatting>
  <conditionalFormatting sqref="E156">
    <cfRule type="cellIs" dxfId="8" priority="6" operator="equal">
      <formula>0</formula>
    </cfRule>
  </conditionalFormatting>
  <conditionalFormatting sqref="E157">
    <cfRule type="cellIs" dxfId="7" priority="5" operator="equal">
      <formula>0</formula>
    </cfRule>
    <cfRule type="cellIs" dxfId="6" priority="4" operator="equal">
      <formula>0</formula>
    </cfRule>
  </conditionalFormatting>
  <conditionalFormatting sqref="E163">
    <cfRule type="cellIs" dxfId="4" priority="51" operator="greaterThanOrEqual">
      <formula>0</formula>
    </cfRule>
    <cfRule type="cellIs" dxfId="5" priority="50" operator="lessThan">
      <formula>0</formula>
    </cfRule>
  </conditionalFormatting>
  <conditionalFormatting sqref="E170">
    <cfRule type="cellIs" dxfId="4" priority="43" operator="greaterThanOrEqual">
      <formula>0</formula>
    </cfRule>
    <cfRule type="cellIs" dxfId="5" priority="42" operator="lessThan">
      <formula>0</formula>
    </cfRule>
  </conditionalFormatting>
  <conditionalFormatting sqref="E183">
    <cfRule type="cellIs" dxfId="8" priority="3" operator="equal">
      <formula>0</formula>
    </cfRule>
  </conditionalFormatting>
  <conditionalFormatting sqref="E184">
    <cfRule type="cellIs" dxfId="7" priority="2" operator="equal">
      <formula>0</formula>
    </cfRule>
    <cfRule type="cellIs" dxfId="6" priority="1" operator="equal">
      <formula>0</formula>
    </cfRule>
  </conditionalFormatting>
  <conditionalFormatting sqref="E190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C57:C66">
    <cfRule type="cellIs" dxfId="0" priority="74" operator="equal">
      <formula>0</formula>
    </cfRule>
    <cfRule type="cellIs" dxfId="1" priority="73" operator="greaterThan">
      <formula>0</formula>
    </cfRule>
  </conditionalFormatting>
  <conditionalFormatting sqref="C68:C69">
    <cfRule type="cellIs" dxfId="0" priority="72" operator="equal">
      <formula>0</formula>
    </cfRule>
    <cfRule type="cellIs" dxfId="1" priority="71" operator="greaterThan">
      <formula>0</formula>
    </cfRule>
  </conditionalFormatting>
  <conditionalFormatting sqref="C70:C74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C78:C79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80:C84">
    <cfRule type="cellIs" dxfId="0" priority="58" operator="equal">
      <formula>0</formula>
    </cfRule>
    <cfRule type="cellIs" dxfId="1" priority="57" operator="greaterThan">
      <formula>0</formula>
    </cfRule>
  </conditionalFormatting>
  <conditionalFormatting sqref="C88:C89">
    <cfRule type="cellIs" dxfId="6" priority="14" operator="equal">
      <formula>0</formula>
    </cfRule>
  </conditionalFormatting>
  <conditionalFormatting sqref="C92:C9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98:C107">
    <cfRule type="cellIs" dxfId="1" priority="39" operator="lessThan">
      <formula>0</formula>
    </cfRule>
    <cfRule type="cellIs" dxfId="3" priority="38" operator="greaterThanOrEqual">
      <formula>0</formula>
    </cfRule>
  </conditionalFormatting>
  <conditionalFormatting sqref="E118:E127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E145:E154">
    <cfRule type="cellIs" dxfId="0" priority="35" operator="equal">
      <formula>0</formula>
    </cfRule>
    <cfRule type="cellIs" dxfId="1" priority="34" operator="greaterThan">
      <formula>0</formula>
    </cfRule>
  </conditionalFormatting>
  <conditionalFormatting sqref="E172:E181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C47:C55 C85 C95:C96">
    <cfRule type="cellIs" dxfId="0" priority="76" operator="equal">
      <formula>0</formula>
    </cfRule>
  </conditionalFormatting>
  <conditionalFormatting sqref="C47:C55 C85 C95:C96 E144 E155 E158:E162">
    <cfRule type="cellIs" dxfId="1" priority="75" operator="greaterThan">
      <formula>0</formula>
    </cfRule>
  </conditionalFormatting>
  <conditionalFormatting sqref="E117 E128 E131:E135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E144 E155 E158:E162">
    <cfRule type="cellIs" dxfId="3" priority="52" operator="equal">
      <formula>0</formula>
    </cfRule>
  </conditionalFormatting>
  <conditionalFormatting sqref="E171 E182 E185:E189">
    <cfRule type="cellIs" dxfId="3" priority="47" operator="equal">
      <formula>0</formula>
    </cfRule>
    <cfRule type="cellIs" dxfId="1" priority="46" operator="greater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60" workbookViewId="0">
      <selection activeCell="E184" sqref="E184"/>
    </sheetView>
  </sheetViews>
  <sheetFormatPr defaultColWidth="9" defaultRowHeight="17.6"/>
  <cols>
    <col min="1" max="1" width="27.0763888888889" customWidth="1"/>
    <col min="2" max="2" width="30" customWidth="1"/>
    <col min="3" max="3" width="33.25" customWidth="1"/>
    <col min="4" max="8" width="20.625" customWidth="1"/>
  </cols>
  <sheetData>
    <row r="1" ht="24.75" customHeight="1" spans="1:9">
      <c r="A1" s="1" t="str">
        <f>"Forecasts For the Year "&amp;IF(Main!B2,TEXT(EDATE(Main!B3,24),"mmmm yyyy"),TEXT(Main!B3+((Main!B5-Main!B3)*24+24),"mmmm yyyy"))&amp;" to "&amp;IF(Main!B2,TEXT(EDATE(Main!B3,27)-1,"mmmm yyyy"),TEXT(Main!B3+((Main!B5-Main!B3)*27+26),"mmmm yyyy"))</f>
        <v>Forecasts For the Year April 2026 to July 2026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6570.8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7752.3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IF(Main!B2,TEXT(EDATE(Main!B3,24),"dd mmmm yyyy"),TEXT(Main!B3+((Main!B5-Main!B3)*24+24),"dd mmmm yyyy"))&amp;" - "&amp;IF(Main!B2,TEXT(EDATE(Main!B3,25)-1,"dd mmmm yyyy"),TEXT(Main!B3+((Main!B5-Main!B3)*25+24),"dd mmmm yyyy"))&amp;" / "&amp;" (Revenue / Deferred Debts Or Expenses)"</f>
        <v>20 April 2026 - 19 May 2026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292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223</v>
      </c>
      <c r="C12" s="96"/>
      <c r="D12" s="97" t="s">
        <v>224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IF(Main!B2,TEXT(EDATE(Main!B3,25),"dd mmmm yyyy"),TEXT(Main!B3+((Main!B5-Main!B3)*25+25),"dd mmmm yyyy"))&amp;" - "&amp;IF(Main!B2,TEXT(EDATE(Main!B3,26)-1,"dd mmmm yyyy"),TEXT(Main!B3+((Main!B5-Main!B3)*26+25),"dd mmmm yyyy"))&amp;" / "&amp;" (Revenue / Deferred Debts Or Expenses)"</f>
        <v>20 May 2026 - 19 June 2026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293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IF(Main!B2,TEXT(EDATE(Main!B3,26),"dd mmmm yyyy"),TEXT(Main!B3+((Main!B5-Main!B3)*26+26),"dd mmmm yyyy"))&amp;" - "&amp;IF(Main!B2,TEXT(EDATE(Main!B3,27)-1,"dd mmmm yyyy"),TEXT(Main!B3+((Main!B5-Main!B3)*27+26),"dd mmmm yyyy"))&amp;" / "&amp;" (Revenue / Deferred Debts Or Expenses)"</f>
        <v>20 June 2026 - 19 July 2026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97" t="s">
        <v>53</v>
      </c>
      <c r="E34" s="97"/>
      <c r="F34" s="7">
        <v>2435</v>
      </c>
      <c r="G34" s="7"/>
      <c r="H34" s="14"/>
      <c r="I34" s="47"/>
    </row>
    <row r="35" ht="24.75" customHeight="1" spans="1:9">
      <c r="A35" s="95" t="s">
        <v>294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"&amp;IF(Main!B2,TEXT(EDATE(Main!B3,24),"mmmm yyyy"),TEXT(Main!B3+((Main!B5-Main!B3)*24+24),"mmmm yyyy"))&amp;" to "&amp;IF(Main!B2,TEXT(EDATE(Main!B3,27)-1,"mmmm yyyy"),TEXT(Main!B3+((Main!B5-Main!B3)*27+26),"mmmm yyyy"))</f>
        <v>Fixed Expense For the Year April 2026 to July 2026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5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42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INDIRECT("'"&amp;INDIRECT("Main!B30")&amp;"'!C98")+SUM(E118+E145+E172)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INDIRECT("'"&amp;INDIRECT("Main!B30")&amp;"'!C99")+SUM(E119+E146+E173)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INDIRECT("'"&amp;INDIRECT("Main!B30")&amp;"'!C100")+SUM(E120+E147+E174)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INDIRECT("'"&amp;INDIRECT("Main!B30")&amp;"'!C101")+SUM(E121+E148+E175)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INDIRECT("'"&amp;INDIRECT("Main!B30")&amp;"'!C102")+SUM(E122+E149+E176)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INDIRECT("'"&amp;INDIRECT("Main!B30")&amp;"'!C103")+SUM(E123+E150+E177)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INDIRECT("'"&amp;INDIRECT("Main!B30")&amp;"'!C104")+SUM(E124+E151+E178)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INDIRECT("'"&amp;INDIRECT("Main!B30")&amp;"'!C105")+SUM(E125+E152+E179)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INDIRECT("'"&amp;INDIRECT("Main!B30")&amp;"'!C106")+SUM(E126+E153+E180)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INDIRECT("'"&amp;INDIRECT("Main!B30")&amp;"'!C107")+SUM(E127+E154+E181)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"&amp;IF(Main!B2,TEXT(EDATE(Main!B3,24),"mmmm dd yyyy"),TEXT(Main!B3+((Main!B5-Main!B3)*24+24),"mmmm dd yyyy"))&amp;" to "&amp;IF(Main!B2,TEXT(EDATE(Main!B3,25)-1,"mmmm dd yyyy"),TEXT(Main!B3+((Main!B5-Main!B3)*25+24),"mmmm dd yyyy"))</f>
        <v>Debts Or Credits For the Comming April 20 2026 to May 19 2026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"&amp;IF(Main!B2,TEXT(EDATE(Main!B3,24)-1,"mmmm yyyy"),TEXT(Main!B3+((Main!B5-Main!B3)*24+23),"mmmm yyyy"))</f>
        <v>Balance Brought Forward From April 2026</v>
      </c>
      <c r="B116" s="56"/>
      <c r="C116" s="57"/>
      <c r="D116" s="57"/>
      <c r="E116" s="70" cm="1">
        <f ca="1" t="array" ref="E116">INDIRECT("'"&amp;INDIRECT("Main!B30")&amp;"'!E190")</f>
        <v>4784.7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110" customHeight="1" spans="1:9">
      <c r="A129" s="62"/>
      <c r="B129" s="63"/>
      <c r="C129" s="99" t="s">
        <v>287</v>
      </c>
      <c r="D129" s="99"/>
      <c r="E129" s="101">
        <v>960</v>
      </c>
      <c r="F129" s="14"/>
      <c r="G129" s="14"/>
      <c r="H129" s="14"/>
      <c r="I129" s="47"/>
    </row>
    <row r="130" ht="110" customHeight="1" spans="1:9">
      <c r="A130" s="62"/>
      <c r="B130" s="63"/>
      <c r="C130" s="100" t="s">
        <v>197</v>
      </c>
      <c r="D130" s="100"/>
      <c r="E130" s="102">
        <v>523.3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5336.4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"&amp;IF(Main!B2,TEXT(EDATE(Main!B3,25),"mmmm dd yyyy"),TEXT(Main!B3+((Main!B5-Main!B3)*25+25),"dd mmmm yyyy"))&amp;" to "&amp;IF(Main!B2,TEXT(EDATE(Main!B3,26)-1,"mmmm dd yyyy"),TEXT(Main!B3+((Main!B5-Main!B3)*26+25),"mmmm dd yyyy"))</f>
        <v>Debts Or Credits For the Comming May 20 2026 to June 19 2026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"&amp;IF(Main!B2,TEXT(EDATE(Main!B3,25)-1,"mmmm yyyy"),TEXT(Main!B3+((Main!B5-Main!B3)*25+24),"mmmm yyyy"))</f>
        <v>Balance Brought Forward From May 2026</v>
      </c>
      <c r="B143" s="56"/>
      <c r="C143" s="57"/>
      <c r="D143" s="57"/>
      <c r="E143" s="87">
        <f ca="1">E136</f>
        <v>5336.4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90" customHeight="1" spans="1:9">
      <c r="A156" s="62"/>
      <c r="B156" s="63"/>
      <c r="C156" s="99" t="s">
        <v>295</v>
      </c>
      <c r="D156" s="99"/>
      <c r="E156" s="101">
        <v>829</v>
      </c>
      <c r="F156" s="14"/>
      <c r="G156" s="14"/>
      <c r="H156" s="14"/>
      <c r="I156" s="47"/>
    </row>
    <row r="157" ht="90" customHeight="1" spans="1:9">
      <c r="A157" s="62"/>
      <c r="B157" s="63"/>
      <c r="C157" s="100" t="s">
        <v>197</v>
      </c>
      <c r="D157" s="100"/>
      <c r="E157" s="102">
        <v>523.3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6019.1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"&amp;IF(Main!B2,TEXT(EDATE(Main!B3,26),"mmmm dd yyyy"),TEXT(Main!B3+((Main!B5-Main!B3)*26+26),"mmmm dd yyyy"))&amp;" to "&amp;IF(Main!B2,TEXT(EDATE(Main!B3,27)-1,"mmmm dd yyyy"),TEXT(Main!B3+((Main!B5-Main!B3)*27+26),"mmmm dd yyyy"))</f>
        <v>Debts Or Credits For the Comming June 20 2026 to July 19 2026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"&amp;IF(Main!B2,TEXT(EDATE(Main!B3,26)-1,"mmmm yyyy"),TEXT(Main!B3+((Main!B5-Main!B3)*26+25),"mmmm yyyy"))</f>
        <v>Balance Brought Forward From June 2026</v>
      </c>
      <c r="B170" s="56"/>
      <c r="C170" s="57"/>
      <c r="D170" s="57"/>
      <c r="E170" s="90">
        <f ca="1">E163</f>
        <v>6019.1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89" customHeight="1" spans="1:9">
      <c r="A183" s="62"/>
      <c r="B183" s="63"/>
      <c r="C183" s="99" t="s">
        <v>296</v>
      </c>
      <c r="D183" s="103"/>
      <c r="E183" s="101">
        <v>960</v>
      </c>
      <c r="F183" s="14"/>
      <c r="G183" s="14"/>
      <c r="H183" s="14"/>
      <c r="I183" s="47"/>
    </row>
    <row r="184" ht="89" customHeight="1" spans="1:9">
      <c r="A184" s="62"/>
      <c r="B184" s="63"/>
      <c r="C184" s="100" t="s">
        <v>197</v>
      </c>
      <c r="D184" s="100"/>
      <c r="E184" s="102">
        <v>523.3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6570.8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19" operator="equal">
      <formula>0</formula>
    </cfRule>
    <cfRule type="cellIs" dxfId="1" priority="18" operator="greaterThan">
      <formula>0</formula>
    </cfRule>
  </conditionalFormatting>
  <conditionalFormatting sqref="C7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77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87">
    <cfRule type="cellIs" dxfId="0" priority="2" operator="equal">
      <formula>0</formula>
    </cfRule>
    <cfRule type="cellIs" dxfId="1" priority="1" operator="greaterThan">
      <formula>0</formula>
    </cfRule>
  </conditionalFormatting>
  <conditionalFormatting sqref="C90">
    <cfRule type="cellIs" dxfId="0" priority="4" operator="equal">
      <formula>0</formula>
    </cfRule>
    <cfRule type="cellIs" dxfId="1" priority="3" operator="greaterThan">
      <formula>0</formula>
    </cfRule>
  </conditionalFormatting>
  <conditionalFormatting sqref="C91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108">
    <cfRule type="cellIs" dxfId="0" priority="21" operator="greaterThanOrEqual">
      <formula>0</formula>
    </cfRule>
    <cfRule type="cellIs" dxfId="1" priority="20" operator="lessThan">
      <formula>0</formula>
    </cfRule>
  </conditionalFormatting>
  <conditionalFormatting sqref="C109">
    <cfRule type="cellIs" dxfId="0" priority="17" operator="greaterThanOrEqual">
      <formula>0</formula>
    </cfRule>
    <cfRule type="cellIs" dxfId="1" priority="16" operator="lessThan">
      <formula>0</formula>
    </cfRule>
  </conditionalFormatting>
  <conditionalFormatting sqref="E116">
    <cfRule type="cellIs" dxfId="4" priority="27" operator="greaterThanOrEqual">
      <formula>0</formula>
    </cfRule>
    <cfRule type="cellIs" dxfId="5" priority="26" operator="lessThan">
      <formula>0</formula>
    </cfRule>
  </conditionalFormatting>
  <conditionalFormatting sqref="E129">
    <cfRule type="cellIs" dxfId="8" priority="15" operator="equal">
      <formula>0</formula>
    </cfRule>
  </conditionalFormatting>
  <conditionalFormatting sqref="E130">
    <cfRule type="cellIs" dxfId="7" priority="14" operator="equal">
      <formula>0</formula>
    </cfRule>
    <cfRule type="cellIs" dxfId="6" priority="13" operator="equal">
      <formula>0</formula>
    </cfRule>
  </conditionalFormatting>
  <conditionalFormatting sqref="E136">
    <cfRule type="cellIs" dxfId="4" priority="58" operator="greaterThanOrEqual">
      <formula>0</formula>
    </cfRule>
    <cfRule type="cellIs" dxfId="5" priority="57" operator="lessThan">
      <formula>0</formula>
    </cfRule>
  </conditionalFormatting>
  <conditionalFormatting sqref="E143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E156">
    <cfRule type="cellIs" dxfId="8" priority="12" operator="equal">
      <formula>0</formula>
    </cfRule>
  </conditionalFormatting>
  <conditionalFormatting sqref="E157">
    <cfRule type="cellIs" dxfId="7" priority="11" operator="equal">
      <formula>0</formula>
    </cfRule>
    <cfRule type="cellIs" dxfId="6" priority="10" operator="equal">
      <formula>0</formula>
    </cfRule>
  </conditionalFormatting>
  <conditionalFormatting sqref="E163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E170">
    <cfRule type="cellIs" dxfId="4" priority="39" operator="greaterThanOrEqual">
      <formula>0</formula>
    </cfRule>
    <cfRule type="cellIs" dxfId="5" priority="38" operator="lessThan">
      <formula>0</formula>
    </cfRule>
  </conditionalFormatting>
  <conditionalFormatting sqref="E183">
    <cfRule type="cellIs" dxfId="8" priority="9" operator="equal">
      <formula>0</formula>
    </cfRule>
  </conditionalFormatting>
  <conditionalFormatting sqref="E184">
    <cfRule type="cellIs" dxfId="7" priority="8" operator="equal">
      <formula>0</formula>
    </cfRule>
    <cfRule type="cellIs" dxfId="6" priority="7" operator="equal">
      <formula>0</formula>
    </cfRule>
  </conditionalFormatting>
  <conditionalFormatting sqref="E190">
    <cfRule type="cellIs" dxfId="4" priority="41" operator="greaterThanOrEqual">
      <formula>0</formula>
    </cfRule>
    <cfRule type="cellIs" dxfId="5" priority="40" operator="lessThan">
      <formula>0</formula>
    </cfRule>
  </conditionalFormatting>
  <conditionalFormatting sqref="C57:C66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68:C69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70:C7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78:C79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80:C84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88:C89">
    <cfRule type="cellIs" dxfId="6" priority="5" operator="equal">
      <formula>0</formula>
    </cfRule>
  </conditionalFormatting>
  <conditionalFormatting sqref="C92:C94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98:C107">
    <cfRule type="cellIs" dxfId="1" priority="35" operator="lessThan">
      <formula>0</formula>
    </cfRule>
    <cfRule type="cellIs" dxfId="3" priority="34" operator="greaterThanOrEqual">
      <formula>0</formula>
    </cfRule>
  </conditionalFormatting>
  <conditionalFormatting sqref="E118:E127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45:E154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E172:E181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47:C55 C85 C95:C96">
    <cfRule type="cellIs" dxfId="0" priority="72" operator="equal">
      <formula>0</formula>
    </cfRule>
  </conditionalFormatting>
  <conditionalFormatting sqref="C47:C55 C85 C95:C96 E144 E155 E158:E162">
    <cfRule type="cellIs" dxfId="1" priority="71" operator="greaterThan">
      <formula>0</formula>
    </cfRule>
  </conditionalFormatting>
  <conditionalFormatting sqref="E117 E128 E131:E135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E144 E155 E158:E162">
    <cfRule type="cellIs" dxfId="3" priority="48" operator="equal">
      <formula>0</formula>
    </cfRule>
  </conditionalFormatting>
  <conditionalFormatting sqref="E171 E182 E185:E189">
    <cfRule type="cellIs" dxfId="3" priority="43" operator="equal">
      <formula>0</formula>
    </cfRule>
    <cfRule type="cellIs" dxfId="1" priority="42" operator="greaterThan">
      <formula>0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35" workbookViewId="0">
      <selection activeCell="E157" sqref="E157"/>
    </sheetView>
  </sheetViews>
  <sheetFormatPr defaultColWidth="9" defaultRowHeight="17.6"/>
  <cols>
    <col min="1" max="1" width="25.2291666666667" customWidth="1"/>
    <col min="2" max="2" width="26.5" customWidth="1"/>
    <col min="3" max="3" width="31.5" customWidth="1"/>
    <col min="4" max="9" width="20.625" customWidth="1"/>
    <col min="11" max="11" width="20.625" customWidth="1"/>
  </cols>
  <sheetData>
    <row r="1" ht="24.75" customHeight="1" spans="1:9">
      <c r="A1" s="1" t="str">
        <f>"Forecasts For the Year "&amp;IF(Main!B2,TEXT(EDATE(Main!B3,27),"mmmm yyyy"),TEXT(Main!B3+((Main!B5-Main!B3)*27+27),"mmmm yyyy"))&amp;" to "&amp;IF(Main!B2,TEXT(EDATE(Main!B3,30)-1,"mmmm yyyy"),TEXT(Main!B3+((Main!B5-Main!B3)*30+29),"mmmm yyyy"))</f>
        <v>Forecasts For the Year July 2026 to October 2026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8585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9766.5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IF(Main!B2,TEXT(EDATE(Main!B3,27),"dd mmmm yyyy"),TEXT(Main!B3+((Main!B5-Main!B3)*27+27),"dd mmmm yyyy"))&amp;" - "&amp;IF(Main!B2,TEXT(EDATE(Main!B3,28)-1,"dd mmmm yyyy"),TEXT(Main!B3+((Main!B5-Main!B3)*28+27),"dd mmmm yyyy"))&amp;" / "&amp;" (Revenue / Deferred Debts Or Expenses)"</f>
        <v>20 July 2026 - 19 August 2026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297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223</v>
      </c>
      <c r="C12" s="96"/>
      <c r="D12" s="97" t="s">
        <v>224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IF(Main!B2,TEXT(EDATE(Main!B3,28),"dd mmmm yyyy"),TEXT(Main!B3+((Main!B5-Main!B3)*28+28),"dd mmmm yyyy"))&amp;" - "&amp;IF(Main!B2,TEXT(EDATE(Main!B3,29)-1,"dd mmmm yyyy"),TEXT(Main!B3+((Main!B5-Main!B3)*29+28),"dd mmmm yyyy"))&amp;" / "&amp;" (Revenue / Deferred Debts Or Expenses)"</f>
        <v>20 August 2026 - 19 September 2026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298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IF(Main!B2,TEXT(EDATE(Main!B3,29),"dd mmmm yyyy"),TEXT(Main!B3+((Main!B5-Main!B3)*29+29),"dd mmmm yyyy"))&amp;" - "&amp;IF(Main!B2,TEXT(EDATE(Main!B3,30)-1,"dd mmmm yyyy"),TEXT(Main!B3+((Main!B5-Main!B3)*30+29),"dd mmmm yyyy"))&amp;" / "&amp;" (Revenue / Deferred Debts Or Expenses)"</f>
        <v>20 September 2026 - 19 October 2026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97" t="s">
        <v>53</v>
      </c>
      <c r="E34" s="97"/>
      <c r="F34" s="7">
        <v>2435</v>
      </c>
      <c r="G34" s="7"/>
      <c r="H34" s="14"/>
      <c r="I34" s="47"/>
    </row>
    <row r="35" ht="24.75" customHeight="1" spans="1:9">
      <c r="A35" s="95" t="s">
        <v>299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"&amp;IF(Main!B2,TEXT(EDATE(Main!B3,27),"mmmm yyyy"),TEXT(Main!B3+((Main!B5-Main!B3)*27+27),"mmmm yyyy"))&amp;" to "&amp;IF(Main!B2,TEXT(EDATE(Main!B3,30)-1,"mmmm yyyy"),TEXT(Main!B3+((Main!B5-Main!B3)*30+29),"mmmm yyyy"))</f>
        <v>Fixed Expense For the Year July 2026 to October 2026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9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40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INDIRECT("'"&amp;INDIRECT("Main!B33")&amp;"'!C98")+SUM(E118+E145+E172)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INDIRECT("'"&amp;INDIRECT("Main!B33")&amp;"'!C99")+SUM(E119+E146+E173)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INDIRECT("'"&amp;INDIRECT("Main!B33")&amp;"'!C100")+SUM(E120+E147+E174)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INDIRECT("'"&amp;INDIRECT("Main!B33")&amp;"'!C101")+SUM(E121+E148+E175)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INDIRECT("'"&amp;INDIRECT("Main!B33")&amp;"'!C102")+SUM(E122+E149+E176)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INDIRECT("'"&amp;INDIRECT("Main!B33")&amp;"'!C103")+SUM(E123+E150+E177)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INDIRECT("'"&amp;INDIRECT("Main!B33")&amp;"'!C104")+SUM(E124+E151+E178)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INDIRECT("'"&amp;INDIRECT("Main!B33")&amp;"'!C105")+SUM(E125+E152+E179)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INDIRECT("'"&amp;INDIRECT("Main!B33")&amp;"'!C106")+SUM(E126+E153+E180)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INDIRECT("'"&amp;INDIRECT("Main!B33")&amp;"'!C107")+SUM(E127+E154+E181)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"&amp;IF(Main!B2,TEXT(EDATE(Main!B3,27),"mmmm dd yyyy"),TEXT(Main!B3+((Main!B5-Main!B3)*27+27),"mmmm dd yyyy"))&amp;" to "&amp;IF(Main!B2,TEXT(EDATE(Main!B3,28)-1,"mmmm dd yyyy"),TEXT(Main!B3+((Main!B5-Main!B3)*28+27),"mmmm dd yyyy"))</f>
        <v>Debts Or Credits For the Comming July 20 2026 to August 19 2026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"&amp;IF(Main!B2,TEXT(EDATE(Main!B3,27)-1,"mmmm yyyy"),TEXT(Main!B3+((Main!B5-Main!B3)*27+26),"mmmm yyyy"))</f>
        <v>Balance Brought Forward From July 2026</v>
      </c>
      <c r="B116" s="56"/>
      <c r="C116" s="57"/>
      <c r="D116" s="57"/>
      <c r="E116" s="70" cm="1">
        <f ca="1" t="array" ref="E116">INDIRECT("'"&amp;INDIRECT("Main!B33")&amp;"'!E190")</f>
        <v>6570.8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64" customHeight="1" spans="1:9">
      <c r="A129" s="62"/>
      <c r="B129" s="63"/>
      <c r="C129" s="99" t="s">
        <v>276</v>
      </c>
      <c r="D129" s="99"/>
      <c r="E129" s="101">
        <v>669</v>
      </c>
      <c r="F129" s="14"/>
      <c r="G129" s="14"/>
      <c r="H129" s="14"/>
      <c r="I129" s="47"/>
    </row>
    <row r="130" ht="64" customHeight="1" spans="1:9">
      <c r="A130" s="62"/>
      <c r="B130" s="63"/>
      <c r="C130" s="100" t="s">
        <v>197</v>
      </c>
      <c r="D130" s="100"/>
      <c r="E130" s="102">
        <v>523.3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7413.5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"&amp;IF(Main!B2,TEXT(EDATE(Main!B3,28),"mmmm dd yyyy"),TEXT(Main!B3+((Main!B5-Main!B3)*28+28),"dd mmmm yyyy"))&amp;" to "&amp;IF(Main!B2,TEXT(EDATE(Main!B3,29)-1,"mmmm dd yyyy"),TEXT(Main!B3+((Main!B5-Main!B3)*29+28),"mmmm dd yyyy"))</f>
        <v>Debts Or Credits For the Comming August 20 2026 to September 19 2026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"&amp;IF(Main!B2,TEXT(EDATE(Main!B3,28)-1,"mmmm yyyy"),TEXT(Main!B3+((Main!B5-Main!B3)*28+27),"mmmm yyyy"))</f>
        <v>Balance Brought Forward From August 2026</v>
      </c>
      <c r="B143" s="56"/>
      <c r="C143" s="57"/>
      <c r="D143" s="57"/>
      <c r="E143" s="87">
        <f ca="1">E136</f>
        <v>7413.5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93" customHeight="1" spans="1:9">
      <c r="A156" s="62"/>
      <c r="B156" s="63"/>
      <c r="C156" s="99" t="s">
        <v>291</v>
      </c>
      <c r="D156" s="103"/>
      <c r="E156" s="101">
        <v>1120</v>
      </c>
      <c r="F156" s="14"/>
      <c r="G156" s="14"/>
      <c r="H156" s="14"/>
      <c r="I156" s="47"/>
    </row>
    <row r="157" ht="93" customHeight="1" spans="1:9">
      <c r="A157" s="62"/>
      <c r="B157" s="63"/>
      <c r="C157" s="100" t="s">
        <v>197</v>
      </c>
      <c r="D157" s="100"/>
      <c r="E157" s="102">
        <v>523.3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7805.2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"&amp;IF(Main!B2,TEXT(EDATE(Main!B3,29),"mmmm dd yyyy"),TEXT(Main!B3+((Main!B5-Main!B3)*29+29),"mmmm dd yyyy"))&amp;" to "&amp;IF(Main!B2,TEXT(EDATE(Main!B3,30)-1,"mmmm dd yyyy"),TEXT(Main!B3+((Main!B5-Main!B3)*30+29),"mmmm dd yyyy"))</f>
        <v>Debts Or Credits For the Comming September 20 2026 to October 19 2026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"&amp;IF(Main!B2,TEXT(EDATE(Main!B3,29)-1,"mmmm yyyy"),TEXT(Main!B3+((Main!B5-Main!B3)*29+28),"mmmm yyyy"))</f>
        <v>Balance Brought Forward From September 2026</v>
      </c>
      <c r="B170" s="56"/>
      <c r="C170" s="57"/>
      <c r="D170" s="57"/>
      <c r="E170" s="90">
        <f ca="1">E163</f>
        <v>7805.2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78" customHeight="1" spans="1:9">
      <c r="A183" s="62"/>
      <c r="B183" s="63"/>
      <c r="C183" s="99" t="s">
        <v>300</v>
      </c>
      <c r="D183" s="99"/>
      <c r="E183" s="101">
        <v>669</v>
      </c>
      <c r="F183" s="14"/>
      <c r="G183" s="14"/>
      <c r="H183" s="14"/>
      <c r="I183" s="47"/>
    </row>
    <row r="184" ht="78" customHeight="1" spans="1:9">
      <c r="A184" s="62"/>
      <c r="B184" s="63"/>
      <c r="C184" s="100" t="s">
        <v>197</v>
      </c>
      <c r="D184" s="100"/>
      <c r="E184" s="102">
        <v>586.2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8585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7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77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87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90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91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108">
    <cfRule type="cellIs" dxfId="0" priority="19" operator="greaterThanOrEqual">
      <formula>0</formula>
    </cfRule>
    <cfRule type="cellIs" dxfId="1" priority="18" operator="lessThan">
      <formula>0</formula>
    </cfRule>
  </conditionalFormatting>
  <conditionalFormatting sqref="C109">
    <cfRule type="cellIs" dxfId="0" priority="17" operator="greaterThanOrEqual">
      <formula>0</formula>
    </cfRule>
    <cfRule type="cellIs" dxfId="1" priority="16" operator="lessThan">
      <formula>0</formula>
    </cfRule>
  </conditionalFormatting>
  <conditionalFormatting sqref="E116">
    <cfRule type="cellIs" dxfId="4" priority="27" operator="greaterThanOrEqual">
      <formula>0</formula>
    </cfRule>
    <cfRule type="cellIs" dxfId="5" priority="26" operator="lessThan">
      <formula>0</formula>
    </cfRule>
  </conditionalFormatting>
  <conditionalFormatting sqref="E129">
    <cfRule type="cellIs" dxfId="8" priority="9" operator="equal">
      <formula>0</formula>
    </cfRule>
  </conditionalFormatting>
  <conditionalFormatting sqref="E130">
    <cfRule type="cellIs" dxfId="7" priority="8" operator="equal">
      <formula>0</formula>
    </cfRule>
    <cfRule type="cellIs" dxfId="6" priority="7" operator="equal">
      <formula>0</formula>
    </cfRule>
  </conditionalFormatting>
  <conditionalFormatting sqref="E136">
    <cfRule type="cellIs" dxfId="4" priority="58" operator="greaterThanOrEqual">
      <formula>0</formula>
    </cfRule>
    <cfRule type="cellIs" dxfId="5" priority="57" operator="lessThan">
      <formula>0</formula>
    </cfRule>
  </conditionalFormatting>
  <conditionalFormatting sqref="E143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E156">
    <cfRule type="cellIs" dxfId="8" priority="6" operator="equal">
      <formula>0</formula>
    </cfRule>
  </conditionalFormatting>
  <conditionalFormatting sqref="E157">
    <cfRule type="cellIs" dxfId="7" priority="5" operator="equal">
      <formula>0</formula>
    </cfRule>
    <cfRule type="cellIs" dxfId="6" priority="4" operator="equal">
      <formula>0</formula>
    </cfRule>
  </conditionalFormatting>
  <conditionalFormatting sqref="E163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E170">
    <cfRule type="cellIs" dxfId="4" priority="39" operator="greaterThanOrEqual">
      <formula>0</formula>
    </cfRule>
    <cfRule type="cellIs" dxfId="5" priority="38" operator="lessThan">
      <formula>0</formula>
    </cfRule>
  </conditionalFormatting>
  <conditionalFormatting sqref="E183">
    <cfRule type="cellIs" dxfId="8" priority="3" operator="equal">
      <formula>0</formula>
    </cfRule>
  </conditionalFormatting>
  <conditionalFormatting sqref="E184">
    <cfRule type="cellIs" dxfId="7" priority="2" operator="equal">
      <formula>0</formula>
    </cfRule>
    <cfRule type="cellIs" dxfId="6" priority="1" operator="equal">
      <formula>0</formula>
    </cfRule>
  </conditionalFormatting>
  <conditionalFormatting sqref="E190">
    <cfRule type="cellIs" dxfId="4" priority="41" operator="greaterThanOrEqual">
      <formula>0</formula>
    </cfRule>
    <cfRule type="cellIs" dxfId="5" priority="40" operator="lessThan">
      <formula>0</formula>
    </cfRule>
  </conditionalFormatting>
  <conditionalFormatting sqref="C57:C66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68:C69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70:C7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78:C79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80:C84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88:C89">
    <cfRule type="cellIs" dxfId="6" priority="14" operator="equal">
      <formula>0</formula>
    </cfRule>
  </conditionalFormatting>
  <conditionalFormatting sqref="C92:C94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98:C107">
    <cfRule type="cellIs" dxfId="1" priority="35" operator="lessThan">
      <formula>0</formula>
    </cfRule>
    <cfRule type="cellIs" dxfId="3" priority="34" operator="greaterThanOrEqual">
      <formula>0</formula>
    </cfRule>
  </conditionalFormatting>
  <conditionalFormatting sqref="E118:E127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45:E154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E172:E181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47:C55 C85 C95:C96">
    <cfRule type="cellIs" dxfId="0" priority="72" operator="equal">
      <formula>0</formula>
    </cfRule>
  </conditionalFormatting>
  <conditionalFormatting sqref="C47:C55 C85 C95:C96 E144 E155 E158:E162">
    <cfRule type="cellIs" dxfId="1" priority="71" operator="greaterThan">
      <formula>0</formula>
    </cfRule>
  </conditionalFormatting>
  <conditionalFormatting sqref="E117 E128 E131:E135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E144 E155 E158:E162">
    <cfRule type="cellIs" dxfId="3" priority="48" operator="equal">
      <formula>0</formula>
    </cfRule>
  </conditionalFormatting>
  <conditionalFormatting sqref="E171 E182 E185:E189">
    <cfRule type="cellIs" dxfId="3" priority="43" operator="equal">
      <formula>0</formula>
    </cfRule>
    <cfRule type="cellIs" dxfId="1" priority="4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65" workbookViewId="0">
      <selection activeCell="E184" sqref="E184"/>
    </sheetView>
  </sheetViews>
  <sheetFormatPr defaultColWidth="9" defaultRowHeight="17.6"/>
  <cols>
    <col min="1" max="1" width="24.5347222222222" customWidth="1"/>
    <col min="2" max="2" width="20.625" customWidth="1"/>
    <col min="3" max="3" width="30.25" customWidth="1"/>
    <col min="4" max="8" width="20.625" customWidth="1"/>
  </cols>
  <sheetData>
    <row r="1" ht="24.75" customHeight="1" spans="1:9">
      <c r="A1" s="1" t="str">
        <f>"Forecasts For the Year "&amp;IF(Main!B2,TEXT(EDATE(Main!B3,30),"mmmm yyyy"),TEXT(Main!B3+((Main!B5-Main!B3)*30+30),"mmmm yyyy"))&amp;" to "&amp;IF(Main!B2,TEXT(EDATE(Main!B3,33)-1,"mmmm yyyy"),TEXT(Main!B3+((Main!B5-Main!B3)*33+32),"mmmm yyyy"))</f>
        <v>Forecasts For the Year October 2026 to January 2027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10371.1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11552.6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IF(Main!B2,TEXT(EDATE(Main!B3,30),"dd mmmm yyyy"),TEXT(Main!B3+((Main!B5-Main!B3)*30+30),"dd mmmm yyyy"))&amp;" - "&amp;IF(Main!B2,TEXT(EDATE(Main!B3,31)-1,"dd mmmm yyyy"),TEXT(Main!B3+((Main!B5-Main!B3)*31+30),"dd mmmm yyyy"))&amp;" / "&amp;" (Revenue / Deferred Debts Or Expenses)"</f>
        <v>20 October 2026 - 19 November 2026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301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223</v>
      </c>
      <c r="C12" s="96"/>
      <c r="D12" s="97" t="s">
        <v>224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IF(Main!B2,TEXT(EDATE(Main!B3,31),"dd mmmm yyyy"),TEXT(Main!B3+((Main!B5-Main!B3)*31+31),"dd mmmm yyyy"))&amp;" - "&amp;IF(Main!B2,TEXT(EDATE(Main!B3,32)-1,"dd mmmm yyyy"),TEXT(Main!B3+((Main!B5-Main!B3)*32+31),"dd mmmm yyyy"))&amp;" / "&amp;" (Revenue / Deferred Debts Or Expenses)"</f>
        <v>20 November 2026 - 19 December 2026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302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IF(Main!B2,TEXT(EDATE(Main!B3,32),"dd mmmm yyyy"),TEXT(Main!B3+((Main!B5-Main!B3)*32+32),"dd mmmm yyyy"))&amp;" - "&amp;IF(Main!B2,TEXT(EDATE(Main!B3,33)-1,"dd mmmm yyyy"),TEXT(Main!B3+((Main!B5-Main!B3)*33+32),"dd mmmm yyyy"))&amp;" / "&amp;" (Revenue / Deferred Debts Or Expenses)"</f>
        <v>20 December 2026 - 19 January 2027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97" t="s">
        <v>53</v>
      </c>
      <c r="E34" s="97"/>
      <c r="F34" s="7">
        <v>2435</v>
      </c>
      <c r="G34" s="7"/>
      <c r="H34" s="14"/>
      <c r="I34" s="47"/>
    </row>
    <row r="35" ht="24.75" customHeight="1" spans="1:9">
      <c r="A35" s="95" t="s">
        <v>303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"&amp;IF(Main!B2,TEXT(EDATE(Main!B3,30),"mmmm yyyy"),TEXT(Main!B3+((Main!B5-Main!B3)*30+30),"mmmm yyyy"))&amp;" to "&amp;IF(Main!B2,TEXT(EDATE(Main!B3,33)-1,"mmmm yyyy"),TEXT(Main!B3+((Main!B5-Main!B3)*33+32),"mmmm yyyy"))</f>
        <v>Fixed Expense For the Year October 2026 to January 2027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8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55.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45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INDIRECT("'"&amp;INDIRECT("Main!B36")&amp;"'!C98")+SUM(E118+E145+E172)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INDIRECT("'"&amp;INDIRECT("Main!B36")&amp;"'!C99")+SUM(E119+E146+E173)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INDIRECT("'"&amp;INDIRECT("Main!B36")&amp;"'!C100")+SUM(E120+E147+E174)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INDIRECT("'"&amp;INDIRECT("Main!B36")&amp;"'!C101")+SUM(E121+E148+E175)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INDIRECT("'"&amp;INDIRECT("Main!B36")&amp;"'!C102")+SUM(E122+E149+E176)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INDIRECT("'"&amp;INDIRECT("Main!B36")&amp;"'!C103")+SUM(E123+E150+E177)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INDIRECT("'"&amp;INDIRECT("Main!B36")&amp;"'!C104")+SUM(E124+E151+E178)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INDIRECT("'"&amp;INDIRECT("Main!B36")&amp;"'!C105")+SUM(E125+E152+E179)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INDIRECT("'"&amp;INDIRECT("Main!B36")&amp;"'!C106")+SUM(E126+E153+E180)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INDIRECT("'"&amp;INDIRECT("Main!B36")&amp;"'!C107")+SUM(E127+E154+E181)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"&amp;IF(Main!B2,TEXT(EDATE(Main!B3,30),"mmmm dd yyyy"),TEXT(Main!B3+((Main!B5-Main!B3)*30+30),"mmmm dd yyyy"))&amp;" to "&amp;IF(Main!B2,TEXT(EDATE(Main!B3,31)-1,"mmmm dd yyyy"),TEXT(Main!B3+((Main!B5-Main!B3)*31+30),"mmmm dd yyyy"))</f>
        <v>Debts Or Credits For the Comming October 20 2026 to November 19 2026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"&amp;IF(Main!B2,TEXT(EDATE(Main!B3,30)-1,"mmmm yyyy"),TEXT(Main!B3+((Main!B5-Main!B3)*30+29),"mmmm yyyy"))</f>
        <v>Balance Brought Forward From October 2026</v>
      </c>
      <c r="B116" s="56"/>
      <c r="C116" s="57"/>
      <c r="D116" s="57"/>
      <c r="E116" s="70" cm="1">
        <f ca="1" t="array" ref="E116">INDIRECT("'"&amp;INDIRECT("Main!B36")&amp;"'!E190")</f>
        <v>8585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65" customHeight="1" spans="1:9">
      <c r="A129" s="62"/>
      <c r="B129" s="63"/>
      <c r="C129" s="99" t="s">
        <v>287</v>
      </c>
      <c r="D129" s="99"/>
      <c r="E129" s="101">
        <v>960</v>
      </c>
      <c r="F129" s="14"/>
      <c r="G129" s="14"/>
      <c r="H129" s="14"/>
      <c r="I129" s="47"/>
    </row>
    <row r="130" ht="65" customHeight="1" spans="1:9">
      <c r="A130" s="62"/>
      <c r="B130" s="63"/>
      <c r="C130" s="100" t="s">
        <v>197</v>
      </c>
      <c r="D130" s="100"/>
      <c r="E130" s="102">
        <v>523.3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9136.7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"&amp;IF(Main!B2,TEXT(EDATE(Main!B3,31),"mmmm dd yyyy"),TEXT(Main!B3+((Main!B5-Main!B3)*31+31),"dd mmmm yyyy"))&amp;" to "&amp;IF(Main!B2,TEXT(EDATE(Main!B3,32)-1,"mmmm dd yyyy"),TEXT(Main!B3+((Main!B5-Main!B3)*32+31),"mmmm dd yyyy"))</f>
        <v>Debts Or Credits For the Comming November 20 2026 to December 19 2026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"&amp;IF(Main!B2,TEXT(EDATE(Main!B3,31)-1,"mmmm yyyy"),TEXT(Main!B3+((Main!B5-Main!B3)*31+30),"mmmm yyyy"))</f>
        <v>Balance Brought Forward From November 2026</v>
      </c>
      <c r="B143" s="56"/>
      <c r="C143" s="57"/>
      <c r="D143" s="57"/>
      <c r="E143" s="87">
        <f ca="1">E136</f>
        <v>9136.7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106" customHeight="1" spans="1:9">
      <c r="A156" s="62"/>
      <c r="B156" s="63"/>
      <c r="C156" s="99" t="s">
        <v>295</v>
      </c>
      <c r="D156" s="99"/>
      <c r="E156" s="101">
        <v>829</v>
      </c>
      <c r="F156" s="14"/>
      <c r="G156" s="14"/>
      <c r="H156" s="14"/>
      <c r="I156" s="47"/>
    </row>
    <row r="157" ht="106" customHeight="1" spans="1:9">
      <c r="A157" s="62"/>
      <c r="B157" s="63"/>
      <c r="C157" s="100" t="s">
        <v>197</v>
      </c>
      <c r="D157" s="100"/>
      <c r="E157" s="102">
        <v>523.3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9819.4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"&amp;IF(Main!B2,TEXT(EDATE(Main!B3,32),"mmmm dd yyyy"),TEXT(Main!B3+((Main!B5-Main!B3)*32+32),"mmmm dd yyyy"))&amp;" to "&amp;IF(Main!B2,TEXT(EDATE(Main!B3,33)-1,"mmmm dd yyyy"),TEXT(Main!B3+((Main!B5-Main!B3)*33+32),"mmmm dd yyyy"))</f>
        <v>Debts Or Credits For the Comming December 20 2026 to January 19 2027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"&amp;IF(Main!B2,TEXT(EDATE(Main!B3,32)-1,"mmmm yyyy"),TEXT(Main!B3+((Main!B5-Main!B3)*32+31),"mmmm yyyy"))</f>
        <v>Balance Brought Forward From December 2026</v>
      </c>
      <c r="B170" s="56"/>
      <c r="C170" s="57"/>
      <c r="D170" s="57"/>
      <c r="E170" s="90">
        <f ca="1">E163</f>
        <v>9819.4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66" customHeight="1" spans="1:9">
      <c r="A183" s="62"/>
      <c r="B183" s="63"/>
      <c r="C183" s="99" t="s">
        <v>287</v>
      </c>
      <c r="D183" s="99"/>
      <c r="E183" s="101">
        <v>960</v>
      </c>
      <c r="F183" s="14"/>
      <c r="G183" s="14"/>
      <c r="H183" s="14"/>
      <c r="I183" s="47"/>
    </row>
    <row r="184" ht="66" customHeight="1" spans="1:9">
      <c r="A184" s="62"/>
      <c r="B184" s="63"/>
      <c r="C184" s="100" t="s">
        <v>197</v>
      </c>
      <c r="D184" s="100"/>
      <c r="E184" s="102">
        <v>523.3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spans="1:9">
      <c r="A190" s="79"/>
      <c r="B190" s="80"/>
      <c r="C190" s="81" t="s">
        <v>114</v>
      </c>
      <c r="D190" s="81"/>
      <c r="E190" s="90">
        <f ca="1">(F40+E170)-(SUM(E172:E181)+SUM(E183:E189))</f>
        <v>10371.1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7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77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87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90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91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108">
    <cfRule type="cellIs" dxfId="0" priority="19" operator="greaterThanOrEqual">
      <formula>0</formula>
    </cfRule>
    <cfRule type="cellIs" dxfId="1" priority="18" operator="lessThan">
      <formula>0</formula>
    </cfRule>
  </conditionalFormatting>
  <conditionalFormatting sqref="C109">
    <cfRule type="cellIs" dxfId="0" priority="17" operator="greaterThanOrEqual">
      <formula>0</formula>
    </cfRule>
    <cfRule type="cellIs" dxfId="1" priority="16" operator="lessThan">
      <formula>0</formula>
    </cfRule>
  </conditionalFormatting>
  <conditionalFormatting sqref="E116">
    <cfRule type="cellIs" dxfId="4" priority="27" operator="greaterThanOrEqual">
      <formula>0</formula>
    </cfRule>
    <cfRule type="cellIs" dxfId="5" priority="26" operator="lessThan">
      <formula>0</formula>
    </cfRule>
  </conditionalFormatting>
  <conditionalFormatting sqref="E129">
    <cfRule type="cellIs" dxfId="8" priority="9" operator="equal">
      <formula>0</formula>
    </cfRule>
  </conditionalFormatting>
  <conditionalFormatting sqref="E130">
    <cfRule type="cellIs" dxfId="7" priority="8" operator="equal">
      <formula>0</formula>
    </cfRule>
    <cfRule type="cellIs" dxfId="6" priority="7" operator="equal">
      <formula>0</formula>
    </cfRule>
  </conditionalFormatting>
  <conditionalFormatting sqref="E136">
    <cfRule type="cellIs" dxfId="4" priority="58" operator="greaterThanOrEqual">
      <formula>0</formula>
    </cfRule>
    <cfRule type="cellIs" dxfId="5" priority="57" operator="lessThan">
      <formula>0</formula>
    </cfRule>
  </conditionalFormatting>
  <conditionalFormatting sqref="E143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E156">
    <cfRule type="cellIs" dxfId="8" priority="6" operator="equal">
      <formula>0</formula>
    </cfRule>
  </conditionalFormatting>
  <conditionalFormatting sqref="E157">
    <cfRule type="cellIs" dxfId="7" priority="5" operator="equal">
      <formula>0</formula>
    </cfRule>
    <cfRule type="cellIs" dxfId="6" priority="4" operator="equal">
      <formula>0</formula>
    </cfRule>
  </conditionalFormatting>
  <conditionalFormatting sqref="E163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E170">
    <cfRule type="cellIs" dxfId="4" priority="39" operator="greaterThanOrEqual">
      <formula>0</formula>
    </cfRule>
    <cfRule type="cellIs" dxfId="5" priority="38" operator="lessThan">
      <formula>0</formula>
    </cfRule>
  </conditionalFormatting>
  <conditionalFormatting sqref="E183">
    <cfRule type="cellIs" dxfId="8" priority="3" operator="equal">
      <formula>0</formula>
    </cfRule>
  </conditionalFormatting>
  <conditionalFormatting sqref="E184">
    <cfRule type="cellIs" dxfId="7" priority="2" operator="equal">
      <formula>0</formula>
    </cfRule>
    <cfRule type="cellIs" dxfId="6" priority="1" operator="equal">
      <formula>0</formula>
    </cfRule>
  </conditionalFormatting>
  <conditionalFormatting sqref="E190">
    <cfRule type="cellIs" dxfId="4" priority="41" operator="greaterThanOrEqual">
      <formula>0</formula>
    </cfRule>
    <cfRule type="cellIs" dxfId="5" priority="40" operator="lessThan">
      <formula>0</formula>
    </cfRule>
  </conditionalFormatting>
  <conditionalFormatting sqref="C57:C66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68:C69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70:C7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78:C79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80:C84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88:C89">
    <cfRule type="cellIs" dxfId="6" priority="14" operator="equal">
      <formula>0</formula>
    </cfRule>
  </conditionalFormatting>
  <conditionalFormatting sqref="C92:C94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98:C107">
    <cfRule type="cellIs" dxfId="1" priority="35" operator="lessThan">
      <formula>0</formula>
    </cfRule>
    <cfRule type="cellIs" dxfId="3" priority="34" operator="greaterThanOrEqual">
      <formula>0</formula>
    </cfRule>
  </conditionalFormatting>
  <conditionalFormatting sqref="E118:E127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45:E154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E172:E181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47:C55 C85 C95:C96">
    <cfRule type="cellIs" dxfId="0" priority="72" operator="equal">
      <formula>0</formula>
    </cfRule>
  </conditionalFormatting>
  <conditionalFormatting sqref="C47:C55 C85 C95:C96 E144 E155 E158:E162">
    <cfRule type="cellIs" dxfId="1" priority="71" operator="greaterThan">
      <formula>0</formula>
    </cfRule>
  </conditionalFormatting>
  <conditionalFormatting sqref="E117 E128 E131:E135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E144 E155 E158:E162">
    <cfRule type="cellIs" dxfId="3" priority="48" operator="equal">
      <formula>0</formula>
    </cfRule>
  </conditionalFormatting>
  <conditionalFormatting sqref="E171 E182 E185:E189">
    <cfRule type="cellIs" dxfId="3" priority="43" operator="equal">
      <formula>0</formula>
    </cfRule>
    <cfRule type="cellIs" dxfId="1" priority="42" operator="greaterThan">
      <formula>0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157" workbookViewId="0">
      <selection activeCell="E184" sqref="E184"/>
    </sheetView>
  </sheetViews>
  <sheetFormatPr defaultColWidth="9" defaultRowHeight="17.6"/>
  <cols>
    <col min="1" max="1" width="26.6180555555556" customWidth="1"/>
    <col min="2" max="2" width="26" customWidth="1"/>
    <col min="3" max="3" width="33" customWidth="1"/>
    <col min="4" max="7" width="20.625" customWidth="1"/>
    <col min="9" max="10" width="20.625" customWidth="1"/>
  </cols>
  <sheetData>
    <row r="1" ht="24.75" customHeight="1" spans="1:9">
      <c r="A1" s="1" t="str">
        <f>"Forecasts For the Year "&amp;IF(Main!B2,TEXT(EDATE(Main!B3,33),"mmmm yyyy"),TEXT(Main!B3+((Main!B5-Main!B3)*33+33),"mmmm yyyy"))&amp;" to "&amp;IF(Main!B2,TEXT(EDATE(Main!B3,36)-1,"mmmm yyyy"),TEXT(Main!B3+((Main!B5-Main!B3)*36+35),"mmmm yyyy"))</f>
        <v>Forecasts For the Year January 2027 to April 2027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12448.2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13629.7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IF(Main!B2,TEXT(EDATE(Main!B3,33),"dd mmmm yyyy"),TEXT(Main!B3+((Main!B5-Main!B3)*33+33),"dd mmmm yyyy"))&amp;" - "&amp;IF(Main!B2,TEXT(EDATE(Main!B3,34)-1,"dd mmmm yyyy"),TEXT(Main!B3+((Main!B5-Main!B3)*34+33),"dd mmmm yyyy"))&amp;" / "&amp;" (Revenue / Deferred Debts Or Expenses)"</f>
        <v>20 January 2027 - 19 February 2027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288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223</v>
      </c>
      <c r="C12" s="96"/>
      <c r="D12" s="97" t="s">
        <v>224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IF(Main!B2,TEXT(EDATE(Main!B3,34),"dd mmmm yyyy"),TEXT(Main!B3+((Main!B5-Main!B3)*34+34),"dd mmmm yyyy"))&amp;" - "&amp;IF(Main!B2,TEXT(EDATE(Main!B3,35)-1,"dd mmmm yyyy"),TEXT(Main!B3+((Main!B5-Main!B3)*35+34),"dd mmmm yyyy"))&amp;" / "&amp;" (Revenue / Deferred Debts Or Expenses)"</f>
        <v>20 February 2027 - 19 March 2027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289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IF(Main!B2,TEXT(EDATE(Main!B3,35),"dd mmmm yyyy"),TEXT(Main!B3+((Main!B5-Main!B3)*35+35),"dd mmmm yyyy"))&amp;" - "&amp;IF(Main!B2,TEXT(EDATE(Main!B3,36)-1,"dd mmmm yyyy"),TEXT(Main!B3+((Main!B5-Main!B3)*36+35),"dd mmmm yyyy"))&amp;" / "&amp;" (Revenue / Deferred Debts Or Expenses)"</f>
        <v>20 March 2027 - 19 April 2027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97" t="s">
        <v>53</v>
      </c>
      <c r="E34" s="97"/>
      <c r="F34" s="7">
        <v>2435</v>
      </c>
      <c r="G34" s="7"/>
      <c r="H34" s="14"/>
      <c r="I34" s="47"/>
    </row>
    <row r="35" ht="24.75" customHeight="1" spans="1:9">
      <c r="A35" s="95" t="s">
        <v>304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"&amp;IF(Main!B2,TEXT(EDATE(Main!B3,33),"mmmm yyyy"),TEXT(Main!B3+((Main!B5-Main!B3)*33+33),"mmmm yyyy"))&amp;" to "&amp;IF(Main!B2,TEXT(EDATE(Main!B3,36)-1,"mmmm yyyy"),TEXT(Main!B3+((Main!B5-Main!B3)*36+35),"mmmm yyyy"))</f>
        <v>Fixed Expense For the Year January 2027 to April 2027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39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45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INDIRECT("'"&amp;INDIRECT("Main!B39")&amp;"'!C98")+SUM(E118+E145+E172)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INDIRECT("'"&amp;INDIRECT("Main!B39")&amp;"'!C99")+SUM(E119+E146+E173)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INDIRECT("'"&amp;INDIRECT("Main!B39")&amp;"'!C100")+SUM(E120+E147+E174)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INDIRECT("'"&amp;INDIRECT("Main!B39")&amp;"'!C101")+SUM(E121+E148+E175)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INDIRECT("'"&amp;INDIRECT("Main!B39")&amp;"'!C102")+SUM(E122+E149+E176)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INDIRECT("'"&amp;INDIRECT("Main!B39")&amp;"'!C103")+SUM(E123+E150+E177)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INDIRECT("'"&amp;INDIRECT("Main!B39")&amp;"'!C104")+SUM(E124+E151+E178)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INDIRECT("'"&amp;INDIRECT("Main!B39")&amp;"'!C105")+SUM(E125+E152+E179)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INDIRECT("'"&amp;INDIRECT("Main!B39")&amp;"'!C106")+SUM(E126+E153+E180)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INDIRECT("'"&amp;INDIRECT("Main!B39")&amp;"'!C107")+SUM(E127+E154+E181)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"&amp;IF(Main!B2,TEXT(EDATE(Main!B3,33),"mmmm dd yyyy"),TEXT(Main!B3+((Main!B5-Main!B3)*33+33),"mmmm dd yyyy"))&amp;" to "&amp;IF(Main!B2,TEXT(EDATE(Main!B3,34)-1,"mmmm dd yyyy"),TEXT(Main!B3+((Main!B5-Main!B3)*34+33),"mmmm dd yyyy"))</f>
        <v>Debts Or Credits For the Comming January 20 2027 to February 19 2027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"&amp;IF(Main!B2,TEXT(EDATE(Main!B3,33)-1,"mmmm yyyy"),TEXT(Main!B3+((Main!B5-Main!B3)*33+32),"mmmm yyyy"))</f>
        <v>Balance Brought Forward From January 2027</v>
      </c>
      <c r="B116" s="56"/>
      <c r="C116" s="57"/>
      <c r="D116" s="57"/>
      <c r="E116" s="70" cm="1">
        <f ca="1" t="array" ref="E116">INDIRECT("'"&amp;INDIRECT("Main!B39")&amp;"'!E190")</f>
        <v>10371.1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83" customHeight="1" spans="1:9">
      <c r="A129" s="62"/>
      <c r="B129" s="63"/>
      <c r="C129" s="99" t="s">
        <v>276</v>
      </c>
      <c r="D129" s="99"/>
      <c r="E129" s="101">
        <v>669</v>
      </c>
      <c r="F129" s="14"/>
      <c r="G129" s="14"/>
      <c r="H129" s="14"/>
      <c r="I129" s="47"/>
    </row>
    <row r="130" ht="83" customHeight="1" spans="1:9">
      <c r="A130" s="62"/>
      <c r="B130" s="63"/>
      <c r="C130" s="100" t="s">
        <v>197</v>
      </c>
      <c r="D130" s="100"/>
      <c r="E130" s="102">
        <v>523.3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11213.8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"&amp;IF(Main!B2,TEXT(EDATE(Main!B3,34),"mmmm dd yyyy"),TEXT(Main!B3+((Main!B5-Main!B3)*34+34),"dd mmmm yyyy"))&amp;" to "&amp;IF(Main!B2,TEXT(EDATE(Main!B3,35)-1,"mmmm dd yyyy"),TEXT(Main!B3+((Main!B5-Main!B3)*35+34),"mmmm dd yyyy"))</f>
        <v>Debts Or Credits For the Comming February 20 2027 to March 19 2027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"&amp;IF(Main!B2,TEXT(EDATE(Main!B3,34)-1,"mmmm yyyy"),TEXT(Main!B3+((Main!B5-Main!B3)*34+33),"mmmm yyyy"))</f>
        <v>Balance Brought Forward From February 2027</v>
      </c>
      <c r="B143" s="56"/>
      <c r="C143" s="57"/>
      <c r="D143" s="57"/>
      <c r="E143" s="87">
        <f ca="1">E136</f>
        <v>11213.8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115" customHeight="1" spans="1:9">
      <c r="A156" s="62"/>
      <c r="B156" s="63"/>
      <c r="C156" s="99" t="s">
        <v>291</v>
      </c>
      <c r="D156" s="99"/>
      <c r="E156" s="101">
        <v>1120</v>
      </c>
      <c r="F156" s="14"/>
      <c r="G156" s="14"/>
      <c r="H156" s="14"/>
      <c r="I156" s="47"/>
    </row>
    <row r="157" ht="115" customHeight="1" spans="1:9">
      <c r="A157" s="62"/>
      <c r="B157" s="63"/>
      <c r="C157" s="100" t="s">
        <v>197</v>
      </c>
      <c r="D157" s="100"/>
      <c r="E157" s="102">
        <v>523.3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11605.5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"&amp;IF(Main!B2,TEXT(EDATE(Main!B3,35),"mmmm dd yyyy"),TEXT(Main!B3+((Main!B5-Main!B3)*35+35),"mmmm dd yyyy"))&amp;" to "&amp;IF(Main!B2,TEXT(EDATE(Main!B3,36)-1,"mmmm dd yyyy"),TEXT(Main!B3+((Main!B5-Main!B3)*36+35),"mmmm dd yyyy"))</f>
        <v>Debts Or Credits For the Comming March 20 2027 to April 19 2027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"&amp;IF(Main!B2,TEXT(EDATE(Main!B3,35)-1,"mmmm yyyy"),TEXT(Main!B3+((Main!B5-Main!B3)*35+34),"mmmm yyyy"))</f>
        <v>Balance Brought Forward From March 2027</v>
      </c>
      <c r="B170" s="56"/>
      <c r="C170" s="57"/>
      <c r="D170" s="57"/>
      <c r="E170" s="90">
        <f ca="1">E163</f>
        <v>11605.5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85" customHeight="1" spans="1:9">
      <c r="A183" s="62"/>
      <c r="B183" s="63"/>
      <c r="C183" s="99" t="s">
        <v>276</v>
      </c>
      <c r="D183" s="99"/>
      <c r="E183" s="101">
        <v>669</v>
      </c>
      <c r="F183" s="14"/>
      <c r="G183" s="14"/>
      <c r="H183" s="14"/>
      <c r="I183" s="47"/>
    </row>
    <row r="184" ht="85" customHeight="1" spans="1:9">
      <c r="A184" s="62"/>
      <c r="B184" s="63"/>
      <c r="C184" s="100" t="s">
        <v>197</v>
      </c>
      <c r="D184" s="100"/>
      <c r="E184" s="102">
        <v>523.3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12448.2</v>
      </c>
      <c r="F190" s="14"/>
      <c r="G190" s="14"/>
      <c r="H190" s="14"/>
      <c r="I190" s="47"/>
    </row>
    <row r="19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ht="24.75" customHeight="1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17:B134"/>
    <mergeCell ref="A144:B161"/>
    <mergeCell ref="A171:B188"/>
  </mergeCells>
  <conditionalFormatting sqref="C5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7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77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87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90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91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108">
    <cfRule type="cellIs" dxfId="0" priority="19" operator="greaterThanOrEqual">
      <formula>0</formula>
    </cfRule>
    <cfRule type="cellIs" dxfId="1" priority="18" operator="lessThan">
      <formula>0</formula>
    </cfRule>
  </conditionalFormatting>
  <conditionalFormatting sqref="C109">
    <cfRule type="cellIs" dxfId="0" priority="17" operator="greaterThanOrEqual">
      <formula>0</formula>
    </cfRule>
    <cfRule type="cellIs" dxfId="1" priority="16" operator="lessThan">
      <formula>0</formula>
    </cfRule>
  </conditionalFormatting>
  <conditionalFormatting sqref="E116">
    <cfRule type="cellIs" dxfId="4" priority="27" operator="greaterThanOrEqual">
      <formula>0</formula>
    </cfRule>
    <cfRule type="cellIs" dxfId="5" priority="26" operator="lessThan">
      <formula>0</formula>
    </cfRule>
  </conditionalFormatting>
  <conditionalFormatting sqref="E129">
    <cfRule type="cellIs" dxfId="8" priority="9" operator="equal">
      <formula>0</formula>
    </cfRule>
  </conditionalFormatting>
  <conditionalFormatting sqref="E130">
    <cfRule type="cellIs" dxfId="7" priority="8" operator="equal">
      <formula>0</formula>
    </cfRule>
    <cfRule type="cellIs" dxfId="6" priority="7" operator="equal">
      <formula>0</formula>
    </cfRule>
  </conditionalFormatting>
  <conditionalFormatting sqref="E136">
    <cfRule type="cellIs" dxfId="4" priority="58" operator="greaterThanOrEqual">
      <formula>0</formula>
    </cfRule>
    <cfRule type="cellIs" dxfId="5" priority="57" operator="lessThan">
      <formula>0</formula>
    </cfRule>
  </conditionalFormatting>
  <conditionalFormatting sqref="E143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E156">
    <cfRule type="cellIs" dxfId="8" priority="6" operator="equal">
      <formula>0</formula>
    </cfRule>
  </conditionalFormatting>
  <conditionalFormatting sqref="E157">
    <cfRule type="cellIs" dxfId="7" priority="5" operator="equal">
      <formula>0</formula>
    </cfRule>
    <cfRule type="cellIs" dxfId="6" priority="4" operator="equal">
      <formula>0</formula>
    </cfRule>
  </conditionalFormatting>
  <conditionalFormatting sqref="E163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E170">
    <cfRule type="cellIs" dxfId="4" priority="39" operator="greaterThanOrEqual">
      <formula>0</formula>
    </cfRule>
    <cfRule type="cellIs" dxfId="5" priority="38" operator="lessThan">
      <formula>0</formula>
    </cfRule>
  </conditionalFormatting>
  <conditionalFormatting sqref="E183">
    <cfRule type="cellIs" dxfId="8" priority="3" operator="equal">
      <formula>0</formula>
    </cfRule>
  </conditionalFormatting>
  <conditionalFormatting sqref="E184">
    <cfRule type="cellIs" dxfId="7" priority="2" operator="equal">
      <formula>0</formula>
    </cfRule>
    <cfRule type="cellIs" dxfId="6" priority="1" operator="equal">
      <formula>0</formula>
    </cfRule>
  </conditionalFormatting>
  <conditionalFormatting sqref="E190">
    <cfRule type="cellIs" dxfId="4" priority="41" operator="greaterThanOrEqual">
      <formula>0</formula>
    </cfRule>
    <cfRule type="cellIs" dxfId="5" priority="40" operator="lessThan">
      <formula>0</formula>
    </cfRule>
  </conditionalFormatting>
  <conditionalFormatting sqref="C57:C66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68:C69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70:C7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78:C79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80:C84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88:C89">
    <cfRule type="cellIs" dxfId="6" priority="14" operator="equal">
      <formula>0</formula>
    </cfRule>
  </conditionalFormatting>
  <conditionalFormatting sqref="C92:C94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98:C107">
    <cfRule type="cellIs" dxfId="1" priority="35" operator="lessThan">
      <formula>0</formula>
    </cfRule>
    <cfRule type="cellIs" dxfId="3" priority="34" operator="greaterThanOrEqual">
      <formula>0</formula>
    </cfRule>
  </conditionalFormatting>
  <conditionalFormatting sqref="E118:E127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45:E154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E172:E181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47:C55 C85 C95:C96">
    <cfRule type="cellIs" dxfId="0" priority="72" operator="equal">
      <formula>0</formula>
    </cfRule>
  </conditionalFormatting>
  <conditionalFormatting sqref="C47:C55 C85 C95:C96 E144 E155 E158:E162">
    <cfRule type="cellIs" dxfId="1" priority="71" operator="greaterThan">
      <formula>0</formula>
    </cfRule>
  </conditionalFormatting>
  <conditionalFormatting sqref="E117 E128 E131:E135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E144 E155 E158:E162">
    <cfRule type="cellIs" dxfId="3" priority="48" operator="equal">
      <formula>0</formula>
    </cfRule>
  </conditionalFormatting>
  <conditionalFormatting sqref="E171 E182 E185:E189">
    <cfRule type="cellIs" dxfId="3" priority="43" operator="equal">
      <formula>0</formula>
    </cfRule>
    <cfRule type="cellIs" dxfId="1" priority="42" operator="greaterThan">
      <formula>0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4"/>
  <sheetViews>
    <sheetView topLeftCell="A159" workbookViewId="0">
      <selection activeCell="F184" sqref="F184"/>
    </sheetView>
  </sheetViews>
  <sheetFormatPr defaultColWidth="9" defaultRowHeight="17.6"/>
  <cols>
    <col min="1" max="1" width="25.9236111111111" customWidth="1"/>
    <col min="2" max="2" width="20.625" customWidth="1"/>
    <col min="3" max="3" width="28.75" customWidth="1"/>
    <col min="4" max="8" width="20.625" customWidth="1"/>
  </cols>
  <sheetData>
    <row r="1" ht="24.75" customHeight="1" spans="1:9">
      <c r="A1" s="1" t="str">
        <f>"Forecasts For the Year "&amp;IF(Main!B2,TEXT(EDATE(Main!B3,36),"mmmm yyyy"),TEXT(Main!B3+((Main!B5-Main!B3)*36+36),"mmmm yyyy"))&amp;" to "&amp;IF(Main!B2,TEXT(EDATE(Main!B3,39)-1,"mmmm yyyy"),TEXT(Main!B3+((Main!B5-Main!B3)*39+38),"mmmm yyyy"))</f>
        <v>Forecasts For the Year April 2027 to July 2027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14234.3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15415.8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IF(Main!B2,TEXT(EDATE(Main!B3,36),"dd mmmm yyyy"),TEXT(Main!B3+((Main!B5-Main!B3)*36+36),"dd mmmm yyyy"))&amp;" - "&amp;IF(Main!B2,TEXT(EDATE(Main!B3,37)-1,"dd mmmm yyyy"),TEXT(Main!B3+((Main!B5-Main!B3)*37+36),"dd mmmm yyyy"))&amp;" / "&amp;" (Revenue / Deferred Debts Or Expenses)"</f>
        <v>20 April 2027 - 19 May 2027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95"/>
      <c r="B10" s="96" t="s">
        <v>52</v>
      </c>
      <c r="C10" s="96"/>
      <c r="D10" s="97" t="s">
        <v>53</v>
      </c>
      <c r="E10" s="97"/>
      <c r="F10" s="7">
        <v>2435</v>
      </c>
      <c r="G10" s="7"/>
      <c r="H10" s="14"/>
      <c r="I10" s="47"/>
    </row>
    <row r="11" ht="24.75" customHeight="1" spans="1:9">
      <c r="A11" s="95" t="s">
        <v>292</v>
      </c>
      <c r="B11" s="96" t="s">
        <v>66</v>
      </c>
      <c r="C11" s="96"/>
      <c r="D11" s="97" t="s">
        <v>144</v>
      </c>
      <c r="E11" s="97"/>
      <c r="F11" s="7">
        <v>0</v>
      </c>
      <c r="G11" s="7"/>
      <c r="H11" s="14"/>
      <c r="I11" s="47"/>
    </row>
    <row r="12" ht="24.75" customHeight="1" spans="1:9">
      <c r="A12" s="95"/>
      <c r="B12" s="96" t="s">
        <v>223</v>
      </c>
      <c r="C12" s="96"/>
      <c r="D12" s="97" t="s">
        <v>224</v>
      </c>
      <c r="E12" s="97"/>
      <c r="F12" s="7">
        <v>0</v>
      </c>
      <c r="G12" s="7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2435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IF(Main!B2,TEXT(EDATE(Main!B3,37),"dd mmmm yyyy"),TEXT(Main!B3+((Main!B5-Main!B3)*37+37),"dd mmmm yyyy"))&amp;" - "&amp;IF(Main!B2,TEXT(EDATE(Main!B3,38)-1,"dd mmmm yyyy"),TEXT(Main!B3+((Main!B5-Main!B3)*38+37),"dd mmmm yyyy"))&amp;" / "&amp;" (Revenue / Deferred Debts Or Expenses)"</f>
        <v>20 May 2027 - 19 June 2027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95"/>
      <c r="B22" s="96" t="s">
        <v>52</v>
      </c>
      <c r="C22" s="96"/>
      <c r="D22" s="97" t="s">
        <v>53</v>
      </c>
      <c r="E22" s="97"/>
      <c r="F22" s="7">
        <v>2435</v>
      </c>
      <c r="G22" s="7"/>
      <c r="H22" s="14"/>
      <c r="I22" s="47"/>
    </row>
    <row r="23" ht="24.75" customHeight="1" spans="1:9">
      <c r="A23" s="95" t="s">
        <v>293</v>
      </c>
      <c r="B23" s="96" t="s">
        <v>66</v>
      </c>
      <c r="C23" s="96"/>
      <c r="D23" s="97" t="s">
        <v>144</v>
      </c>
      <c r="E23" s="97"/>
      <c r="F23" s="7">
        <v>0</v>
      </c>
      <c r="G23" s="7"/>
      <c r="H23" s="14"/>
      <c r="I23" s="47"/>
    </row>
    <row r="24" ht="24.75" customHeight="1" spans="1:9">
      <c r="A24" s="95"/>
      <c r="B24" s="96" t="s">
        <v>223</v>
      </c>
      <c r="C24" s="96"/>
      <c r="D24" s="97" t="s">
        <v>224</v>
      </c>
      <c r="E24" s="97"/>
      <c r="F24" s="7">
        <v>0</v>
      </c>
      <c r="G24" s="7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2435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IF(Main!B2,TEXT(EDATE(Main!B3,38),"dd mmmm yyyy"),TEXT(Main!B3+((Main!B5-Main!B3)*38+38),"dd mmmm yyyy"))&amp;" - "&amp;IF(Main!B2,TEXT(EDATE(Main!B3,39)-1,"dd mmmm yyyy"),TEXT(Main!B3+((Main!B5-Main!B3)*39+38),"dd mmmm yyyy"))&amp;" / "&amp;" (Revenue / Deferred Debts Or Expenses)"</f>
        <v>20 June 2027 - 19 July 2027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95"/>
      <c r="B34" s="96" t="s">
        <v>52</v>
      </c>
      <c r="C34" s="96"/>
      <c r="D34" s="97" t="s">
        <v>53</v>
      </c>
      <c r="E34" s="97"/>
      <c r="F34" s="7">
        <v>2435</v>
      </c>
      <c r="G34" s="7"/>
      <c r="H34" s="14"/>
      <c r="I34" s="47"/>
    </row>
    <row r="35" ht="24.75" customHeight="1" spans="1:9">
      <c r="A35" s="95" t="s">
        <v>294</v>
      </c>
      <c r="B35" s="96" t="s">
        <v>66</v>
      </c>
      <c r="C35" s="96"/>
      <c r="D35" s="97" t="s">
        <v>144</v>
      </c>
      <c r="E35" s="97"/>
      <c r="F35" s="7">
        <v>0</v>
      </c>
      <c r="G35" s="7"/>
      <c r="H35" s="14"/>
      <c r="I35" s="47"/>
    </row>
    <row r="36" ht="24.75" customHeight="1" spans="1:9">
      <c r="A36" s="95"/>
      <c r="B36" s="96" t="s">
        <v>223</v>
      </c>
      <c r="C36" s="96"/>
      <c r="D36" s="97" t="s">
        <v>224</v>
      </c>
      <c r="E36" s="97"/>
      <c r="F36" s="7">
        <v>0</v>
      </c>
      <c r="G36" s="7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2435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"&amp;IF(Main!B2,TEXT(EDATE(Main!B3,36),"mmmm yyyy"),TEXT(Main!B3+((Main!B5-Main!B3)*36+36),"mmmm yyyy"))&amp;" to "&amp;IF(Main!B2,TEXT(EDATE(Main!B3,39)-1,"mmmm yyyy"),TEXT(Main!B3+((Main!B5-Main!B3)*39+38),"mmmm yyyy"))</f>
        <v>Fixed Expense For the Year April 2027 to July 2027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78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149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40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50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277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48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7" t="str" cm="1">
        <f ca="1" t="array" ref="B88">IF((INDIRECT("'"&amp;INDIRECT("Main!B9")&amp;"'!B102"))=0,"",(INDIRECT("'"&amp;INDIRECT("Main!B9")&amp;"'!B102")))</f>
        <v>Sportify Music / Changed to Apple Music on 13th May 2025</v>
      </c>
      <c r="C88" s="98">
        <v>68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98">
        <v>55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123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400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INDIRECT("'"&amp;INDIRECT("Main!B42")&amp;"'!C98")+SUM(E118+E145+E172)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INDIRECT("'"&amp;INDIRECT("Main!B42")&amp;"'!C99")+SUM(E119+E146+E173)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INDIRECT("'"&amp;INDIRECT("Main!B42")&amp;"'!C100")+SUM(E120+E147+E174)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INDIRECT("'"&amp;INDIRECT("Main!B42")&amp;"'!C101")+SUM(E121+E148+E175)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INDIRECT("'"&amp;INDIRECT("Main!B42")&amp;"'!C102")+SUM(E122+E149+E176)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INDIRECT("'"&amp;INDIRECT("Main!B42")&amp;"'!C103")+SUM(E123+E150+E177)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INDIRECT("'"&amp;INDIRECT("Main!B42")&amp;"'!C104")+SUM(E124+E151+E178)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INDIRECT("'"&amp;INDIRECT("Main!B42")&amp;"'!C105")+SUM(E125+E152+E179)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INDIRECT("'"&amp;INDIRECT("Main!B42")&amp;"'!C106")+SUM(E126+E153+E180)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INDIRECT("'"&amp;INDIRECT("Main!B42")&amp;"'!C107")+SUM(E127+E154+E181)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-400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"&amp;IF(Main!B2,TEXT(EDATE(Main!B3,36),"mmmm dd yyyy"),TEXT(Main!B3+((Main!B5-Main!B3)*36+36),"mmmm dd yyyy"))&amp;" to "&amp;IF(Main!B2,TEXT(EDATE(Main!B3,37)-1,"mmmm dd yyyy"),TEXT(Main!B3+((Main!B5-Main!B3)*37+36),"mmmm dd yyyy"))</f>
        <v>Debts Or Credits For the Comming April 20 2027 to May 19 2027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"&amp;IF(Main!B2,TEXT(EDATE(Main!B3,37)-1,"mmmm yyyy"),TEXT(Main!B3+((Main!B5-Main!B3)*37+36),"mmmm yyyy"))</f>
        <v>Balance Brought Forward From May 2027</v>
      </c>
      <c r="B116" s="56"/>
      <c r="C116" s="57"/>
      <c r="D116" s="57"/>
      <c r="E116" s="70" cm="1">
        <f ca="1" t="array" ref="E116">INDIRECT("'"&amp;INDIRECT("Main!B42")&amp;"'!E190")</f>
        <v>12448.2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86" customHeight="1" spans="1:9">
      <c r="A129" s="62"/>
      <c r="B129" s="63"/>
      <c r="C129" s="99" t="s">
        <v>287</v>
      </c>
      <c r="D129" s="99"/>
      <c r="E129" s="101">
        <v>960</v>
      </c>
      <c r="F129" s="14"/>
      <c r="G129" s="14"/>
      <c r="H129" s="14"/>
      <c r="I129" s="47"/>
    </row>
    <row r="130" ht="86" customHeight="1" spans="1:9">
      <c r="A130" s="62"/>
      <c r="B130" s="63"/>
      <c r="C130" s="100" t="s">
        <v>197</v>
      </c>
      <c r="D130" s="100"/>
      <c r="E130" s="102">
        <v>523.3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400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12999.9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"&amp;IF(Main!B2,TEXT(EDATE(Main!B3,37),"mmmm dd yyyy"),TEXT(Main!B3+((Main!B5-Main!B3)*37+37),"dd mmmm yyyy"))&amp;" to "&amp;IF(Main!B2,TEXT(EDATE(Main!B3,38)-1,"mmmm dd yyyy"),TEXT(Main!B3+((Main!B5-Main!B3)*38+37),"mmmm dd yyyy"))</f>
        <v>Debts Or Credits For the Comming May 20 2027 to June 19 2027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"&amp;IF(Main!B2,TEXT(EDATE(Main!B3,37)-1,"mmmm yyyy"),TEXT(Main!B3+((Main!B5-Main!B3)*37+36),"mmmm yyyy"))</f>
        <v>Balance Brought Forward From May 2027</v>
      </c>
      <c r="B143" s="56"/>
      <c r="C143" s="57"/>
      <c r="D143" s="57"/>
      <c r="E143" s="87">
        <f ca="1">E136</f>
        <v>12999.9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78" customHeight="1" spans="1:9">
      <c r="A156" s="62"/>
      <c r="B156" s="63"/>
      <c r="C156" s="99" t="s">
        <v>295</v>
      </c>
      <c r="D156" s="99"/>
      <c r="E156" s="101">
        <v>829</v>
      </c>
      <c r="F156" s="14"/>
      <c r="G156" s="14"/>
      <c r="H156" s="14"/>
      <c r="I156" s="47"/>
    </row>
    <row r="157" ht="78" customHeight="1" spans="1:9">
      <c r="A157" s="62"/>
      <c r="B157" s="63"/>
      <c r="C157" s="100" t="s">
        <v>197</v>
      </c>
      <c r="D157" s="100"/>
      <c r="E157" s="102">
        <v>523.3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400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13682.6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"&amp;IF(Main!B2,TEXT(EDATE(Main!B3,38),"mmmm dd yyyy"),TEXT(Main!B3+((Main!B5-Main!B3)*38+38),"mmmm dd yyyy"))&amp;" to "&amp;IF(Main!B2,TEXT(EDATE(Main!B3,39)-1,"mmmm dd yyyy"),TEXT(Main!B3+((Main!B5-Main!B3)*39+38),"mmmm dd yyyy"))</f>
        <v>Debts Or Credits For the Comming June 20 2027 to July 19 2027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"&amp;IF(Main!B2,TEXT(EDATE(Main!B3,38)-1,"mmmm yyyy"),TEXT(Main!B3+((Main!B5-Main!B3)*38+37),"mmmm yyyy"))</f>
        <v>Balance Brought Forward From June 2027</v>
      </c>
      <c r="B170" s="56"/>
      <c r="C170" s="57"/>
      <c r="D170" s="57"/>
      <c r="E170" s="90">
        <f ca="1">E163</f>
        <v>13682.6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84" customHeight="1" spans="1:9">
      <c r="A183" s="62"/>
      <c r="B183" s="63"/>
      <c r="C183" s="99" t="s">
        <v>287</v>
      </c>
      <c r="D183" s="99"/>
      <c r="E183" s="101">
        <v>960</v>
      </c>
      <c r="F183" s="14"/>
      <c r="G183" s="14"/>
      <c r="H183" s="14"/>
      <c r="I183" s="47"/>
    </row>
    <row r="184" ht="84" customHeight="1" spans="1:9">
      <c r="A184" s="62"/>
      <c r="B184" s="63"/>
      <c r="C184" s="100" t="s">
        <v>197</v>
      </c>
      <c r="D184" s="100"/>
      <c r="E184" s="102">
        <v>523.3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400</v>
      </c>
      <c r="F189" s="14"/>
      <c r="G189" s="14"/>
      <c r="H189" s="14"/>
      <c r="I189" s="47"/>
    </row>
    <row r="190" spans="1:9">
      <c r="A190" s="79"/>
      <c r="B190" s="80"/>
      <c r="C190" s="81" t="s">
        <v>114</v>
      </c>
      <c r="D190" s="81"/>
      <c r="E190" s="90">
        <f ca="1">(F40+E170)-(SUM(E172:E181)+SUM(E183:E189))</f>
        <v>14234.3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ht="24.75" customHeight="1" spans="1:9">
      <c r="A193" s="40"/>
      <c r="B193" s="40"/>
      <c r="C193" s="40"/>
      <c r="D193" s="40"/>
      <c r="E193" s="40"/>
      <c r="F193" s="40"/>
      <c r="G193" s="40"/>
      <c r="H193" s="40"/>
      <c r="I193" s="40"/>
    </row>
    <row r="194" ht="24.75" customHeight="1"/>
  </sheetData>
  <sheetProtection formatCells="0" formatColumns="0" formatRows="0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21" operator="equal">
      <formula>0</formula>
    </cfRule>
    <cfRule type="cellIs" dxfId="1" priority="20" operator="greaterThan">
      <formula>0</formula>
    </cfRule>
  </conditionalFormatting>
  <conditionalFormatting sqref="C75">
    <cfRule type="cellIs" dxfId="0" priority="66" operator="equal">
      <formula>0</formula>
    </cfRule>
    <cfRule type="cellIs" dxfId="1" priority="65" operator="greaterThan">
      <formula>0</formula>
    </cfRule>
  </conditionalFormatting>
  <conditionalFormatting sqref="C77">
    <cfRule type="cellIs" dxfId="0" priority="64" operator="equal">
      <formula>0</formula>
    </cfRule>
    <cfRule type="cellIs" dxfId="1" priority="63" operator="greaterThan">
      <formula>0</formula>
    </cfRule>
  </conditionalFormatting>
  <conditionalFormatting sqref="C87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90">
    <cfRule type="cellIs" dxfId="0" priority="13" operator="equal">
      <formula>0</formula>
    </cfRule>
    <cfRule type="cellIs" dxfId="1" priority="12" operator="greaterThan">
      <formula>0</formula>
    </cfRule>
  </conditionalFormatting>
  <conditionalFormatting sqref="C91">
    <cfRule type="cellIs" dxfId="0" priority="23" operator="equal">
      <formula>0</formula>
    </cfRule>
    <cfRule type="cellIs" dxfId="1" priority="22" operator="greaterThan">
      <formula>0</formula>
    </cfRule>
  </conditionalFormatting>
  <conditionalFormatting sqref="C108">
    <cfRule type="cellIs" dxfId="0" priority="19" operator="greaterThanOrEqual">
      <formula>0</formula>
    </cfRule>
    <cfRule type="cellIs" dxfId="1" priority="18" operator="lessThan">
      <formula>0</formula>
    </cfRule>
  </conditionalFormatting>
  <conditionalFormatting sqref="C109">
    <cfRule type="cellIs" dxfId="0" priority="17" operator="greaterThanOrEqual">
      <formula>0</formula>
    </cfRule>
    <cfRule type="cellIs" dxfId="1" priority="16" operator="lessThan">
      <formula>0</formula>
    </cfRule>
  </conditionalFormatting>
  <conditionalFormatting sqref="E116">
    <cfRule type="cellIs" dxfId="4" priority="27" operator="greaterThanOrEqual">
      <formula>0</formula>
    </cfRule>
    <cfRule type="cellIs" dxfId="5" priority="26" operator="lessThan">
      <formula>0</formula>
    </cfRule>
  </conditionalFormatting>
  <conditionalFormatting sqref="E129">
    <cfRule type="cellIs" dxfId="8" priority="9" operator="equal">
      <formula>0</formula>
    </cfRule>
  </conditionalFormatting>
  <conditionalFormatting sqref="E130">
    <cfRule type="cellIs" dxfId="7" priority="8" operator="equal">
      <formula>0</formula>
    </cfRule>
    <cfRule type="cellIs" dxfId="6" priority="7" operator="equal">
      <formula>0</formula>
    </cfRule>
  </conditionalFormatting>
  <conditionalFormatting sqref="E136">
    <cfRule type="cellIs" dxfId="4" priority="58" operator="greaterThanOrEqual">
      <formula>0</formula>
    </cfRule>
    <cfRule type="cellIs" dxfId="5" priority="57" operator="lessThan">
      <formula>0</formula>
    </cfRule>
  </conditionalFormatting>
  <conditionalFormatting sqref="E143">
    <cfRule type="cellIs" dxfId="4" priority="45" operator="greaterThanOrEqual">
      <formula>0</formula>
    </cfRule>
    <cfRule type="cellIs" dxfId="5" priority="44" operator="lessThan">
      <formula>0</formula>
    </cfRule>
  </conditionalFormatting>
  <conditionalFormatting sqref="E156">
    <cfRule type="cellIs" dxfId="8" priority="6" operator="equal">
      <formula>0</formula>
    </cfRule>
  </conditionalFormatting>
  <conditionalFormatting sqref="E157">
    <cfRule type="cellIs" dxfId="7" priority="5" operator="equal">
      <formula>0</formula>
    </cfRule>
    <cfRule type="cellIs" dxfId="6" priority="4" operator="equal">
      <formula>0</formula>
    </cfRule>
  </conditionalFormatting>
  <conditionalFormatting sqref="E163">
    <cfRule type="cellIs" dxfId="4" priority="47" operator="greaterThanOrEqual">
      <formula>0</formula>
    </cfRule>
    <cfRule type="cellIs" dxfId="5" priority="46" operator="lessThan">
      <formula>0</formula>
    </cfRule>
  </conditionalFormatting>
  <conditionalFormatting sqref="E170">
    <cfRule type="cellIs" dxfId="4" priority="39" operator="greaterThanOrEqual">
      <formula>0</formula>
    </cfRule>
    <cfRule type="cellIs" dxfId="5" priority="38" operator="lessThan">
      <formula>0</formula>
    </cfRule>
  </conditionalFormatting>
  <conditionalFormatting sqref="E183">
    <cfRule type="cellIs" dxfId="8" priority="3" operator="equal">
      <formula>0</formula>
    </cfRule>
  </conditionalFormatting>
  <conditionalFormatting sqref="E184">
    <cfRule type="cellIs" dxfId="7" priority="2" operator="equal">
      <formula>0</formula>
    </cfRule>
    <cfRule type="cellIs" dxfId="6" priority="1" operator="equal">
      <formula>0</formula>
    </cfRule>
  </conditionalFormatting>
  <conditionalFormatting sqref="E190">
    <cfRule type="cellIs" dxfId="4" priority="41" operator="greaterThanOrEqual">
      <formula>0</formula>
    </cfRule>
    <cfRule type="cellIs" dxfId="5" priority="40" operator="lessThan">
      <formula>0</formula>
    </cfRule>
  </conditionalFormatting>
  <conditionalFormatting sqref="C57:C66">
    <cfRule type="cellIs" dxfId="0" priority="70" operator="equal">
      <formula>0</formula>
    </cfRule>
    <cfRule type="cellIs" dxfId="1" priority="69" operator="greaterThan">
      <formula>0</formula>
    </cfRule>
  </conditionalFormatting>
  <conditionalFormatting sqref="C68:C69">
    <cfRule type="cellIs" dxfId="0" priority="68" operator="equal">
      <formula>0</formula>
    </cfRule>
    <cfRule type="cellIs" dxfId="1" priority="67" operator="greaterThan">
      <formula>0</formula>
    </cfRule>
  </conditionalFormatting>
  <conditionalFormatting sqref="C70:C74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78:C79">
    <cfRule type="cellIs" dxfId="0" priority="25" operator="equal">
      <formula>0</formula>
    </cfRule>
    <cfRule type="cellIs" dxfId="1" priority="24" operator="greaterThan">
      <formula>0</formula>
    </cfRule>
  </conditionalFormatting>
  <conditionalFormatting sqref="C80:C84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88:C89">
    <cfRule type="cellIs" dxfId="6" priority="14" operator="equal">
      <formula>0</formula>
    </cfRule>
  </conditionalFormatting>
  <conditionalFormatting sqref="C92:C94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98:C107">
    <cfRule type="cellIs" dxfId="1" priority="35" operator="lessThan">
      <formula>0</formula>
    </cfRule>
    <cfRule type="cellIs" dxfId="3" priority="34" operator="greaterThanOrEqual">
      <formula>0</formula>
    </cfRule>
  </conditionalFormatting>
  <conditionalFormatting sqref="E118:E127">
    <cfRule type="cellIs" dxfId="0" priority="33" operator="equal">
      <formula>0</formula>
    </cfRule>
    <cfRule type="cellIs" dxfId="1" priority="32" operator="greaterThan">
      <formula>0</formula>
    </cfRule>
  </conditionalFormatting>
  <conditionalFormatting sqref="E145:E154">
    <cfRule type="cellIs" dxfId="0" priority="31" operator="equal">
      <formula>0</formula>
    </cfRule>
    <cfRule type="cellIs" dxfId="1" priority="30" operator="greaterThan">
      <formula>0</formula>
    </cfRule>
  </conditionalFormatting>
  <conditionalFormatting sqref="E172:E181">
    <cfRule type="cellIs" dxfId="0" priority="29" operator="equal">
      <formula>0</formula>
    </cfRule>
    <cfRule type="cellIs" dxfId="1" priority="28" operator="greaterThan">
      <formula>0</formula>
    </cfRule>
  </conditionalFormatting>
  <conditionalFormatting sqref="C47:C55 C85 C95:C96">
    <cfRule type="cellIs" dxfId="0" priority="72" operator="equal">
      <formula>0</formula>
    </cfRule>
  </conditionalFormatting>
  <conditionalFormatting sqref="C47:C55 C85 C95:C96 E144 E155 E158:E162">
    <cfRule type="cellIs" dxfId="1" priority="71" operator="greaterThan">
      <formula>0</formula>
    </cfRule>
  </conditionalFormatting>
  <conditionalFormatting sqref="E117 E128 E131:E135">
    <cfRule type="cellIs" dxfId="0" priority="60" operator="equal">
      <formula>0</formula>
    </cfRule>
    <cfRule type="cellIs" dxfId="1" priority="59" operator="greaterThan">
      <formula>0</formula>
    </cfRule>
  </conditionalFormatting>
  <conditionalFormatting sqref="E144 E155 E158:E162">
    <cfRule type="cellIs" dxfId="3" priority="48" operator="equal">
      <formula>0</formula>
    </cfRule>
  </conditionalFormatting>
  <conditionalFormatting sqref="E171 E182 E185:E189">
    <cfRule type="cellIs" dxfId="3" priority="43" operator="equal">
      <formula>0</formula>
    </cfRule>
    <cfRule type="cellIs" dxfId="1" priority="42" operator="greaterThan">
      <formula>0</formula>
    </cfRule>
  </conditionalFormatting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B51" sqref="B51"/>
    </sheetView>
  </sheetViews>
  <sheetFormatPr defaultColWidth="9" defaultRowHeight="17.6"/>
  <cols>
    <col min="1" max="2" width="20.625" customWidth="1"/>
    <col min="3" max="3" width="35.25" customWidth="1"/>
    <col min="4" max="9" width="20.625" customWidth="1"/>
  </cols>
  <sheetData>
    <row r="1" ht="24.75" customHeight="1" spans="1:9">
      <c r="A1" s="1" t="str">
        <f>"Forecasts For the Year "&amp;IF(Main!B2,TEXT(EDATE(Main!B3,39),"mmmm yyyy"),TEXT(Main!B3+((Main!B5-Main!B3)*39+39),"mmmm yyyy"))&amp;" to "&amp;IF(Main!B2,TEXT(EDATE(Main!B3,42)-1,"mmmm yyyy"),TEXT(Main!B3+((Main!B5-Main!B3)*42+41),"mmmm yyyy"))</f>
        <v>Forecasts For the Year July 2027 to October 2027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14234.3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15415.8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IF(Main!B2,TEXT(EDATE(Main!B3,39),"dd mmmm yyyy"),TEXT(Main!B3+((Main!B5-Main!B3)*39+39),"dd mmmm yyyy"))&amp;" - "&amp;IF(Main!B2,TEXT(EDATE(Main!B3,40)-1,"dd mmmm yyyy"),TEXT(Main!B3+((Main!B5-Main!B3)*40+39),"dd mmmm yyyy"))&amp;" / "&amp;" (Revenue / Deferred Debts Or Expenses)"</f>
        <v>20 July 2027 - 19 August 2027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19"/>
      <c r="B10" s="20"/>
      <c r="C10" s="20"/>
      <c r="D10" s="20"/>
      <c r="E10" s="20"/>
      <c r="F10" s="41">
        <v>0</v>
      </c>
      <c r="G10" s="42"/>
      <c r="H10" s="14"/>
      <c r="I10" s="47"/>
    </row>
    <row r="11" ht="24.75" customHeight="1" spans="1:9">
      <c r="A11" s="19"/>
      <c r="B11" s="21"/>
      <c r="C11" s="22"/>
      <c r="D11" s="23"/>
      <c r="E11" s="43"/>
      <c r="F11" s="41">
        <v>0</v>
      </c>
      <c r="G11" s="42"/>
      <c r="H11" s="14"/>
      <c r="I11" s="47"/>
    </row>
    <row r="12" ht="24.75" customHeight="1" spans="1:9">
      <c r="A12" s="19"/>
      <c r="B12" s="21"/>
      <c r="C12" s="22"/>
      <c r="D12" s="23"/>
      <c r="E12" s="43"/>
      <c r="F12" s="41">
        <v>0</v>
      </c>
      <c r="G12" s="42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0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IF(Main!B2,TEXT(EDATE(Main!B3,40),"dd mmmm yyyy"),TEXT(Main!B3+((Main!B5-Main!B3)*40+40),"dd mmmm yyyy"))&amp;" - "&amp;IF(Main!B2,TEXT(EDATE(Main!B3,41)-1,"dd mmmm yyyy"),TEXT(Main!B3+((Main!B5-Main!B3)*41+40),"dd mmmm yyyy"))&amp;" / "&amp;" (Revenue / Deferred Debts Or Expenses)"</f>
        <v>20 August 2027 - 19 September 2027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19"/>
      <c r="B22" s="20"/>
      <c r="C22" s="20"/>
      <c r="D22" s="20"/>
      <c r="E22" s="20"/>
      <c r="F22" s="41">
        <v>0</v>
      </c>
      <c r="G22" s="42"/>
      <c r="H22" s="14"/>
      <c r="I22" s="47"/>
    </row>
    <row r="23" ht="24.75" customHeight="1" spans="1:9">
      <c r="A23" s="19"/>
      <c r="B23" s="21"/>
      <c r="C23" s="22"/>
      <c r="D23" s="23"/>
      <c r="E23" s="43"/>
      <c r="F23" s="41">
        <v>0</v>
      </c>
      <c r="G23" s="42"/>
      <c r="H23" s="14"/>
      <c r="I23" s="47"/>
    </row>
    <row r="24" ht="24.75" customHeight="1" spans="1:9">
      <c r="A24" s="19"/>
      <c r="B24" s="21"/>
      <c r="C24" s="22"/>
      <c r="D24" s="23"/>
      <c r="E24" s="43"/>
      <c r="F24" s="41">
        <v>0</v>
      </c>
      <c r="G24" s="42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0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IF(Main!B2,TEXT(EDATE(Main!B3,41),"dd mmmm yyyy"),TEXT(Main!B3+((Main!B5-Main!B3)*41+41),"dd mmmm yyyy"))&amp;" - "&amp;IF(Main!B2,TEXT(EDATE(Main!B3,42)-1,"dd mmmm yyyy"),TEXT(Main!B3+((Main!B5-Main!B3)*42+41),"dd mmmm yyyy"))&amp;" / "&amp;" (Revenue / Deferred Debts Or Expenses)"</f>
        <v>20 September 2027 - 19 October 2027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19"/>
      <c r="B34" s="20"/>
      <c r="C34" s="20"/>
      <c r="D34" s="20"/>
      <c r="E34" s="20"/>
      <c r="F34" s="41">
        <v>0</v>
      </c>
      <c r="G34" s="42"/>
      <c r="H34" s="14"/>
      <c r="I34" s="47"/>
    </row>
    <row r="35" ht="24.75" customHeight="1" spans="1:9">
      <c r="A35" s="19"/>
      <c r="B35" s="21"/>
      <c r="C35" s="22"/>
      <c r="D35" s="23"/>
      <c r="E35" s="43"/>
      <c r="F35" s="41">
        <v>0</v>
      </c>
      <c r="G35" s="42"/>
      <c r="H35" s="14"/>
      <c r="I35" s="47"/>
    </row>
    <row r="36" ht="24.75" customHeight="1" spans="1:9">
      <c r="A36" s="19"/>
      <c r="B36" s="21"/>
      <c r="C36" s="22"/>
      <c r="D36" s="23"/>
      <c r="E36" s="43"/>
      <c r="F36" s="41">
        <v>0</v>
      </c>
      <c r="G36" s="42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0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"&amp;IF(Main!B2,TEXT(EDATE(Main!B3,39),"mmmm yyyy"),TEXT(Main!B3+((Main!B5-Main!B3)*39+39),"mmmm yyyy"))&amp;" to "&amp;IF(Main!B2,TEXT(EDATE(Main!B3,42)-1,"mmmm yyyy"),TEXT(Main!B3+((Main!B5-Main!B3)*42+41),"mmmm yyyy"))</f>
        <v>Fixed Expense For the Year July 2027 to October 2027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0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0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60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0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24.75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5" t="str" cm="1">
        <f ca="1" t="array" ref="B88">IF((INDIRECT("'"&amp;INDIRECT("Main!B9")&amp;"'!B102"))=0,"",(INDIRECT("'"&amp;INDIRECT("Main!B9")&amp;"'!B102")))</f>
        <v>Sportify Music / Changed to Apple Music on 13th May 2025</v>
      </c>
      <c r="C88" s="36">
        <v>0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36">
        <v>0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0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INDIRECT("'"&amp;INDIRECT("Main!B45")&amp;"'!C98")+SUM(E118+E145+E172)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INDIRECT("'"&amp;INDIRECT("Main!B45")&amp;"'!C99")+SUM(E119+E146+E173)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INDIRECT("'"&amp;INDIRECT("Main!B45")&amp;"'!C100")+SUM(E120+E147+E174)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INDIRECT("'"&amp;INDIRECT("Main!B45")&amp;"'!C101")+SUM(E121+E148+E175)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INDIRECT("'"&amp;INDIRECT("Main!B45")&amp;"'!C102")+SUM(E122+E149+E176)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INDIRECT("'"&amp;INDIRECT("Main!B45")&amp;"'!C103")+SUM(E123+E150+E177)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INDIRECT("'"&amp;INDIRECT("Main!B45")&amp;"'!C104")+SUM(E124+E151+E178)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INDIRECT("'"&amp;INDIRECT("Main!B45")&amp;"'!C105")+SUM(E125+E152+E179)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INDIRECT("'"&amp;INDIRECT("Main!B45")&amp;"'!C105")+SUM(E125+E152+E179)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INDIRECT("'"&amp;INDIRECT("Main!B45")&amp;"'!C107")+SUM(E127+E154+E181)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"&amp;IF(Main!B2,TEXT(EDATE(Main!B3,39),"mmmm dd yyyy"),TEXT(Main!B3+((Main!B5-Main!B3)*39+39),"mmmm dd yyyy"))&amp;" to "&amp;IF(Main!B2,TEXT(EDATE(Main!B3,40)-1,"mmmm dd yyyy"),TEXT(Main!B3+((Main!B5-Main!B3)*40+39),"mmmm dd yyyy"))</f>
        <v>Debts Or Credits For the Comming July 20 2027 to August 19 2027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"&amp;IF(Main!B2,TEXT(EDATE(Main!B3,39)-1,"mmmm yyyy"),TEXT(Main!B3+((Main!B5-Main!B3)*39+38),"mmmm yyyy"))</f>
        <v>Balance Brought Forward From July 2027</v>
      </c>
      <c r="B116" s="56"/>
      <c r="C116" s="57"/>
      <c r="D116" s="57"/>
      <c r="E116" s="70" cm="1">
        <f ca="1" t="array" ref="E116">INDIRECT("'"&amp;INDIRECT("Main!B45")&amp;"'!E190")</f>
        <v>14234.3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24.75" customHeight="1" spans="1:9">
      <c r="A129" s="62"/>
      <c r="B129" s="63"/>
      <c r="C129" s="72"/>
      <c r="D129" s="73"/>
      <c r="E129" s="86">
        <v>0</v>
      </c>
      <c r="F129" s="14"/>
      <c r="G129" s="14"/>
      <c r="H129" s="14"/>
      <c r="I129" s="47"/>
    </row>
    <row r="130" ht="24.75" customHeight="1" spans="1:9">
      <c r="A130" s="62"/>
      <c r="B130" s="63"/>
      <c r="C130" s="64"/>
      <c r="D130" s="65"/>
      <c r="E130" s="86">
        <v>0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14234.3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"&amp;IF(Main!B2,TEXT(EDATE(Main!B3,40),"mmmm dd yyyy"),TEXT(Main!B3+((Main!B5-Main!B3)*40+40),"dd mmmm yyyy"))&amp;" to "&amp;IF(Main!B2,TEXT(EDATE(Main!B3,41)-1,"mmmm dd yyyy"),TEXT(Main!B3+((Main!B5-Main!B3)*41+40),"mmmm dd yyyy"))</f>
        <v>Debts Or Credits For the Comming August 20 2027 to September 19 2027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"&amp;IF(Main!B2,TEXT(EDATE(Main!B3,40)-1,"mmmm yyyy"),TEXT(Main!B3+((Main!B5-Main!B3)*40+39),"mmmm yyyy"))</f>
        <v>Balance Brought Forward From August 2027</v>
      </c>
      <c r="B143" s="56"/>
      <c r="C143" s="57"/>
      <c r="D143" s="57"/>
      <c r="E143" s="87">
        <f ca="1">E136</f>
        <v>14234.3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24.75" customHeight="1" spans="1:9">
      <c r="A156" s="62"/>
      <c r="B156" s="63"/>
      <c r="C156" s="72"/>
      <c r="D156" s="73"/>
      <c r="E156" s="86">
        <v>0</v>
      </c>
      <c r="F156" s="14"/>
      <c r="G156" s="14"/>
      <c r="H156" s="14"/>
      <c r="I156" s="47"/>
    </row>
    <row r="157" ht="24.75" customHeight="1" spans="1:9">
      <c r="A157" s="62"/>
      <c r="B157" s="63"/>
      <c r="C157" s="64"/>
      <c r="D157" s="65"/>
      <c r="E157" s="86">
        <v>0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14234.3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"&amp;IF(Main!B2,TEXT(EDATE(Main!B3,41),"mmmm dd yyyy"),TEXT(Main!B3+((Main!B5-Main!B3)*41+41),"mmmm dd yyyy"))&amp;" to "&amp;IF(Main!B2,TEXT(EDATE(Main!B3,42)-1,"mmmm dd yyyy"),TEXT(Main!B3+((Main!B5-Main!B3)*42+41),"mmmm dd yyyy"))</f>
        <v>Debts Or Credits For the Comming September 20 2027 to October 19 2027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"&amp;IF(Main!B2,TEXT(EDATE(Main!B3,41)-1,"mmmm yyyy"),TEXT(Main!B3+((Main!B5-Main!B3)*41+40),"mmmm yyyy"))</f>
        <v>Balance Brought Forward From September 2027</v>
      </c>
      <c r="B170" s="56"/>
      <c r="C170" s="57"/>
      <c r="D170" s="57"/>
      <c r="E170" s="90">
        <f ca="1">E163</f>
        <v>14234.3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24.75" customHeight="1" spans="1:9">
      <c r="A183" s="62"/>
      <c r="B183" s="63"/>
      <c r="C183" s="72"/>
      <c r="D183" s="73"/>
      <c r="E183" s="86">
        <v>0</v>
      </c>
      <c r="F183" s="14"/>
      <c r="G183" s="14"/>
      <c r="H183" s="14"/>
      <c r="I183" s="47"/>
    </row>
    <row r="184" ht="24.75" customHeight="1" spans="1:9">
      <c r="A184" s="62"/>
      <c r="B184" s="63"/>
      <c r="C184" s="64"/>
      <c r="D184" s="65"/>
      <c r="E184" s="86">
        <v>0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14234.3</v>
      </c>
      <c r="F190" s="14"/>
      <c r="G190" s="14"/>
      <c r="H190" s="14"/>
      <c r="I190" s="47"/>
    </row>
    <row r="19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ht="24.75" customHeight="1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sheet="1" formatCells="0" formatColumns="0" formatRows="0" objects="1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6" operator="equal">
      <formula>0</formula>
    </cfRule>
    <cfRule type="cellIs" dxfId="1" priority="5" operator="greaterThan">
      <formula>0</formula>
    </cfRule>
  </conditionalFormatting>
  <conditionalFormatting sqref="C75">
    <cfRule type="cellIs" dxfId="0" priority="51" operator="equal">
      <formula>0</formula>
    </cfRule>
    <cfRule type="cellIs" dxfId="1" priority="50" operator="greaterThan">
      <formula>0</formula>
    </cfRule>
  </conditionalFormatting>
  <conditionalFormatting sqref="C77">
    <cfRule type="cellIs" dxfId="0" priority="49" operator="equal">
      <formula>0</formula>
    </cfRule>
    <cfRule type="cellIs" dxfId="1" priority="48" operator="greaterThan">
      <formula>0</formula>
    </cfRule>
  </conditionalFormatting>
  <conditionalFormatting sqref="C108">
    <cfRule type="cellIs" dxfId="0" priority="4" operator="greaterThanOrEqual">
      <formula>0</formula>
    </cfRule>
    <cfRule type="cellIs" dxfId="1" priority="3" operator="lessThan">
      <formula>0</formula>
    </cfRule>
  </conditionalFormatting>
  <conditionalFormatting sqref="C109">
    <cfRule type="cellIs" dxfId="0" priority="2" operator="greaterThanOrEqual">
      <formula>0</formula>
    </cfRule>
    <cfRule type="cellIs" dxfId="1" priority="1" operator="lessThan">
      <formula>0</formula>
    </cfRule>
  </conditionalFormatting>
  <conditionalFormatting sqref="E116">
    <cfRule type="cellIs" dxfId="4" priority="12" operator="greaterThanOrEqual">
      <formula>0</formula>
    </cfRule>
    <cfRule type="cellIs" dxfId="5" priority="11" operator="lessThan">
      <formula>0</formula>
    </cfRule>
  </conditionalFormatting>
  <conditionalFormatting sqref="E136">
    <cfRule type="cellIs" dxfId="4" priority="43" operator="greaterThanOrEqual">
      <formula>0</formula>
    </cfRule>
    <cfRule type="cellIs" dxfId="5" priority="42" operator="lessThan">
      <formula>0</formula>
    </cfRule>
  </conditionalFormatting>
  <conditionalFormatting sqref="E143">
    <cfRule type="cellIs" dxfId="4" priority="30" operator="greaterThanOrEqual">
      <formula>0</formula>
    </cfRule>
    <cfRule type="cellIs" dxfId="5" priority="29" operator="lessThan">
      <formula>0</formula>
    </cfRule>
  </conditionalFormatting>
  <conditionalFormatting sqref="E163">
    <cfRule type="cellIs" dxfId="4" priority="32" operator="greaterThanOrEqual">
      <formula>0</formula>
    </cfRule>
    <cfRule type="cellIs" dxfId="5" priority="31" operator="lessThan">
      <formula>0</formula>
    </cfRule>
  </conditionalFormatting>
  <conditionalFormatting sqref="E170">
    <cfRule type="cellIs" dxfId="4" priority="24" operator="greaterThanOrEqual">
      <formula>0</formula>
    </cfRule>
    <cfRule type="cellIs" dxfId="5" priority="23" operator="lessThan">
      <formula>0</formula>
    </cfRule>
  </conditionalFormatting>
  <conditionalFormatting sqref="E190">
    <cfRule type="cellIs" dxfId="4" priority="26" operator="greaterThanOrEqual">
      <formula>0</formula>
    </cfRule>
    <cfRule type="cellIs" dxfId="5" priority="25" operator="lessThan">
      <formula>0</formula>
    </cfRule>
  </conditionalFormatting>
  <conditionalFormatting sqref="C57:C66">
    <cfRule type="cellIs" dxfId="0" priority="55" operator="equal">
      <formula>0</formula>
    </cfRule>
    <cfRule type="cellIs" dxfId="1" priority="54" operator="greaterThan">
      <formula>0</formula>
    </cfRule>
  </conditionalFormatting>
  <conditionalFormatting sqref="C68:C69">
    <cfRule type="cellIs" dxfId="0" priority="53" operator="equal">
      <formula>0</formula>
    </cfRule>
    <cfRule type="cellIs" dxfId="1" priority="52" operator="greaterThan">
      <formula>0</formula>
    </cfRule>
  </conditionalFormatting>
  <conditionalFormatting sqref="C70:C74">
    <cfRule type="cellIs" dxfId="0" priority="41" operator="equal">
      <formula>0</formula>
    </cfRule>
    <cfRule type="cellIs" dxfId="1" priority="40" operator="greaterThan">
      <formula>0</formula>
    </cfRule>
  </conditionalFormatting>
  <conditionalFormatting sqref="C78:C79">
    <cfRule type="cellIs" dxfId="0" priority="10" operator="equal">
      <formula>0</formula>
    </cfRule>
    <cfRule type="cellIs" dxfId="1" priority="9" operator="greaterThan">
      <formula>0</formula>
    </cfRule>
  </conditionalFormatting>
  <conditionalFormatting sqref="C80:C84">
    <cfRule type="cellIs" dxfId="0" priority="39" operator="equal">
      <formula>0</formula>
    </cfRule>
    <cfRule type="cellIs" dxfId="1" priority="38" operator="greaterThan">
      <formula>0</formula>
    </cfRule>
  </conditionalFormatting>
  <conditionalFormatting sqref="C87:C89">
    <cfRule type="cellIs" dxfId="0" priority="47" operator="equal">
      <formula>0</formula>
    </cfRule>
    <cfRule type="cellIs" dxfId="1" priority="46" operator="greaterThan">
      <formula>0</formula>
    </cfRule>
  </conditionalFormatting>
  <conditionalFormatting sqref="C90:C91">
    <cfRule type="cellIs" dxfId="0" priority="8" operator="equal">
      <formula>0</formula>
    </cfRule>
    <cfRule type="cellIs" dxfId="1" priority="7" operator="greaterThan">
      <formula>0</formula>
    </cfRule>
  </conditionalFormatting>
  <conditionalFormatting sqref="C92:C94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C98:C107">
    <cfRule type="cellIs" dxfId="1" priority="20" operator="lessThan">
      <formula>0</formula>
    </cfRule>
    <cfRule type="cellIs" dxfId="3" priority="19" operator="greaterThanOrEqual">
      <formula>0</formula>
    </cfRule>
  </conditionalFormatting>
  <conditionalFormatting sqref="E118:E127">
    <cfRule type="cellIs" dxfId="0" priority="18" operator="equal">
      <formula>0</formula>
    </cfRule>
    <cfRule type="cellIs" dxfId="1" priority="17" operator="greaterThan">
      <formula>0</formula>
    </cfRule>
  </conditionalFormatting>
  <conditionalFormatting sqref="E145:E154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E172:E181">
    <cfRule type="cellIs" dxfId="0" priority="14" operator="equal">
      <formula>0</formula>
    </cfRule>
    <cfRule type="cellIs" dxfId="1" priority="13" operator="greaterThan">
      <formula>0</formula>
    </cfRule>
  </conditionalFormatting>
  <conditionalFormatting sqref="C47:C55 C85 C95:C96">
    <cfRule type="cellIs" dxfId="0" priority="57" operator="equal">
      <formula>0</formula>
    </cfRule>
  </conditionalFormatting>
  <conditionalFormatting sqref="C47:C55 C85 C95:C96 E144 E155:E162">
    <cfRule type="cellIs" dxfId="1" priority="56" operator="greaterThan">
      <formula>0</formula>
    </cfRule>
  </conditionalFormatting>
  <conditionalFormatting sqref="E117 E128:E135">
    <cfRule type="cellIs" dxfId="0" priority="45" operator="equal">
      <formula>0</formula>
    </cfRule>
    <cfRule type="cellIs" dxfId="1" priority="44" operator="greaterThan">
      <formula>0</formula>
    </cfRule>
  </conditionalFormatting>
  <conditionalFormatting sqref="E144 E155:E162">
    <cfRule type="cellIs" dxfId="3" priority="33" operator="equal">
      <formula>0</formula>
    </cfRule>
  </conditionalFormatting>
  <conditionalFormatting sqref="E171 E182:E189">
    <cfRule type="cellIs" dxfId="3" priority="28" operator="equal">
      <formula>0</formula>
    </cfRule>
    <cfRule type="cellIs" dxfId="1" priority="27" operator="greaterThan">
      <formula>0</formula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workbookViewId="0">
      <selection activeCell="C98" sqref="C98"/>
    </sheetView>
  </sheetViews>
  <sheetFormatPr defaultColWidth="9" defaultRowHeight="17.6"/>
  <cols>
    <col min="1" max="2" width="20.625" customWidth="1"/>
    <col min="3" max="3" width="24.75" customWidth="1"/>
    <col min="4" max="8" width="20.625" customWidth="1"/>
  </cols>
  <sheetData>
    <row r="1" ht="24.75" customHeight="1" spans="1:9">
      <c r="A1" s="1" t="str">
        <f>"Forecasts For the Year "&amp;IF(Main!B2,TEXT(EDATE(Main!B3,42),"mmmm yyyy"),TEXT(Main!B3+((Main!B5-Main!B3)*42+42),"mmmm yyyy"))&amp;" to "&amp;IF(Main!B2,TEXT(EDATE(Main!B3,45)-1,"mmmm yyyy"),TEXT(Main!B3+((Main!B5-Main!B3)*45+44),"mmmm yyyy"))</f>
        <v>Forecasts For the Year October 2027 to January 2028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14234.3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15415.8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IF(Main!B2,TEXT(EDATE(Main!B3,42),"dd mmmm yyyy"),TEXT(Main!B3+((Main!B5-Main!B3)*42+42),"dd mmmm yyyy"))&amp;" - "&amp;IF(Main!B2,TEXT(EDATE(Main!B3,43)-1,"dd mmmm yyyy"),TEXT(Main!B3+((Main!B5-Main!B3)*43+42),"dd mmmm yyyy"))&amp;" / "&amp;" (Revenue / Deferred Debts Or Expenses)"</f>
        <v>20 October 2027 - 19 November 2027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19"/>
      <c r="B10" s="20"/>
      <c r="C10" s="20"/>
      <c r="D10" s="20"/>
      <c r="E10" s="20"/>
      <c r="F10" s="41">
        <v>0</v>
      </c>
      <c r="G10" s="42"/>
      <c r="H10" s="14"/>
      <c r="I10" s="47"/>
    </row>
    <row r="11" ht="24.75" customHeight="1" spans="1:9">
      <c r="A11" s="19"/>
      <c r="B11" s="21"/>
      <c r="C11" s="22"/>
      <c r="D11" s="23"/>
      <c r="E11" s="43"/>
      <c r="F11" s="41">
        <v>0</v>
      </c>
      <c r="G11" s="42"/>
      <c r="H11" s="14"/>
      <c r="I11" s="47"/>
    </row>
    <row r="12" ht="24.75" customHeight="1" spans="1:9">
      <c r="A12" s="19"/>
      <c r="B12" s="21"/>
      <c r="C12" s="22"/>
      <c r="D12" s="23"/>
      <c r="E12" s="43"/>
      <c r="F12" s="41">
        <v>0</v>
      </c>
      <c r="G12" s="42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0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IF(Main!B2,TEXT(EDATE(Main!B3,43),"dd mmmm yyyy"),TEXT(Main!B3+((Main!B5-Main!B3)*43+43),"dd mmmm yyyy"))&amp;" - "&amp;IF(Main!B2,TEXT(EDATE(Main!B3,44)-1,"dd mmmm yyyy"),TEXT(Main!B3+((Main!B5-Main!B3)*44+43),"dd mmmm yyyy"))&amp;" / "&amp;" (Revenue / Deferred Debts Or Expenses)"</f>
        <v>20 November 2027 - 19 December 2027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19"/>
      <c r="B22" s="20"/>
      <c r="C22" s="20"/>
      <c r="D22" s="20"/>
      <c r="E22" s="20"/>
      <c r="F22" s="41">
        <v>0</v>
      </c>
      <c r="G22" s="42"/>
      <c r="H22" s="14"/>
      <c r="I22" s="47"/>
    </row>
    <row r="23" ht="24.75" customHeight="1" spans="1:9">
      <c r="A23" s="19"/>
      <c r="B23" s="21"/>
      <c r="C23" s="22"/>
      <c r="D23" s="23"/>
      <c r="E23" s="43"/>
      <c r="F23" s="41">
        <v>0</v>
      </c>
      <c r="G23" s="42"/>
      <c r="H23" s="14"/>
      <c r="I23" s="47"/>
    </row>
    <row r="24" ht="24.75" customHeight="1" spans="1:9">
      <c r="A24" s="19"/>
      <c r="B24" s="21"/>
      <c r="C24" s="22"/>
      <c r="D24" s="23"/>
      <c r="E24" s="43"/>
      <c r="F24" s="41">
        <v>0</v>
      </c>
      <c r="G24" s="42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0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IF(Main!B2,TEXT(EDATE(Main!B3,44),"dd mmmm yyyy"),TEXT(Main!B3+((Main!B5-Main!B3)*44+44),"dd mmmm yyyy"))&amp;" - "&amp;IF(Main!B2,TEXT(EDATE(Main!B3,45)-1,"dd mmmm yyyy"),TEXT(Main!B3+((Main!B5-Main!B3)*45+44),"dd mmmm yyyy"))&amp;" / "&amp;" (Revenue / Deferred Debts Or Expenses)"</f>
        <v>20 December 2027 - 19 January 2028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19"/>
      <c r="B34" s="20"/>
      <c r="C34" s="20"/>
      <c r="D34" s="20"/>
      <c r="E34" s="20"/>
      <c r="F34" s="41">
        <v>0</v>
      </c>
      <c r="G34" s="42"/>
      <c r="H34" s="14"/>
      <c r="I34" s="47"/>
    </row>
    <row r="35" ht="24.75" customHeight="1" spans="1:9">
      <c r="A35" s="19"/>
      <c r="B35" s="21"/>
      <c r="C35" s="22"/>
      <c r="D35" s="23"/>
      <c r="E35" s="43"/>
      <c r="F35" s="41">
        <v>0</v>
      </c>
      <c r="G35" s="42"/>
      <c r="H35" s="14"/>
      <c r="I35" s="47"/>
    </row>
    <row r="36" ht="24.75" customHeight="1" spans="1:9">
      <c r="A36" s="19"/>
      <c r="B36" s="21"/>
      <c r="C36" s="22"/>
      <c r="D36" s="23"/>
      <c r="E36" s="43"/>
      <c r="F36" s="41">
        <v>0</v>
      </c>
      <c r="G36" s="42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0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"&amp;IF(Main!B2,TEXT(EDATE(Main!B3,42),"mmmm yyyy"),TEXT(Main!B3+((Main!B5-Main!B3)*42+42),"mmmm yyyy"))&amp;" to "&amp;IF(Main!B2,TEXT(EDATE(Main!B3,45)-1,"mmmm yyyy"),TEXT(Main!B3+((Main!B5-Main!B3)*45+44),"mmmm yyyy"))</f>
        <v>Fixed Expense For the Year October 2027 to January 2028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0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0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24.75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0</v>
      </c>
      <c r="D55" s="14"/>
      <c r="E55" s="14"/>
      <c r="F55" s="14"/>
      <c r="G55" s="14"/>
      <c r="H55" s="14"/>
      <c r="I55" s="47"/>
    </row>
    <row r="56" ht="24.75" customHeight="1" spans="1:9">
      <c r="A56" s="91" t="s">
        <v>79</v>
      </c>
      <c r="B56" s="92"/>
      <c r="C56" s="93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91" t="s">
        <v>84</v>
      </c>
      <c r="B67" s="92"/>
      <c r="C67" s="93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91" t="s">
        <v>89</v>
      </c>
      <c r="B76" s="92"/>
      <c r="C76" s="93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91" t="s">
        <v>91</v>
      </c>
      <c r="B86" s="92"/>
      <c r="C86" s="93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24.75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5" t="str" cm="1">
        <f ca="1" t="array" ref="B88">IF((INDIRECT("'"&amp;INDIRECT("Main!B9")&amp;"'!B102"))=0,"",(INDIRECT("'"&amp;INDIRECT("Main!B9")&amp;"'!B102")))</f>
        <v>Sportify Music / Changed to Apple Music on 13th May 2025</v>
      </c>
      <c r="C88" s="36">
        <v>0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36">
        <v>0</v>
      </c>
      <c r="D89" s="14"/>
      <c r="E89" s="14"/>
      <c r="F89" s="14"/>
      <c r="G89" s="14"/>
      <c r="H89" s="14"/>
      <c r="I89" s="47"/>
    </row>
    <row r="90" ht="24.7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24.7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0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0</v>
      </c>
      <c r="D96" s="14"/>
      <c r="E96" s="14"/>
      <c r="F96" s="14"/>
      <c r="G96" s="14"/>
      <c r="H96" s="14"/>
      <c r="I96" s="47"/>
    </row>
    <row r="97" ht="24.75" customHeight="1" spans="1:9">
      <c r="A97" s="91" t="s">
        <v>101</v>
      </c>
      <c r="B97" s="92"/>
      <c r="C97" s="93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INDIRECT("'"&amp;INDIRECT("Main!B48")&amp;"'!C98")+SUM(E118+E145+E172)</f>
        <v>0</v>
      </c>
      <c r="D98" s="14"/>
      <c r="E98" s="94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INDIRECT("'"&amp;INDIRECT("Main!B48")&amp;"'!C99")+SUM(E119+E146+E173)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INDIRECT("'"&amp;INDIRECT("Main!B48")&amp;"'!C100")+SUM(E120+E147+E174)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INDIRECT("'"&amp;INDIRECT("Main!B48")&amp;"'!C101")+SUM(E121+E148+E175)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">
        <v>305</v>
      </c>
      <c r="C102" s="36" cm="1">
        <f ca="1" t="array" ref="C102">INDIRECT("'"&amp;INDIRECT("Main!B48")&amp;"'!C102")+SUM(E122+E149+E176)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INDIRECT("'"&amp;INDIRECT("Main!B48")&amp;"'!C103")+SUM(E123+E150+E177)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INDIRECT("'"&amp;INDIRECT("Main!B48")&amp;"'!C104")+SUM(E124+E151+E178)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INDIRECT("'"&amp;INDIRECT("Main!B48")&amp;"'!C105")+SUM(E125+E152+E179)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INDIRECT("'"&amp;INDIRECT("Main!B48")&amp;"'!C106")+SUM(E126+E153+E180)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INDIRECT("'"&amp;INDIRECT("Main!B48")&amp;"'!C107")+SUM(E127+E154+E181)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"&amp;IF(Main!B2,TEXT(EDATE(Main!B3,42),"mmmm dd yyyy"),TEXT(Main!B3+((Main!B5-Main!B3)*42+42),"mmmm dd yyyy"))&amp;" to "&amp;IF(Main!B2,TEXT(EDATE(Main!B3,43)-1,"mmmm dd yyyy"),TEXT(Main!B3+((Main!B5-Main!B3)*43+42),"mmmm dd yyyy"))</f>
        <v>Debts Or Credits For the Comming October 20 2027 to November 19 2027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"&amp;IF(Main!B2,TEXT(EDATE(Main!B3,42)-1,"mmmm yyyy"),TEXT(Main!B3+((Main!B5-Main!B3)*42+41),"mmmm yyyy"))</f>
        <v>Balance Brought Forward From October 2027</v>
      </c>
      <c r="B116" s="56"/>
      <c r="C116" s="57"/>
      <c r="D116" s="57"/>
      <c r="E116" s="70" cm="1">
        <f ca="1" t="array" ref="E116">INDIRECT("'"&amp;INDIRECT("Main!B48")&amp;"'!E190")</f>
        <v>14234.3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24.75" customHeight="1" spans="1:9">
      <c r="A129" s="62"/>
      <c r="B129" s="63"/>
      <c r="C129" s="72"/>
      <c r="D129" s="73"/>
      <c r="E129" s="86">
        <v>0</v>
      </c>
      <c r="F129" s="14"/>
      <c r="G129" s="14"/>
      <c r="H129" s="14"/>
      <c r="I129" s="47"/>
    </row>
    <row r="130" ht="24.75" customHeight="1" spans="1:9">
      <c r="A130" s="62"/>
      <c r="B130" s="63"/>
      <c r="C130" s="64"/>
      <c r="D130" s="65"/>
      <c r="E130" s="86">
        <v>0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14234.3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"&amp;IF(Main!B2,TEXT(EDATE(Main!B3,43),"mmmm dd yyyy"),TEXT(Main!B3+((Main!B5-Main!B3)*43+43),"dd mmmm yyyy"))&amp;" to "&amp;IF(Main!B2,TEXT(EDATE(Main!B3,44)-1,"mmmm dd yyyy"),TEXT(Main!B3+((Main!B5-Main!B3)*44+43),"mmmm dd yyyy"))</f>
        <v>Debts Or Credits For the Comming November 20 2027 to December 19 2027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"&amp;IF(Main!B2,TEXT(EDATE(Main!B3,43)-1,"mmmm yyyy"),TEXT(Main!B3+((Main!B5-Main!B3)*43+42),"mmmm yyyy"))</f>
        <v>Balance Brought Forward From November 2027</v>
      </c>
      <c r="B143" s="56"/>
      <c r="C143" s="57"/>
      <c r="D143" s="57"/>
      <c r="E143" s="87">
        <f ca="1">E136</f>
        <v>14234.3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24.75" customHeight="1" spans="1:9">
      <c r="A156" s="62"/>
      <c r="B156" s="63"/>
      <c r="C156" s="72"/>
      <c r="D156" s="73"/>
      <c r="E156" s="86">
        <v>0</v>
      </c>
      <c r="F156" s="14"/>
      <c r="G156" s="14"/>
      <c r="H156" s="14"/>
      <c r="I156" s="47"/>
    </row>
    <row r="157" ht="24.75" customHeight="1" spans="1:9">
      <c r="A157" s="62"/>
      <c r="B157" s="63"/>
      <c r="C157" s="64"/>
      <c r="D157" s="65"/>
      <c r="E157" s="86">
        <v>0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14234.3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"&amp;IF(Main!B2,TEXT(EDATE(Main!B3,44),"mmmm dd yyyy"),TEXT(Main!B3+((Main!B5-Main!B3)*44+44),"mmmm dd yyyy"))&amp;" to "&amp;IF(Main!B2,TEXT(EDATE(Main!B3,45)-1,"mmmm dd yyyy"),TEXT(Main!B3+((Main!B5-Main!B3)*45+44),"mmmm dd yyyy"))</f>
        <v>Debts Or Credits For the Comming December 20 2027 to January 19 2028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"&amp;IF(Main!B2,TEXT(EDATE(Main!B3,44)-1,"mmmm yyyy"),TEXT(Main!B3+((Main!B5-Main!B3)*44+43),"mmmm yyyy"))</f>
        <v>Balance Brought Forward From December 2027</v>
      </c>
      <c r="B170" s="56"/>
      <c r="C170" s="57"/>
      <c r="D170" s="57"/>
      <c r="E170" s="90">
        <f ca="1">E163</f>
        <v>14234.3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ht="24.75" customHeight="1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24.75" customHeight="1" spans="1:9">
      <c r="A183" s="62"/>
      <c r="B183" s="63"/>
      <c r="C183" s="72"/>
      <c r="D183" s="73"/>
      <c r="E183" s="86">
        <v>0</v>
      </c>
      <c r="F183" s="14"/>
      <c r="G183" s="14"/>
      <c r="H183" s="14"/>
      <c r="I183" s="47"/>
    </row>
    <row r="184" ht="24.75" customHeight="1" spans="1:9">
      <c r="A184" s="62"/>
      <c r="B184" s="63"/>
      <c r="C184" s="64"/>
      <c r="D184" s="65"/>
      <c r="E184" s="86">
        <v>0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0</v>
      </c>
      <c r="F189" s="14"/>
      <c r="G189" s="14"/>
      <c r="H189" s="14"/>
      <c r="I189" s="47"/>
    </row>
    <row r="190" spans="1:9">
      <c r="A190" s="79"/>
      <c r="B190" s="80"/>
      <c r="C190" s="81" t="s">
        <v>114</v>
      </c>
      <c r="D190" s="81"/>
      <c r="E190" s="90">
        <f ca="1">(F40+E170)-(SUM(E172:E181)+SUM(E183:E189))</f>
        <v>14234.3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sheet="1" formatCells="0" formatColumns="0" formatRows="0" objects="1"/>
  <mergeCells count="174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56:C56"/>
    <mergeCell ref="A67:C67"/>
    <mergeCell ref="A76:C76"/>
    <mergeCell ref="A86:C86"/>
    <mergeCell ref="A97:C97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6" operator="equal">
      <formula>0</formula>
    </cfRule>
    <cfRule type="cellIs" dxfId="1" priority="5" operator="greaterThan">
      <formula>0</formula>
    </cfRule>
  </conditionalFormatting>
  <conditionalFormatting sqref="C75">
    <cfRule type="cellIs" dxfId="0" priority="51" operator="equal">
      <formula>0</formula>
    </cfRule>
    <cfRule type="cellIs" dxfId="1" priority="50" operator="greaterThan">
      <formula>0</formula>
    </cfRule>
  </conditionalFormatting>
  <conditionalFormatting sqref="C77">
    <cfRule type="cellIs" dxfId="0" priority="49" operator="equal">
      <formula>0</formula>
    </cfRule>
    <cfRule type="cellIs" dxfId="1" priority="48" operator="greaterThan">
      <formula>0</formula>
    </cfRule>
  </conditionalFormatting>
  <conditionalFormatting sqref="C108">
    <cfRule type="cellIs" dxfId="0" priority="4" operator="greaterThanOrEqual">
      <formula>0</formula>
    </cfRule>
    <cfRule type="cellIs" dxfId="1" priority="3" operator="lessThan">
      <formula>0</formula>
    </cfRule>
  </conditionalFormatting>
  <conditionalFormatting sqref="C109">
    <cfRule type="cellIs" dxfId="0" priority="2" operator="greaterThanOrEqual">
      <formula>0</formula>
    </cfRule>
    <cfRule type="cellIs" dxfId="1" priority="1" operator="lessThan">
      <formula>0</formula>
    </cfRule>
  </conditionalFormatting>
  <conditionalFormatting sqref="E116">
    <cfRule type="cellIs" dxfId="4" priority="12" operator="greaterThanOrEqual">
      <formula>0</formula>
    </cfRule>
    <cfRule type="cellIs" dxfId="5" priority="11" operator="lessThan">
      <formula>0</formula>
    </cfRule>
  </conditionalFormatting>
  <conditionalFormatting sqref="E136">
    <cfRule type="cellIs" dxfId="4" priority="43" operator="greaterThanOrEqual">
      <formula>0</formula>
    </cfRule>
    <cfRule type="cellIs" dxfId="5" priority="42" operator="lessThan">
      <formula>0</formula>
    </cfRule>
  </conditionalFormatting>
  <conditionalFormatting sqref="E143">
    <cfRule type="cellIs" dxfId="4" priority="30" operator="greaterThanOrEqual">
      <formula>0</formula>
    </cfRule>
    <cfRule type="cellIs" dxfId="5" priority="29" operator="lessThan">
      <formula>0</formula>
    </cfRule>
  </conditionalFormatting>
  <conditionalFormatting sqref="E163">
    <cfRule type="cellIs" dxfId="4" priority="32" operator="greaterThanOrEqual">
      <formula>0</formula>
    </cfRule>
    <cfRule type="cellIs" dxfId="5" priority="31" operator="lessThan">
      <formula>0</formula>
    </cfRule>
  </conditionalFormatting>
  <conditionalFormatting sqref="E170">
    <cfRule type="cellIs" dxfId="4" priority="24" operator="greaterThanOrEqual">
      <formula>0</formula>
    </cfRule>
    <cfRule type="cellIs" dxfId="5" priority="23" operator="lessThan">
      <formula>0</formula>
    </cfRule>
  </conditionalFormatting>
  <conditionalFormatting sqref="E190">
    <cfRule type="cellIs" dxfId="4" priority="26" operator="greaterThanOrEqual">
      <formula>0</formula>
    </cfRule>
    <cfRule type="cellIs" dxfId="5" priority="25" operator="lessThan">
      <formula>0</formula>
    </cfRule>
  </conditionalFormatting>
  <conditionalFormatting sqref="C57:C66">
    <cfRule type="cellIs" dxfId="0" priority="55" operator="equal">
      <formula>0</formula>
    </cfRule>
    <cfRule type="cellIs" dxfId="1" priority="54" operator="greaterThan">
      <formula>0</formula>
    </cfRule>
  </conditionalFormatting>
  <conditionalFormatting sqref="C68:C69">
    <cfRule type="cellIs" dxfId="0" priority="53" operator="equal">
      <formula>0</formula>
    </cfRule>
    <cfRule type="cellIs" dxfId="1" priority="52" operator="greaterThan">
      <formula>0</formula>
    </cfRule>
  </conditionalFormatting>
  <conditionalFormatting sqref="C70:C74">
    <cfRule type="cellIs" dxfId="0" priority="41" operator="equal">
      <formula>0</formula>
    </cfRule>
    <cfRule type="cellIs" dxfId="1" priority="40" operator="greaterThan">
      <formula>0</formula>
    </cfRule>
  </conditionalFormatting>
  <conditionalFormatting sqref="C78:C79">
    <cfRule type="cellIs" dxfId="0" priority="10" operator="equal">
      <formula>0</formula>
    </cfRule>
    <cfRule type="cellIs" dxfId="1" priority="9" operator="greaterThan">
      <formula>0</formula>
    </cfRule>
  </conditionalFormatting>
  <conditionalFormatting sqref="C80:C84">
    <cfRule type="cellIs" dxfId="0" priority="39" operator="equal">
      <formula>0</formula>
    </cfRule>
    <cfRule type="cellIs" dxfId="1" priority="38" operator="greaterThan">
      <formula>0</formula>
    </cfRule>
  </conditionalFormatting>
  <conditionalFormatting sqref="C87:C89">
    <cfRule type="cellIs" dxfId="0" priority="47" operator="equal">
      <formula>0</formula>
    </cfRule>
    <cfRule type="cellIs" dxfId="1" priority="46" operator="greaterThan">
      <formula>0</formula>
    </cfRule>
  </conditionalFormatting>
  <conditionalFormatting sqref="C90:C91">
    <cfRule type="cellIs" dxfId="0" priority="8" operator="equal">
      <formula>0</formula>
    </cfRule>
    <cfRule type="cellIs" dxfId="1" priority="7" operator="greaterThan">
      <formula>0</formula>
    </cfRule>
  </conditionalFormatting>
  <conditionalFormatting sqref="C92:C94">
    <cfRule type="cellIs" dxfId="0" priority="37" operator="equal">
      <formula>0</formula>
    </cfRule>
    <cfRule type="cellIs" dxfId="1" priority="36" operator="greaterThan">
      <formula>0</formula>
    </cfRule>
  </conditionalFormatting>
  <conditionalFormatting sqref="C98:C107">
    <cfRule type="cellIs" dxfId="1" priority="20" operator="lessThan">
      <formula>0</formula>
    </cfRule>
    <cfRule type="cellIs" dxfId="3" priority="19" operator="greaterThanOrEqual">
      <formula>0</formula>
    </cfRule>
  </conditionalFormatting>
  <conditionalFormatting sqref="E118:E127">
    <cfRule type="cellIs" dxfId="0" priority="18" operator="equal">
      <formula>0</formula>
    </cfRule>
    <cfRule type="cellIs" dxfId="1" priority="17" operator="greaterThan">
      <formula>0</formula>
    </cfRule>
  </conditionalFormatting>
  <conditionalFormatting sqref="E145:E154">
    <cfRule type="cellIs" dxfId="0" priority="16" operator="equal">
      <formula>0</formula>
    </cfRule>
    <cfRule type="cellIs" dxfId="1" priority="15" operator="greaterThan">
      <formula>0</formula>
    </cfRule>
  </conditionalFormatting>
  <conditionalFormatting sqref="E172:E181">
    <cfRule type="cellIs" dxfId="0" priority="14" operator="equal">
      <formula>0</formula>
    </cfRule>
    <cfRule type="cellIs" dxfId="1" priority="13" operator="greaterThan">
      <formula>0</formula>
    </cfRule>
  </conditionalFormatting>
  <conditionalFormatting sqref="C47:C55 C85 C95:C96">
    <cfRule type="cellIs" dxfId="0" priority="57" operator="equal">
      <formula>0</formula>
    </cfRule>
  </conditionalFormatting>
  <conditionalFormatting sqref="C47:C55 C85 C95:C96 E144 E155:E162">
    <cfRule type="cellIs" dxfId="1" priority="56" operator="greaterThan">
      <formula>0</formula>
    </cfRule>
  </conditionalFormatting>
  <conditionalFormatting sqref="E117 E128:E135">
    <cfRule type="cellIs" dxfId="0" priority="45" operator="equal">
      <formula>0</formula>
    </cfRule>
    <cfRule type="cellIs" dxfId="1" priority="44" operator="greaterThan">
      <formula>0</formula>
    </cfRule>
  </conditionalFormatting>
  <conditionalFormatting sqref="E144 E155:E162">
    <cfRule type="cellIs" dxfId="3" priority="33" operator="equal">
      <formula>0</formula>
    </cfRule>
  </conditionalFormatting>
  <conditionalFormatting sqref="E171 E182:E189">
    <cfRule type="cellIs" dxfId="3" priority="28" operator="equal">
      <formula>0</formula>
    </cfRule>
    <cfRule type="cellIs" dxfId="1" priority="27" operator="greaterThan">
      <formula>0</formula>
    </cfRule>
  </conditionalFormatting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3"/>
  <sheetViews>
    <sheetView topLeftCell="A92" workbookViewId="0">
      <selection activeCell="F114" sqref="F114"/>
    </sheetView>
  </sheetViews>
  <sheetFormatPr defaultColWidth="9" defaultRowHeight="17.6"/>
  <cols>
    <col min="1" max="1" width="20.625" customWidth="1"/>
    <col min="2" max="2" width="24.625" customWidth="1"/>
    <col min="3" max="3" width="35" customWidth="1"/>
    <col min="4" max="8" width="20.625" customWidth="1"/>
    <col min="10" max="10" width="20.625" customWidth="1"/>
  </cols>
  <sheetData>
    <row r="1" ht="24.75" customHeight="1" spans="1:9">
      <c r="A1" s="1" t="str">
        <f>"Forecasts For the Year "&amp;IF(Main!B2,TEXT(EDATE(Main!B3,45),"mmmm yyyy"),TEXT(Main!B3+((Main!B5-Main!B3)*45+45),"mmmm yyyy"))&amp;" to "&amp;IF(Main!B2,TEXT(EDATE(Main!B3,48)-1,"mmmm yyyy"),TEXT(Main!B3+((Main!B5-Main!B3)*48+47),"mmmm yyyy"))</f>
        <v>Forecasts For the Year January 2028 to April 2028</v>
      </c>
      <c r="B1" s="1"/>
      <c r="C1" s="1"/>
      <c r="D1" s="1"/>
      <c r="E1" s="1"/>
      <c r="F1" s="1"/>
      <c r="G1" s="1"/>
      <c r="H1" s="40"/>
      <c r="I1" s="40"/>
    </row>
    <row r="2" ht="24.75" customHeight="1" spans="1:9">
      <c r="A2" s="2" t="s">
        <v>33</v>
      </c>
      <c r="B2" s="3" t="s">
        <v>128</v>
      </c>
      <c r="C2" s="4" cm="1">
        <f ca="1" t="array" ref="C2">INDIRECT("'"&amp;Main!B9&amp;"'!$C$16")</f>
        <v>1181.5</v>
      </c>
      <c r="D2" s="4"/>
      <c r="E2" s="4"/>
      <c r="F2" s="4"/>
      <c r="G2" s="4"/>
      <c r="H2" s="40"/>
      <c r="I2" s="40"/>
    </row>
    <row r="3" ht="24.75" customHeight="1" spans="1:9">
      <c r="A3" s="5"/>
      <c r="B3" s="6" t="s">
        <v>129</v>
      </c>
      <c r="C3" s="7">
        <f ca="1">E190</f>
        <v>14234.3</v>
      </c>
      <c r="D3" s="7"/>
      <c r="E3" s="7"/>
      <c r="F3" s="7"/>
      <c r="G3" s="7"/>
      <c r="H3" s="40"/>
      <c r="I3" s="40"/>
    </row>
    <row r="4" ht="24.75" customHeight="1" spans="1:9">
      <c r="A4" s="8" t="s">
        <v>47</v>
      </c>
      <c r="B4" s="9"/>
      <c r="C4" s="10">
        <f ca="1">SUM(C2:G3)</f>
        <v>15415.8</v>
      </c>
      <c r="D4" s="10"/>
      <c r="E4" s="10"/>
      <c r="F4" s="10"/>
      <c r="G4" s="10"/>
      <c r="H4" s="14"/>
      <c r="I4" s="47"/>
    </row>
    <row r="5" ht="24.75" customHeight="1" spans="1:9">
      <c r="A5" s="11" t="s">
        <v>130</v>
      </c>
      <c r="B5" s="11"/>
      <c r="C5" s="12">
        <f ca="1">C108</f>
        <v>0</v>
      </c>
      <c r="D5" s="13"/>
      <c r="E5" s="13"/>
      <c r="F5" s="13"/>
      <c r="G5" s="13"/>
      <c r="H5" s="14"/>
      <c r="I5" s="47"/>
    </row>
    <row r="6" ht="24.75" customHeight="1" spans="1:9">
      <c r="A6" s="14"/>
      <c r="B6" s="14"/>
      <c r="C6" s="14"/>
      <c r="D6" s="14"/>
      <c r="E6" s="14"/>
      <c r="F6" s="14"/>
      <c r="G6" s="14"/>
      <c r="H6" s="14"/>
      <c r="I6" s="47"/>
    </row>
    <row r="7" ht="24.75" customHeight="1" spans="1:9">
      <c r="A7" s="14"/>
      <c r="B7" s="14"/>
      <c r="C7" s="14"/>
      <c r="D7" s="14"/>
      <c r="E7" s="14"/>
      <c r="F7" s="14"/>
      <c r="G7" s="14"/>
      <c r="H7" s="14"/>
      <c r="I7" s="47"/>
    </row>
    <row r="8" ht="24.75" customHeight="1" spans="1:9">
      <c r="A8" s="15" t="str">
        <f>IF(Main!B2,TEXT(EDATE(Main!B3,45),"dd mmmm yyyy"),TEXT(Main!B3+((Main!B5-Main!B3)*45+45),"dd mmmm yyyy"))&amp;" - "&amp;IF(Main!B2,TEXT(EDATE(Main!B3,46)-1,"dd mmmm yyyy"),TEXT(Main!B3+((Main!B5-Main!B3)*46+45),"dd mmmm yyyy"))&amp;" / "&amp;" (Revenue / Deferred Debts Or Expenses)"</f>
        <v>20 January 2028 - 19 February 2028 /  (Revenue / Deferred Debts Or Expenses)</v>
      </c>
      <c r="B8" s="16"/>
      <c r="C8" s="16"/>
      <c r="D8" s="16"/>
      <c r="E8" s="16"/>
      <c r="F8" s="16"/>
      <c r="G8" s="16"/>
      <c r="H8" s="14"/>
      <c r="I8" s="48"/>
    </row>
    <row r="9" ht="24.75" customHeight="1" spans="1:9">
      <c r="A9" s="17" t="s">
        <v>29</v>
      </c>
      <c r="B9" s="17" t="s">
        <v>48</v>
      </c>
      <c r="C9" s="17"/>
      <c r="D9" s="18" t="s">
        <v>49</v>
      </c>
      <c r="E9" s="18"/>
      <c r="F9" s="18" t="s">
        <v>50</v>
      </c>
      <c r="G9" s="18"/>
      <c r="H9" s="14"/>
      <c r="I9" s="47"/>
    </row>
    <row r="10" ht="24.75" customHeight="1" spans="1:9">
      <c r="A10" s="19"/>
      <c r="B10" s="20"/>
      <c r="C10" s="20"/>
      <c r="D10" s="20"/>
      <c r="E10" s="20"/>
      <c r="F10" s="41">
        <v>0</v>
      </c>
      <c r="G10" s="42"/>
      <c r="H10" s="14"/>
      <c r="I10" s="47"/>
    </row>
    <row r="11" ht="24.75" customHeight="1" spans="1:9">
      <c r="A11" s="19"/>
      <c r="B11" s="21"/>
      <c r="C11" s="22"/>
      <c r="D11" s="23"/>
      <c r="E11" s="43"/>
      <c r="F11" s="41">
        <v>0</v>
      </c>
      <c r="G11" s="42"/>
      <c r="H11" s="14"/>
      <c r="I11" s="47"/>
    </row>
    <row r="12" ht="24.75" customHeight="1" spans="1:9">
      <c r="A12" s="19"/>
      <c r="B12" s="21"/>
      <c r="C12" s="22"/>
      <c r="D12" s="23"/>
      <c r="E12" s="43"/>
      <c r="F12" s="41">
        <v>0</v>
      </c>
      <c r="G12" s="42"/>
      <c r="H12" s="14"/>
      <c r="I12" s="47"/>
    </row>
    <row r="13" ht="24.75" customHeight="1" spans="1:9">
      <c r="A13" s="19"/>
      <c r="B13" s="21"/>
      <c r="C13" s="22"/>
      <c r="D13" s="23"/>
      <c r="E13" s="43"/>
      <c r="F13" s="41">
        <v>0</v>
      </c>
      <c r="G13" s="42"/>
      <c r="H13" s="14"/>
      <c r="I13" s="47"/>
    </row>
    <row r="14" ht="24.75" customHeight="1" spans="1:9">
      <c r="A14" s="19"/>
      <c r="B14" s="21"/>
      <c r="C14" s="22"/>
      <c r="D14" s="23"/>
      <c r="E14" s="43"/>
      <c r="F14" s="41">
        <v>0</v>
      </c>
      <c r="G14" s="42"/>
      <c r="H14" s="14"/>
      <c r="I14" s="47"/>
    </row>
    <row r="15" ht="24.75" customHeight="1" spans="1:9">
      <c r="A15" s="19"/>
      <c r="B15" s="21"/>
      <c r="C15" s="22"/>
      <c r="D15" s="23"/>
      <c r="E15" s="43"/>
      <c r="F15" s="41">
        <v>0</v>
      </c>
      <c r="G15" s="42"/>
      <c r="H15" s="14"/>
      <c r="I15" s="47"/>
    </row>
    <row r="16" ht="24.75" customHeight="1" spans="1:9">
      <c r="A16" s="24"/>
      <c r="B16" s="25"/>
      <c r="C16" s="26"/>
      <c r="D16" s="27" t="s">
        <v>54</v>
      </c>
      <c r="E16" s="44"/>
      <c r="F16" s="45">
        <f>SUM(F10:G15)</f>
        <v>0</v>
      </c>
      <c r="G16" s="46"/>
      <c r="H16" s="14"/>
      <c r="I16" s="47"/>
    </row>
    <row r="17" ht="24.75" customHeight="1" spans="1:9">
      <c r="A17" s="14"/>
      <c r="B17" s="14"/>
      <c r="C17" s="14"/>
      <c r="D17" s="14"/>
      <c r="E17" s="14"/>
      <c r="F17" s="14"/>
      <c r="G17" s="14"/>
      <c r="H17" s="14"/>
      <c r="I17" s="47"/>
    </row>
    <row r="18" ht="24.75" customHeight="1" spans="1:9">
      <c r="A18" s="14"/>
      <c r="B18" s="14"/>
      <c r="C18" s="14"/>
      <c r="D18" s="14"/>
      <c r="E18" s="14"/>
      <c r="F18" s="14"/>
      <c r="G18" s="14"/>
      <c r="H18" s="14"/>
      <c r="I18" s="47"/>
    </row>
    <row r="19" ht="24.75" customHeight="1" spans="1:9">
      <c r="A19" s="14"/>
      <c r="B19" s="14"/>
      <c r="C19" s="14"/>
      <c r="D19" s="14"/>
      <c r="E19" s="14"/>
      <c r="F19" s="14"/>
      <c r="G19" s="14"/>
      <c r="H19" s="14"/>
      <c r="I19" s="47"/>
    </row>
    <row r="20" ht="24.75" customHeight="1" spans="1:9">
      <c r="A20" s="15" t="str">
        <f>IF(Main!B2,TEXT(EDATE(Main!B3,46),"dd mmmm yyyy"),TEXT(Main!B3+((Main!B5-Main!B3)*46+46),"dd mmmm yyyy"))&amp;" - "&amp;IF(Main!B2,TEXT(EDATE(Main!B3,47)-1,"dd mmmm yyyy"),TEXT(Main!B3+((Main!B5-Main!B3)*47+46),"dd mmmm yyyy"))&amp;" / "&amp;" (Revenue / Deferred Debts Or Expenses)"</f>
        <v>20 February 2028 - 19 March 2028 /  (Revenue / Deferred Debts Or Expenses)</v>
      </c>
      <c r="B20" s="16"/>
      <c r="C20" s="16"/>
      <c r="D20" s="16"/>
      <c r="E20" s="16"/>
      <c r="F20" s="16"/>
      <c r="G20" s="16"/>
      <c r="H20" s="14"/>
      <c r="I20" s="47"/>
    </row>
    <row r="21" ht="24.75" customHeight="1" spans="1:9">
      <c r="A21" s="17" t="s">
        <v>29</v>
      </c>
      <c r="B21" s="17" t="s">
        <v>48</v>
      </c>
      <c r="C21" s="17"/>
      <c r="D21" s="18" t="s">
        <v>49</v>
      </c>
      <c r="E21" s="18"/>
      <c r="F21" s="18" t="s">
        <v>50</v>
      </c>
      <c r="G21" s="18"/>
      <c r="H21" s="14"/>
      <c r="I21" s="47"/>
    </row>
    <row r="22" ht="24.75" customHeight="1" spans="1:9">
      <c r="A22" s="19"/>
      <c r="B22" s="20"/>
      <c r="C22" s="20"/>
      <c r="D22" s="20"/>
      <c r="E22" s="20"/>
      <c r="F22" s="41">
        <v>0</v>
      </c>
      <c r="G22" s="42"/>
      <c r="H22" s="14"/>
      <c r="I22" s="47"/>
    </row>
    <row r="23" ht="24.75" customHeight="1" spans="1:9">
      <c r="A23" s="19"/>
      <c r="B23" s="21"/>
      <c r="C23" s="22"/>
      <c r="D23" s="23"/>
      <c r="E23" s="43"/>
      <c r="F23" s="41">
        <v>0</v>
      </c>
      <c r="G23" s="42"/>
      <c r="H23" s="14"/>
      <c r="I23" s="47"/>
    </row>
    <row r="24" ht="24.75" customHeight="1" spans="1:9">
      <c r="A24" s="19"/>
      <c r="B24" s="21"/>
      <c r="C24" s="22"/>
      <c r="D24" s="23"/>
      <c r="E24" s="43"/>
      <c r="F24" s="41">
        <v>0</v>
      </c>
      <c r="G24" s="42"/>
      <c r="H24" s="14"/>
      <c r="I24" s="47"/>
    </row>
    <row r="25" ht="24.75" customHeight="1" spans="1:9">
      <c r="A25" s="19"/>
      <c r="B25" s="21"/>
      <c r="C25" s="22"/>
      <c r="D25" s="23"/>
      <c r="E25" s="43"/>
      <c r="F25" s="41">
        <v>0</v>
      </c>
      <c r="G25" s="42"/>
      <c r="H25" s="14"/>
      <c r="I25" s="47"/>
    </row>
    <row r="26" ht="24.75" customHeight="1" spans="1:9">
      <c r="A26" s="19"/>
      <c r="B26" s="21"/>
      <c r="C26" s="22"/>
      <c r="D26" s="23"/>
      <c r="E26" s="43"/>
      <c r="F26" s="41">
        <v>0</v>
      </c>
      <c r="G26" s="42"/>
      <c r="H26" s="14"/>
      <c r="I26" s="47"/>
    </row>
    <row r="27" ht="24.75" customHeight="1" spans="1:9">
      <c r="A27" s="19"/>
      <c r="B27" s="21"/>
      <c r="C27" s="22"/>
      <c r="D27" s="23"/>
      <c r="E27" s="43"/>
      <c r="F27" s="41">
        <v>0</v>
      </c>
      <c r="G27" s="42"/>
      <c r="H27" s="14"/>
      <c r="I27" s="47"/>
    </row>
    <row r="28" ht="24.75" customHeight="1" spans="1:9">
      <c r="A28" s="24"/>
      <c r="B28" s="25"/>
      <c r="C28" s="26"/>
      <c r="D28" s="27" t="s">
        <v>54</v>
      </c>
      <c r="E28" s="44"/>
      <c r="F28" s="45">
        <f>SUM(F22:G27)</f>
        <v>0</v>
      </c>
      <c r="G28" s="46"/>
      <c r="H28" s="14"/>
      <c r="I28" s="47"/>
    </row>
    <row r="29" ht="24.75" customHeight="1" spans="1:9">
      <c r="A29" s="14"/>
      <c r="B29" s="14"/>
      <c r="C29" s="14"/>
      <c r="D29" s="14"/>
      <c r="E29" s="14"/>
      <c r="F29" s="14"/>
      <c r="G29" s="14"/>
      <c r="H29" s="14"/>
      <c r="I29" s="47"/>
    </row>
    <row r="30" ht="24.75" customHeight="1" spans="1:9">
      <c r="A30" s="14"/>
      <c r="B30" s="14"/>
      <c r="C30" s="14"/>
      <c r="D30" s="14"/>
      <c r="E30" s="14"/>
      <c r="F30" s="14"/>
      <c r="G30" s="14"/>
      <c r="H30" s="14"/>
      <c r="I30" s="47"/>
    </row>
    <row r="31" ht="24.75" customHeight="1" spans="1:9">
      <c r="A31" s="14"/>
      <c r="B31" s="14"/>
      <c r="C31" s="14"/>
      <c r="D31" s="14"/>
      <c r="E31" s="14"/>
      <c r="F31" s="14"/>
      <c r="G31" s="14"/>
      <c r="H31" s="14"/>
      <c r="I31" s="47"/>
    </row>
    <row r="32" ht="24.75" customHeight="1" spans="1:9">
      <c r="A32" s="15" t="str">
        <f>IF(Main!B2,TEXT(EDATE(Main!B3,47),"dd mmmm yyyy"),TEXT(Main!B3+((Main!B5-Main!B3)*47+47),"dd mmmm yyyy"))&amp;" - "&amp;IF(Main!B2,TEXT(EDATE(Main!B3,48)-1,"dd mmmm yyyy"),TEXT(Main!B3+((Main!B5-Main!B3)*48+47),"dd mmmm yyyy"))&amp;" / "&amp;" (Revenue / Deferred Debts Or Expenses)"</f>
        <v>20 March 2028 - 19 April 2028 /  (Revenue / Deferred Debts Or Expenses)</v>
      </c>
      <c r="B32" s="16"/>
      <c r="C32" s="16"/>
      <c r="D32" s="16"/>
      <c r="E32" s="16"/>
      <c r="F32" s="16"/>
      <c r="G32" s="16"/>
      <c r="H32" s="14"/>
      <c r="I32" s="47"/>
    </row>
    <row r="33" ht="24.75" customHeight="1" spans="1:9">
      <c r="A33" s="17" t="s">
        <v>29</v>
      </c>
      <c r="B33" s="17" t="s">
        <v>48</v>
      </c>
      <c r="C33" s="17"/>
      <c r="D33" s="18" t="s">
        <v>49</v>
      </c>
      <c r="E33" s="18"/>
      <c r="F33" s="18" t="s">
        <v>50</v>
      </c>
      <c r="G33" s="18"/>
      <c r="H33" s="14"/>
      <c r="I33" s="47"/>
    </row>
    <row r="34" ht="24.75" customHeight="1" spans="1:9">
      <c r="A34" s="19"/>
      <c r="B34" s="20"/>
      <c r="C34" s="20"/>
      <c r="D34" s="20"/>
      <c r="E34" s="20"/>
      <c r="F34" s="41">
        <v>0</v>
      </c>
      <c r="G34" s="42"/>
      <c r="H34" s="14"/>
      <c r="I34" s="47"/>
    </row>
    <row r="35" ht="24.75" customHeight="1" spans="1:9">
      <c r="A35" s="19"/>
      <c r="B35" s="21"/>
      <c r="C35" s="22"/>
      <c r="D35" s="23"/>
      <c r="E35" s="43"/>
      <c r="F35" s="41">
        <v>0</v>
      </c>
      <c r="G35" s="42"/>
      <c r="H35" s="14"/>
      <c r="I35" s="47"/>
    </row>
    <row r="36" ht="24.75" customHeight="1" spans="1:9">
      <c r="A36" s="19"/>
      <c r="B36" s="21"/>
      <c r="C36" s="22"/>
      <c r="D36" s="23"/>
      <c r="E36" s="43"/>
      <c r="F36" s="41">
        <v>0</v>
      </c>
      <c r="G36" s="42"/>
      <c r="H36" s="14"/>
      <c r="I36" s="48"/>
    </row>
    <row r="37" ht="24.75" customHeight="1" spans="1:9">
      <c r="A37" s="19"/>
      <c r="B37" s="21"/>
      <c r="C37" s="22"/>
      <c r="D37" s="23"/>
      <c r="E37" s="43"/>
      <c r="F37" s="41">
        <v>0</v>
      </c>
      <c r="G37" s="42"/>
      <c r="H37" s="14"/>
      <c r="I37" s="47"/>
    </row>
    <row r="38" ht="24.75" customHeight="1" spans="1:9">
      <c r="A38" s="19"/>
      <c r="B38" s="21"/>
      <c r="C38" s="22"/>
      <c r="D38" s="23"/>
      <c r="E38" s="43"/>
      <c r="F38" s="41">
        <v>0</v>
      </c>
      <c r="G38" s="42"/>
      <c r="H38" s="14"/>
      <c r="I38" s="47"/>
    </row>
    <row r="39" ht="24.75" customHeight="1" spans="1:9">
      <c r="A39" s="19"/>
      <c r="B39" s="21"/>
      <c r="C39" s="22"/>
      <c r="D39" s="23"/>
      <c r="E39" s="43"/>
      <c r="F39" s="41">
        <v>0</v>
      </c>
      <c r="G39" s="42"/>
      <c r="H39" s="14"/>
      <c r="I39" s="47"/>
    </row>
    <row r="40" ht="24.75" customHeight="1" spans="1:9">
      <c r="A40" s="24"/>
      <c r="B40" s="25"/>
      <c r="C40" s="26"/>
      <c r="D40" s="27" t="s">
        <v>54</v>
      </c>
      <c r="E40" s="44"/>
      <c r="F40" s="45">
        <f>SUM(F34:G39)</f>
        <v>0</v>
      </c>
      <c r="G40" s="46"/>
      <c r="H40" s="14"/>
      <c r="I40" s="47"/>
    </row>
    <row r="41" ht="24.75" customHeight="1" spans="1:9">
      <c r="A41" s="14"/>
      <c r="B41" s="14"/>
      <c r="C41" s="14"/>
      <c r="D41" s="14"/>
      <c r="E41" s="14"/>
      <c r="F41" s="14"/>
      <c r="G41" s="14"/>
      <c r="H41" s="14"/>
      <c r="I41" s="47"/>
    </row>
    <row r="42" ht="24.75" customHeight="1" spans="1:9">
      <c r="A42" s="14"/>
      <c r="B42" s="14"/>
      <c r="C42" s="14"/>
      <c r="D42" s="14"/>
      <c r="E42" s="14"/>
      <c r="F42" s="14"/>
      <c r="G42" s="14"/>
      <c r="H42" s="14"/>
      <c r="I42" s="47"/>
    </row>
    <row r="43" ht="24.75" customHeight="1" spans="1:9">
      <c r="A43" s="14"/>
      <c r="B43" s="14"/>
      <c r="C43" s="14"/>
      <c r="D43" s="14"/>
      <c r="E43" s="14"/>
      <c r="F43" s="14"/>
      <c r="G43" s="14"/>
      <c r="H43" s="14"/>
      <c r="I43" s="47"/>
    </row>
    <row r="44" ht="24.75" customHeight="1" spans="1:9">
      <c r="A44" s="28" t="str">
        <f>"Fixed Expense For the Year "&amp;IF(Main!B2,TEXT(EDATE(Main!B3,45),"mmmm yyyy"),TEXT(Main!B3+((Main!B5-Main!B3)*45+45),"mmmm yyyy"))&amp;" to "&amp;IF(Main!B2,TEXT(EDATE(Main!B3,48)-1,"mmmm yyyy"),TEXT(Main!B3+((Main!B5-Main!B3)*48+47),"mmmm yyyy"))</f>
        <v>Fixed Expense For the Year January 2028 to April 2028</v>
      </c>
      <c r="B44" s="29"/>
      <c r="C44" s="30"/>
      <c r="D44" s="14"/>
      <c r="E44" s="14"/>
      <c r="F44" s="14"/>
      <c r="G44" s="14"/>
      <c r="H44" s="14"/>
      <c r="I44" s="47"/>
    </row>
    <row r="45" ht="24.75" customHeight="1" spans="1:9">
      <c r="A45" s="31" t="s">
        <v>48</v>
      </c>
      <c r="B45" s="31" t="s">
        <v>49</v>
      </c>
      <c r="C45" s="1" t="s">
        <v>50</v>
      </c>
      <c r="D45" s="14"/>
      <c r="E45" s="14"/>
      <c r="F45" s="14"/>
      <c r="G45" s="14"/>
      <c r="H45" s="14"/>
      <c r="I45" s="47"/>
    </row>
    <row r="46" ht="24.75" customHeight="1" spans="1:9">
      <c r="A46" s="32" t="s">
        <v>73</v>
      </c>
      <c r="B46" s="33"/>
      <c r="C46" s="34"/>
      <c r="D46" s="14"/>
      <c r="E46" s="14"/>
      <c r="F46" s="14"/>
      <c r="G46" s="14"/>
      <c r="H46" s="14"/>
      <c r="I46" s="47"/>
    </row>
    <row r="47" ht="24.75" customHeight="1" spans="1:9">
      <c r="A47" s="35" t="str" cm="1">
        <f ca="1" t="array" ref="A47">IF((INDIRECT("'"&amp;INDIRECT("Main!B9")&amp;"'!A61"))=0,"",(INDIRECT("'"&amp;INDIRECT("Main!B9")&amp;"'!A61")))</f>
        <v>Broadband</v>
      </c>
      <c r="B47" s="35" t="str" cm="1">
        <f ca="1" t="array" ref="B47">IF((INDIRECT("'"&amp;INDIRECT("Main!B9")&amp;"'!B61"))=0,"",(INDIRECT("'"&amp;INDIRECT("Main!B9")&amp;"'!B61")))</f>
        <v/>
      </c>
      <c r="C47" s="36">
        <v>0</v>
      </c>
      <c r="D47" s="14"/>
      <c r="E47" s="14"/>
      <c r="F47" s="14"/>
      <c r="G47" s="14"/>
      <c r="H47" s="14"/>
      <c r="I47" s="47"/>
    </row>
    <row r="48" ht="24.75" customHeight="1" spans="1:9">
      <c r="A48" s="35" t="str" cm="1">
        <f ca="1" t="array" ref="A48">IF((INDIRECT("'"&amp;INDIRECT("Main!B9")&amp;"'!A62"))=0,"",(INDIRECT("'"&amp;INDIRECT("Main!B9")&amp;"'!A62")))</f>
        <v>China Mobile</v>
      </c>
      <c r="B48" s="35" t="str" cm="1">
        <f ca="1" t="array" ref="B48">IF((INDIRECT("'"&amp;INDIRECT("Main!B9")&amp;"'!B62"))=0,"",(INDIRECT("'"&amp;INDIRECT("Main!B9")&amp;"'!B62")))</f>
        <v/>
      </c>
      <c r="C48" s="36">
        <v>0</v>
      </c>
      <c r="D48" s="14"/>
      <c r="E48" s="14"/>
      <c r="F48" s="14"/>
      <c r="G48" s="14"/>
      <c r="H48" s="14"/>
      <c r="I48" s="47"/>
    </row>
    <row r="49" ht="24.75" customHeight="1" spans="1:9">
      <c r="A49" s="35" t="str" cm="1">
        <f ca="1" t="array" ref="A49">IF((INDIRECT("'"&amp;INDIRECT("Main!B9")&amp;"'!A63"))=0,"",(INDIRECT("'"&amp;INDIRECT("Main!B9")&amp;"'!A63")))</f>
        <v>Telephone (Fixed Line)</v>
      </c>
      <c r="B49" s="35" t="str" cm="1">
        <f ca="1" t="array" ref="B49">IF((INDIRECT("'"&amp;INDIRECT("Main!B9")&amp;"'!B63"))=0,"",(INDIRECT("'"&amp;INDIRECT("Main!B9")&amp;"'!B63")))</f>
        <v/>
      </c>
      <c r="C49" s="36">
        <v>0</v>
      </c>
      <c r="D49" s="14"/>
      <c r="E49" s="14"/>
      <c r="F49" s="14"/>
      <c r="G49" s="14"/>
      <c r="H49" s="14"/>
      <c r="I49" s="47"/>
    </row>
    <row r="50" ht="24.75" customHeight="1" spans="1:9">
      <c r="A50" s="37" t="str" cm="1">
        <f ca="1" t="array" ref="A50">IF((INDIRECT("'"&amp;INDIRECT("Main!B9")&amp;"'!A64"))=0,"",(INDIRECT("'"&amp;INDIRECT("Main!B9")&amp;"'!A64")))</f>
        <v>Sosim</v>
      </c>
      <c r="B50" s="37" t="str" cm="1">
        <f ca="1" t="array" ref="B50">IF((INDIRECT("'"&amp;INDIRECT("Main!B9")&amp;"'!B64"))=0,"",(INDIRECT("'"&amp;INDIRECT("Main!B9")&amp;"'!B64")))</f>
        <v/>
      </c>
      <c r="C50" s="36">
        <v>0</v>
      </c>
      <c r="D50" s="14"/>
      <c r="E50" s="14"/>
      <c r="F50" s="14"/>
      <c r="G50" s="14"/>
      <c r="H50" s="14"/>
      <c r="I50" s="47"/>
    </row>
    <row r="51" ht="24.75" customHeight="1" spans="1:9">
      <c r="A51" s="37" t="str" cm="1">
        <f ca="1" t="array" ref="A51">IF((INDIRECT("'"&amp;INDIRECT("Main!B9")&amp;"'!A65"))=0,"",(INDIRECT("'"&amp;INDIRECT("Main!B9")&amp;"'!A65")))</f>
        <v>Birdie Sim Card 
Pay date (7th Of Each Month)</v>
      </c>
      <c r="B51" s="37" t="str" cm="1">
        <f ca="1" t="array" ref="B51">IF((INDIRECT("'"&amp;INDIRECT("Main!B9")&amp;"'!B65"))=0,"",(INDIRECT("'"&amp;INDIRECT("Main!B9")&amp;"'!B65")))</f>
        <v/>
      </c>
      <c r="C51" s="36">
        <v>0</v>
      </c>
      <c r="D51" s="14"/>
      <c r="E51" s="14"/>
      <c r="F51" s="14"/>
      <c r="G51" s="14"/>
      <c r="H51" s="14"/>
      <c r="I51" s="47"/>
    </row>
    <row r="52" ht="24.75" customHeight="1" spans="1:9">
      <c r="A52" s="37" t="str" cm="1">
        <f ca="1" t="array" ref="A52">IF((INDIRECT("'"&amp;INDIRECT("Main!B9")&amp;"'!A66"))=0,"",(INDIRECT("'"&amp;INDIRECT("Main!B9")&amp;"'!A66")))</f>
        <v/>
      </c>
      <c r="B52" s="37" t="str" cm="1">
        <f ca="1" t="array" ref="B52">IF((INDIRECT("'"&amp;INDIRECT("Main!B9")&amp;"'!B66"))=0,"",(INDIRECT("'"&amp;INDIRECT("Main!B9")&amp;"'!B66")))</f>
        <v/>
      </c>
      <c r="C52" s="36">
        <v>0</v>
      </c>
      <c r="D52" s="14"/>
      <c r="E52" s="14"/>
      <c r="F52" s="14"/>
      <c r="G52" s="14"/>
      <c r="H52" s="14"/>
      <c r="I52" s="47"/>
    </row>
    <row r="53" ht="24.75" customHeight="1" spans="1:9">
      <c r="A53" s="37" t="str" cm="1">
        <f ca="1" t="array" ref="A53">IF((INDIRECT("'"&amp;INDIRECT("Main!B9")&amp;"'!A67"))=0,"",(INDIRECT("'"&amp;INDIRECT("Main!B9")&amp;"'!A67")))</f>
        <v/>
      </c>
      <c r="B53" s="37" t="str" cm="1">
        <f ca="1" t="array" ref="B53">IF((INDIRECT("'"&amp;INDIRECT("Main!B9")&amp;"'!B67"))=0,"",(INDIRECT("'"&amp;INDIRECT("Main!B9")&amp;"'!B67")))</f>
        <v/>
      </c>
      <c r="C53" s="36">
        <v>0</v>
      </c>
      <c r="D53" s="14"/>
      <c r="E53" s="14"/>
      <c r="F53" s="14"/>
      <c r="G53" s="14"/>
      <c r="H53" s="14"/>
      <c r="I53" s="47"/>
    </row>
    <row r="54" ht="24.75" customHeight="1" spans="1:9">
      <c r="A54" s="37" t="str" cm="1">
        <f ca="1" t="array" ref="A54">IF((INDIRECT("'"&amp;INDIRECT("Main!B9")&amp;"'!A68"))=0,"",(INDIRECT("'"&amp;INDIRECT("Main!B9")&amp;"'!A68")))</f>
        <v/>
      </c>
      <c r="B54" s="37" t="str" cm="1">
        <f ca="1" t="array" ref="B54">IF((INDIRECT("'"&amp;INDIRECT("Main!B9")&amp;"'!B68"))=0,"",(INDIRECT("'"&amp;INDIRECT("Main!B9")&amp;"'!B68")))</f>
        <v/>
      </c>
      <c r="C54" s="36">
        <v>0</v>
      </c>
      <c r="D54" s="14"/>
      <c r="E54" s="14"/>
      <c r="F54" s="14"/>
      <c r="G54" s="14"/>
      <c r="H54" s="14"/>
      <c r="I54" s="47"/>
    </row>
    <row r="55" ht="24.75" customHeight="1" spans="1:9">
      <c r="A55" s="38"/>
      <c r="B55" s="39" t="s">
        <v>78</v>
      </c>
      <c r="C55" s="36">
        <f>SUM(C47:C54)</f>
        <v>0</v>
      </c>
      <c r="D55" s="14"/>
      <c r="E55" s="14"/>
      <c r="F55" s="14"/>
      <c r="G55" s="14"/>
      <c r="H55" s="14"/>
      <c r="I55" s="47"/>
    </row>
    <row r="56" ht="24.75" customHeight="1" spans="1:9">
      <c r="A56" s="32" t="s">
        <v>79</v>
      </c>
      <c r="B56" s="33"/>
      <c r="C56" s="34"/>
      <c r="D56" s="14"/>
      <c r="E56" s="14"/>
      <c r="F56" s="14"/>
      <c r="G56" s="14"/>
      <c r="H56" s="14"/>
      <c r="I56" s="47"/>
    </row>
    <row r="57" ht="24.75" customHeight="1" spans="1:9">
      <c r="A57" s="35" t="str" cm="1">
        <f ca="1" t="array" ref="A57">IF((INDIRECT("'"&amp;INDIRECT("Main!B9")&amp;"'!A71"))=0,"",(INDIRECT("'"&amp;INDIRECT("Main!B9")&amp;"'!A71")))</f>
        <v>Citi Bank</v>
      </c>
      <c r="B57" s="35" t="str" cm="1">
        <f ca="1" t="array" ref="B57">IF((INDIRECT("'"&amp;INDIRECT("Main!B9")&amp;"'!B71"))=0,"",(INDIRECT("'"&amp;INDIRECT("Main!B9")&amp;"'!B71")))</f>
        <v/>
      </c>
      <c r="C57" s="36">
        <v>0</v>
      </c>
      <c r="D57" s="14"/>
      <c r="E57" s="14"/>
      <c r="F57" s="14"/>
      <c r="G57" s="14"/>
      <c r="H57" s="14"/>
      <c r="I57" s="47"/>
    </row>
    <row r="58" ht="24.75" customHeight="1" spans="1:9">
      <c r="A58" s="35" t="str" cm="1">
        <f ca="1" t="array" ref="A58">IF((INDIRECT("'"&amp;INDIRECT("Main!B9")&amp;"'!A72"))=0,"",(INDIRECT("'"&amp;INDIRECT("Main!B9")&amp;"'!A72")))</f>
        <v>SC Bank </v>
      </c>
      <c r="B58" s="35" t="str" cm="1">
        <f ca="1" t="array" ref="B58">IF((INDIRECT("'"&amp;INDIRECT("Main!B9")&amp;"'!B72"))=0,"",(INDIRECT("'"&amp;INDIRECT("Main!B9")&amp;"'!B72")))</f>
        <v/>
      </c>
      <c r="C58" s="36">
        <v>0</v>
      </c>
      <c r="D58" s="14"/>
      <c r="E58" s="14"/>
      <c r="F58" s="14"/>
      <c r="G58" s="14"/>
      <c r="H58" s="14"/>
      <c r="I58" s="47"/>
    </row>
    <row r="59" ht="24.75" customHeight="1" spans="1:9">
      <c r="A59" s="35" t="str" cm="1">
        <f ca="1" t="array" ref="A59">IF((INDIRECT("'"&amp;INDIRECT("Main!B9")&amp;"'!A73"))=0,"",(INDIRECT("'"&amp;INDIRECT("Main!B9")&amp;"'!A73")))</f>
        <v>Bank Of China</v>
      </c>
      <c r="B59" s="35" t="str" cm="1">
        <f ca="1" t="array" ref="B59">IF((INDIRECT("'"&amp;INDIRECT("Main!B9")&amp;"'!B73"))=0,"",(INDIRECT("'"&amp;INDIRECT("Main!B9")&amp;"'!B73")))</f>
        <v/>
      </c>
      <c r="C59" s="36">
        <v>0</v>
      </c>
      <c r="D59" s="14"/>
      <c r="E59" s="14"/>
      <c r="F59" s="14"/>
      <c r="G59" s="14"/>
      <c r="H59" s="14"/>
      <c r="I59" s="47"/>
    </row>
    <row r="60" ht="24.75" customHeight="1" spans="1:9">
      <c r="A60" s="37" t="str" cm="1">
        <f ca="1" t="array" ref="A60">IF((INDIRECT("'"&amp;INDIRECT("Main!B9")&amp;"'!A74"))=0,"",(INDIRECT("'"&amp;INDIRECT("Main!B9")&amp;"'!A74")))</f>
        <v>HSBC</v>
      </c>
      <c r="B60" s="37" t="str" cm="1">
        <f ca="1" t="array" ref="B60">IF((INDIRECT("'"&amp;INDIRECT("Main!B9")&amp;"'!B74"))=0,"",(INDIRECT("'"&amp;INDIRECT("Main!B9")&amp;"'!B74")))</f>
        <v/>
      </c>
      <c r="C60" s="36">
        <v>0</v>
      </c>
      <c r="D60" s="14"/>
      <c r="E60" s="14"/>
      <c r="F60" s="14"/>
      <c r="G60" s="14"/>
      <c r="H60" s="14"/>
      <c r="I60" s="47"/>
    </row>
    <row r="61" ht="24.75" customHeight="1" spans="1:9">
      <c r="A61" s="37" t="str" cm="1">
        <f ca="1" t="array" ref="A61">IF((INDIRECT("'"&amp;INDIRECT("Main!B9")&amp;"'!A75"))=0,"",(INDIRECT("'"&amp;INDIRECT("Main!B9")&amp;"'!A75")))</f>
        <v/>
      </c>
      <c r="B61" s="37" t="str" cm="1">
        <f ca="1" t="array" ref="B61">IF((INDIRECT("'"&amp;INDIRECT("Main!B9")&amp;"'!B75"))=0,"",(INDIRECT("'"&amp;INDIRECT("Main!B9")&amp;"'!B75")))</f>
        <v/>
      </c>
      <c r="C61" s="36">
        <v>0</v>
      </c>
      <c r="D61" s="14"/>
      <c r="E61" s="14"/>
      <c r="F61" s="14"/>
      <c r="G61" s="14"/>
      <c r="H61" s="14"/>
      <c r="I61" s="47"/>
    </row>
    <row r="62" ht="24.75" customHeight="1" spans="1:9">
      <c r="A62" s="37" t="str" cm="1">
        <f ca="1" t="array" ref="A62">IF((INDIRECT("'"&amp;INDIRECT("Main!B9")&amp;"'!A76"))=0,"",(INDIRECT("'"&amp;INDIRECT("Main!B9")&amp;"'!A76")))</f>
        <v/>
      </c>
      <c r="B62" s="37" t="str" cm="1">
        <f ca="1" t="array" ref="B62">IF((INDIRECT("'"&amp;INDIRECT("Main!B9")&amp;"'!B76"))=0,"",(INDIRECT("'"&amp;INDIRECT("Main!B9")&amp;"'!B76")))</f>
        <v/>
      </c>
      <c r="C62" s="36">
        <v>0</v>
      </c>
      <c r="D62" s="14"/>
      <c r="E62" s="14"/>
      <c r="F62" s="14"/>
      <c r="G62" s="14"/>
      <c r="H62" s="14"/>
      <c r="I62" s="47"/>
    </row>
    <row r="63" ht="24.75" customHeight="1" spans="1:9">
      <c r="A63" s="37" t="str" cm="1">
        <f ca="1" t="array" ref="A63">IF((INDIRECT("'"&amp;INDIRECT("Main!B9")&amp;"'!A77"))=0,"",(INDIRECT("'"&amp;INDIRECT("Main!B9")&amp;"'!A77")))</f>
        <v/>
      </c>
      <c r="B63" s="37" t="str" cm="1">
        <f ca="1" t="array" ref="B63">IF((INDIRECT("'"&amp;INDIRECT("Main!B9")&amp;"'!B77"))=0,"",(INDIRECT("'"&amp;INDIRECT("Main!B9")&amp;"'!B77")))</f>
        <v/>
      </c>
      <c r="C63" s="36">
        <v>0</v>
      </c>
      <c r="D63" s="14"/>
      <c r="E63" s="14"/>
      <c r="F63" s="14"/>
      <c r="G63" s="14"/>
      <c r="H63" s="14"/>
      <c r="I63" s="47"/>
    </row>
    <row r="64" ht="24.75" customHeight="1" spans="1:9">
      <c r="A64" s="37" t="str" cm="1">
        <f ca="1" t="array" ref="A64">IF((INDIRECT("'"&amp;INDIRECT("Main!B9")&amp;"'!A78"))=0,"",(INDIRECT("'"&amp;INDIRECT("Main!B9")&amp;"'!A78")))</f>
        <v/>
      </c>
      <c r="B64" s="37" t="str" cm="1">
        <f ca="1" t="array" ref="B64">IF((INDIRECT("'"&amp;INDIRECT("Main!B9")&amp;"'!B78"))=0,"",(INDIRECT("'"&amp;INDIRECT("Main!B9")&amp;"'!B78")))</f>
        <v/>
      </c>
      <c r="C64" s="36">
        <v>0</v>
      </c>
      <c r="D64" s="14"/>
      <c r="E64" s="14"/>
      <c r="F64" s="14"/>
      <c r="G64" s="14"/>
      <c r="H64" s="14"/>
      <c r="I64" s="47"/>
    </row>
    <row r="65" ht="24.75" customHeight="1" spans="1:9">
      <c r="A65" s="37" t="str" cm="1">
        <f ca="1" t="array" ref="A65">IF((INDIRECT("'"&amp;INDIRECT("Main!B9")&amp;"'!A79"))=0,"",(INDIRECT("'"&amp;INDIRECT("Main!B9")&amp;"'!A79")))</f>
        <v/>
      </c>
      <c r="B65" s="37" t="str" cm="1">
        <f ca="1" t="array" ref="B65">IF((INDIRECT("'"&amp;INDIRECT("Main!B9")&amp;"'!B79"))=0,"",(INDIRECT("'"&amp;INDIRECT("Main!B9")&amp;"'!B79")))</f>
        <v/>
      </c>
      <c r="C65" s="36">
        <v>0</v>
      </c>
      <c r="D65" s="14"/>
      <c r="E65" s="14"/>
      <c r="F65" s="14"/>
      <c r="G65" s="14"/>
      <c r="H65" s="14"/>
      <c r="I65" s="47"/>
    </row>
    <row r="66" ht="24.75" customHeight="1" spans="1:9">
      <c r="A66" s="49"/>
      <c r="B66" s="39" t="s">
        <v>78</v>
      </c>
      <c r="C66" s="36">
        <f>SUM(C57:C65)</f>
        <v>0</v>
      </c>
      <c r="D66" s="14"/>
      <c r="E66" s="14"/>
      <c r="F66" s="14"/>
      <c r="G66" s="14"/>
      <c r="H66" s="14"/>
      <c r="I66" s="47"/>
    </row>
    <row r="67" ht="24.75" customHeight="1" spans="1:9">
      <c r="A67" s="32" t="s">
        <v>84</v>
      </c>
      <c r="B67" s="33"/>
      <c r="C67" s="34"/>
      <c r="D67" s="14"/>
      <c r="E67" s="14"/>
      <c r="F67" s="14"/>
      <c r="G67" s="14"/>
      <c r="H67" s="14"/>
      <c r="I67" s="47"/>
    </row>
    <row r="68" ht="24.75" customHeight="1" spans="1:9">
      <c r="A68" s="50" t="str" cm="1">
        <f ca="1" t="array" ref="A68">IF((INDIRECT("'"&amp;INDIRECT("Main!B9")&amp;"'!A82"))=0,"",(INDIRECT("'"&amp;INDIRECT("Main!B9")&amp;"'!A82")))</f>
        <v>Traversy</v>
      </c>
      <c r="B68" s="50" t="str" cm="1">
        <f ca="1" t="array" ref="B68">IF((INDIRECT("'"&amp;INDIRECT("Main!B9")&amp;"'!B82"))=0,"",(INDIRECT("'"&amp;INDIRECT("Main!B9")&amp;"'!B82")))</f>
        <v>Traversy Media</v>
      </c>
      <c r="C68" s="36">
        <v>0</v>
      </c>
      <c r="D68" s="14"/>
      <c r="E68" s="14"/>
      <c r="F68" s="14"/>
      <c r="G68" s="14"/>
      <c r="H68" s="14"/>
      <c r="I68" s="47"/>
    </row>
    <row r="69" ht="24.75" customHeight="1" spans="1:9">
      <c r="A69" s="51" t="str" cm="1">
        <f ca="1" t="array" ref="A69">IF((INDIRECT("'"&amp;INDIRECT("Main!B9")&amp;"'!A83"))=0,"",(INDIRECT("'"&amp;INDIRECT("Main!B9")&amp;"'!A83")))</f>
        <v>Orbis</v>
      </c>
      <c r="B69" s="51" t="str" cm="1">
        <f ca="1" t="array" ref="B69">IF((INDIRECT("'"&amp;INDIRECT("Main!B9")&amp;"'!B83"))=0,"",(INDIRECT("'"&amp;INDIRECT("Main!B9")&amp;"'!B83")))</f>
        <v>Orbis Eye Flight</v>
      </c>
      <c r="C69" s="36">
        <v>0</v>
      </c>
      <c r="D69" s="14"/>
      <c r="E69" s="14"/>
      <c r="F69" s="14"/>
      <c r="G69" s="14"/>
      <c r="H69" s="14"/>
      <c r="I69" s="47"/>
    </row>
    <row r="70" ht="24.75" customHeight="1" spans="1:9">
      <c r="A70" s="50" t="str" cm="1">
        <f ca="1" t="array" ref="A70">IF((INDIRECT("'"&amp;INDIRECT("Main!B9")&amp;"'!A84"))=0,"",(INDIRECT("'"&amp;INDIRECT("Main!B9")&amp;"'!A84")))</f>
        <v/>
      </c>
      <c r="B70" s="50" t="str" cm="1">
        <f ca="1" t="array" ref="B70">IF((INDIRECT("'"&amp;INDIRECT("Main!B9")&amp;"'!B84"))=0,"",(INDIRECT("'"&amp;INDIRECT("Main!B9")&amp;"'!B84")))</f>
        <v/>
      </c>
      <c r="C70" s="36">
        <v>0</v>
      </c>
      <c r="D70" s="14"/>
      <c r="E70" s="14"/>
      <c r="F70" s="14"/>
      <c r="G70" s="14"/>
      <c r="H70" s="14"/>
      <c r="I70" s="47"/>
    </row>
    <row r="71" ht="24.75" customHeight="1" spans="1:9">
      <c r="A71" s="50" t="str" cm="1">
        <f ca="1" t="array" ref="A71">IF((INDIRECT("'"&amp;INDIRECT("Main!B9")&amp;"'!A85"))=0,"",(INDIRECT("'"&amp;INDIRECT("Main!B9")&amp;"'!A85")))</f>
        <v/>
      </c>
      <c r="B71" s="50" t="str" cm="1">
        <f ca="1" t="array" ref="B71">IF((INDIRECT("'"&amp;INDIRECT("Main!B9")&amp;"'!B85"))=0,"",(INDIRECT("'"&amp;INDIRECT("Main!B9")&amp;"'!B85")))</f>
        <v/>
      </c>
      <c r="C71" s="36">
        <v>0</v>
      </c>
      <c r="D71" s="14"/>
      <c r="E71" s="14"/>
      <c r="F71" s="14"/>
      <c r="G71" s="14"/>
      <c r="H71" s="14"/>
      <c r="I71" s="47"/>
    </row>
    <row r="72" ht="24.75" customHeight="1" spans="1:9">
      <c r="A72" s="50" t="str" cm="1">
        <f ca="1" t="array" ref="A72">IF((INDIRECT("'"&amp;INDIRECT("Main!B9")&amp;"'!A86"))=0,"",(INDIRECT("'"&amp;INDIRECT("Main!B9")&amp;"'!A86")))</f>
        <v/>
      </c>
      <c r="B72" s="50" t="str" cm="1">
        <f ca="1" t="array" ref="B72">IF((INDIRECT("'"&amp;INDIRECT("Main!B9")&amp;"'!B86"))=0,"",(INDIRECT("'"&amp;INDIRECT("Main!B9")&amp;"'!B86")))</f>
        <v/>
      </c>
      <c r="C72" s="36">
        <v>0</v>
      </c>
      <c r="D72" s="14"/>
      <c r="E72" s="14"/>
      <c r="F72" s="14"/>
      <c r="G72" s="14"/>
      <c r="H72" s="14"/>
      <c r="I72" s="47"/>
    </row>
    <row r="73" ht="24.75" customHeight="1" spans="1:9">
      <c r="A73" s="50" t="str" cm="1">
        <f ca="1" t="array" ref="A73">IF((INDIRECT("'"&amp;INDIRECT("Main!B9")&amp;"'!A87"))=0,"",(INDIRECT("'"&amp;INDIRECT("Main!B9")&amp;"'!A87")))</f>
        <v/>
      </c>
      <c r="B73" s="50" t="str" cm="1">
        <f ca="1" t="array" ref="B73">IF((INDIRECT("'"&amp;INDIRECT("Main!B9")&amp;"'!B87"))=0,"",(INDIRECT("'"&amp;INDIRECT("Main!B9")&amp;"'!B87")))</f>
        <v/>
      </c>
      <c r="C73" s="36">
        <v>0</v>
      </c>
      <c r="D73" s="14"/>
      <c r="E73" s="14"/>
      <c r="F73" s="14"/>
      <c r="G73" s="14"/>
      <c r="H73" s="14"/>
      <c r="I73" s="47"/>
    </row>
    <row r="74" ht="24.75" customHeight="1" spans="1:9">
      <c r="A74" s="50" t="str" cm="1">
        <f ca="1" t="array" ref="A74">IF((INDIRECT("'"&amp;INDIRECT("Main!B9")&amp;"'!A88"))=0,"",(INDIRECT("'"&amp;INDIRECT("Main!B9")&amp;"'!A88")))</f>
        <v/>
      </c>
      <c r="B74" s="50" t="str" cm="1">
        <f ca="1" t="array" ref="B74">IF((INDIRECT("'"&amp;INDIRECT("Main!B9")&amp;"'!B88"))=0,"",(INDIRECT("'"&amp;INDIRECT("Main!B9")&amp;"'!B88")))</f>
        <v/>
      </c>
      <c r="C74" s="36">
        <v>0</v>
      </c>
      <c r="D74" s="14"/>
      <c r="E74" s="14"/>
      <c r="F74" s="14"/>
      <c r="G74" s="14"/>
      <c r="H74" s="14"/>
      <c r="I74" s="47"/>
    </row>
    <row r="75" ht="24.75" customHeight="1" spans="1:9">
      <c r="A75" s="49"/>
      <c r="B75" s="39" t="s">
        <v>78</v>
      </c>
      <c r="C75" s="36">
        <f>SUM(C68:C74)</f>
        <v>0</v>
      </c>
      <c r="D75" s="14"/>
      <c r="E75" s="14"/>
      <c r="F75" s="14"/>
      <c r="G75" s="14"/>
      <c r="H75" s="14"/>
      <c r="I75" s="47"/>
    </row>
    <row r="76" ht="24.75" customHeight="1" spans="1:9">
      <c r="A76" s="32" t="s">
        <v>89</v>
      </c>
      <c r="B76" s="33"/>
      <c r="C76" s="34"/>
      <c r="D76" s="14"/>
      <c r="E76" s="14"/>
      <c r="F76" s="14"/>
      <c r="G76" s="14"/>
      <c r="H76" s="14"/>
      <c r="I76" s="47"/>
    </row>
    <row r="77" ht="24.75" customHeight="1" spans="1:9">
      <c r="A77" s="35" t="str" cm="1">
        <f ca="1" t="array" ref="A77">IF((INDIRECT("'"&amp;INDIRECT("Main!B9")&amp;"'!A91"))=0,"",(INDIRECT("'"&amp;INDIRECT("Main!B9")&amp;"'!A91")))</f>
        <v>AIA</v>
      </c>
      <c r="B77" s="35" t="str" cm="1">
        <f ca="1" t="array" ref="B77">IF((INDIRECT("'"&amp;INDIRECT("Main!B9")&amp;"'!B91"))=0,"",(INDIRECT("'"&amp;INDIRECT("Main!B9")&amp;"'!B91")))</f>
        <v/>
      </c>
      <c r="C77" s="36">
        <v>0</v>
      </c>
      <c r="D77" s="14"/>
      <c r="E77" s="14"/>
      <c r="F77" s="14"/>
      <c r="G77" s="14"/>
      <c r="H77" s="14"/>
      <c r="I77" s="47"/>
    </row>
    <row r="78" ht="24.75" customHeight="1" spans="1:9">
      <c r="A78" s="35" t="str" cm="1">
        <f ca="1" t="array" ref="A78">IF((INDIRECT("'"&amp;INDIRECT("Main!B9")&amp;"'!A92"))=0,"",(INDIRECT("'"&amp;INDIRECT("Main!B9")&amp;"'!A92")))</f>
        <v/>
      </c>
      <c r="B78" s="35" t="str" cm="1">
        <f ca="1" t="array" ref="B78">IF((INDIRECT("'"&amp;INDIRECT("Main!B9")&amp;"'!B92"))=0,"",(INDIRECT("'"&amp;INDIRECT("Main!B9")&amp;"'!B92")))</f>
        <v/>
      </c>
      <c r="C78" s="36">
        <v>0</v>
      </c>
      <c r="D78" s="14"/>
      <c r="E78" s="14"/>
      <c r="F78" s="14"/>
      <c r="G78" s="14"/>
      <c r="H78" s="14"/>
      <c r="I78" s="47"/>
    </row>
    <row r="79" ht="24.75" customHeight="1" spans="1:9">
      <c r="A79" s="35" t="str" cm="1">
        <f ca="1" t="array" ref="A79">IF((INDIRECT("'"&amp;INDIRECT("Main!B9")&amp;"'!A93"))=0,"",(INDIRECT("'"&amp;INDIRECT("Main!B9")&amp;"'!A93")))</f>
        <v/>
      </c>
      <c r="B79" s="35" t="str" cm="1">
        <f ca="1" t="array" ref="B79">IF((INDIRECT("'"&amp;INDIRECT("Main!B9")&amp;"'!B93"))=0,"",(INDIRECT("'"&amp;INDIRECT("Main!B9")&amp;"'!B93")))</f>
        <v/>
      </c>
      <c r="C79" s="36">
        <v>0</v>
      </c>
      <c r="D79" s="14"/>
      <c r="E79" s="14"/>
      <c r="F79" s="14"/>
      <c r="G79" s="14"/>
      <c r="H79" s="14"/>
      <c r="I79" s="47"/>
    </row>
    <row r="80" ht="24.75" customHeight="1" spans="1:9">
      <c r="A80" s="37" t="str" cm="1">
        <f ca="1" t="array" ref="A80">IF((INDIRECT("'"&amp;INDIRECT("Main!B9")&amp;"'!A94"))=0,"",(INDIRECT("'"&amp;INDIRECT("Main!B9")&amp;"'!A94")))</f>
        <v/>
      </c>
      <c r="B80" s="37" t="str" cm="1">
        <f ca="1" t="array" ref="B80">IF((INDIRECT("'"&amp;INDIRECT("Main!B9")&amp;"'!B94"))=0,"",(INDIRECT("'"&amp;INDIRECT("Main!B9")&amp;"'!B94")))</f>
        <v/>
      </c>
      <c r="C80" s="36">
        <v>0</v>
      </c>
      <c r="D80" s="14"/>
      <c r="E80" s="14"/>
      <c r="F80" s="14"/>
      <c r="G80" s="14"/>
      <c r="H80" s="14"/>
      <c r="I80" s="47"/>
    </row>
    <row r="81" ht="24.75" customHeight="1" spans="1:9">
      <c r="A81" s="37" t="str" cm="1">
        <f ca="1" t="array" ref="A81">IF((INDIRECT("'"&amp;INDIRECT("Main!B9")&amp;"'!A95"))=0,"",(INDIRECT("'"&amp;INDIRECT("Main!B9")&amp;"'!A95")))</f>
        <v/>
      </c>
      <c r="B81" s="37" t="str" cm="1">
        <f ca="1" t="array" ref="B81">IF((INDIRECT("'"&amp;INDIRECT("Main!B9")&amp;"'!B95"))=0,"",(INDIRECT("'"&amp;INDIRECT("Main!B9")&amp;"'!B95")))</f>
        <v/>
      </c>
      <c r="C81" s="36">
        <v>0</v>
      </c>
      <c r="D81" s="14"/>
      <c r="E81" s="14"/>
      <c r="F81" s="14"/>
      <c r="G81" s="14"/>
      <c r="H81" s="14"/>
      <c r="I81" s="47"/>
    </row>
    <row r="82" ht="24.75" customHeight="1" spans="1:9">
      <c r="A82" s="37" t="str" cm="1">
        <f ca="1" t="array" ref="A82">IF((INDIRECT("'"&amp;INDIRECT("Main!B9")&amp;"'!A96"))=0,"",(INDIRECT("'"&amp;INDIRECT("Main!B9")&amp;"'!A96")))</f>
        <v/>
      </c>
      <c r="B82" s="37" t="str" cm="1">
        <f ca="1" t="array" ref="B82">IF((INDIRECT("'"&amp;INDIRECT("Main!B9")&amp;"'!B96"))=0,"",(INDIRECT("'"&amp;INDIRECT("Main!B9")&amp;"'!B96")))</f>
        <v/>
      </c>
      <c r="C82" s="36">
        <v>0</v>
      </c>
      <c r="D82" s="14"/>
      <c r="E82" s="14"/>
      <c r="F82" s="14"/>
      <c r="G82" s="14"/>
      <c r="H82" s="14"/>
      <c r="I82" s="47"/>
    </row>
    <row r="83" ht="24.75" customHeight="1" spans="1:9">
      <c r="A83" s="37" t="str" cm="1">
        <f ca="1" t="array" ref="A83">IF((INDIRECT("'"&amp;INDIRECT("Main!B9")&amp;"'!A97"))=0,"",(INDIRECT("'"&amp;INDIRECT("Main!B9")&amp;"'!A97")))</f>
        <v/>
      </c>
      <c r="B83" s="37" t="str" cm="1">
        <f ca="1" t="array" ref="B83">IF((INDIRECT("'"&amp;INDIRECT("Main!B9")&amp;"'!B97"))=0,"",(INDIRECT("'"&amp;INDIRECT("Main!B9")&amp;"'!B97")))</f>
        <v/>
      </c>
      <c r="C83" s="36">
        <v>0</v>
      </c>
      <c r="D83" s="14"/>
      <c r="E83" s="14"/>
      <c r="F83" s="14"/>
      <c r="G83" s="14"/>
      <c r="H83" s="14"/>
      <c r="I83" s="47"/>
    </row>
    <row r="84" ht="24.75" customHeight="1" spans="1:9">
      <c r="A84" s="37" t="str" cm="1">
        <f ca="1" t="array" ref="A84">IF((INDIRECT("'"&amp;INDIRECT("Main!B9")&amp;"'!A98"))=0,"",(INDIRECT("'"&amp;INDIRECT("Main!B9")&amp;"'!A98")))</f>
        <v/>
      </c>
      <c r="B84" s="37" t="str" cm="1">
        <f ca="1" t="array" ref="B84">IF((INDIRECT("'"&amp;INDIRECT("Main!B9")&amp;"'!B98"))=0,"",(INDIRECT("'"&amp;INDIRECT("Main!B9")&amp;"'!B98")))</f>
        <v/>
      </c>
      <c r="C84" s="36">
        <v>0</v>
      </c>
      <c r="D84" s="14"/>
      <c r="E84" s="14"/>
      <c r="F84" s="14"/>
      <c r="G84" s="14"/>
      <c r="H84" s="14"/>
      <c r="I84" s="47"/>
    </row>
    <row r="85" ht="24.75" customHeight="1" spans="1:9">
      <c r="A85" s="49"/>
      <c r="B85" s="39" t="s">
        <v>78</v>
      </c>
      <c r="C85" s="36">
        <f>SUM(C77:C84)</f>
        <v>0</v>
      </c>
      <c r="D85" s="14"/>
      <c r="E85" s="14"/>
      <c r="F85" s="14"/>
      <c r="G85" s="14"/>
      <c r="H85" s="14"/>
      <c r="I85" s="47"/>
    </row>
    <row r="86" ht="24.75" customHeight="1" spans="1:9">
      <c r="A86" s="32" t="s">
        <v>91</v>
      </c>
      <c r="B86" s="33"/>
      <c r="C86" s="34"/>
      <c r="D86" s="14"/>
      <c r="E86" s="14"/>
      <c r="F86" s="14"/>
      <c r="G86" s="14"/>
      <c r="H86" s="14"/>
      <c r="I86" s="47"/>
    </row>
    <row r="87" ht="24.75" customHeight="1" spans="1:9">
      <c r="A87" s="35" t="str" cm="1">
        <f ca="1" t="array" ref="A87">IF((INDIRECT("'"&amp;INDIRECT("Main!B9")&amp;"'!A101"))=0,"",(INDIRECT("'"&amp;INDIRECT("Main!B9")&amp;"'!A101")))</f>
        <v>Other Stuff</v>
      </c>
      <c r="B87" s="35" t="str" cm="1">
        <f ca="1" t="array" ref="B87">IF((INDIRECT("'"&amp;INDIRECT("Main!B9")&amp;"'!B101"))=0,"",(INDIRECT("'"&amp;INDIRECT("Main!B9")&amp;"'!B101")))</f>
        <v>Food, Transport….</v>
      </c>
      <c r="C87" s="36">
        <v>0</v>
      </c>
      <c r="D87" s="14"/>
      <c r="E87" s="14"/>
      <c r="F87" s="14"/>
      <c r="G87" s="14"/>
      <c r="H87" s="14"/>
      <c r="I87" s="47"/>
    </row>
    <row r="88" ht="24.75" customHeight="1" spans="1:9">
      <c r="A88" s="35" t="str" cm="1">
        <f ca="1" t="array" ref="A88">IF((INDIRECT("'"&amp;INDIRECT("Main!B9")&amp;"'!A102"))=0,"",(INDIRECT("'"&amp;INDIRECT("Main!B9")&amp;"'!A102")))</f>
        <v>Entertainment</v>
      </c>
      <c r="B88" s="35" t="str" cm="1">
        <f ca="1" t="array" ref="B88">IF((INDIRECT("'"&amp;INDIRECT("Main!B9")&amp;"'!B102"))=0,"",(INDIRECT("'"&amp;INDIRECT("Main!B9")&amp;"'!B102")))</f>
        <v>Sportify Music / Changed to Apple Music on 13th May 2025</v>
      </c>
      <c r="C88" s="36">
        <v>0</v>
      </c>
      <c r="D88" s="14"/>
      <c r="E88" s="14"/>
      <c r="F88" s="14"/>
      <c r="G88" s="14"/>
      <c r="H88" s="14"/>
      <c r="I88" s="47"/>
    </row>
    <row r="89" ht="24.75" customHeight="1" spans="1:9">
      <c r="A89" s="35" t="str" cm="1">
        <f ca="1" t="array" ref="A89">IF((INDIRECT("'"&amp;INDIRECT("Main!B9")&amp;"'!A103"))=0,"",(INDIRECT("'"&amp;INDIRECT("Main!B9")&amp;"'!A103")))</f>
        <v>Hair Cutting</v>
      </c>
      <c r="B89" s="35" t="str" cm="1">
        <f ca="1" t="array" ref="B89">IF((INDIRECT("'"&amp;INDIRECT("Main!B9")&amp;"'!B103"))=0,"",(INDIRECT("'"&amp;INDIRECT("Main!B9")&amp;"'!B103")))</f>
        <v>Hair Cut not Include Color treatment</v>
      </c>
      <c r="C89" s="36">
        <v>0</v>
      </c>
      <c r="D89" s="14"/>
      <c r="E89" s="14"/>
      <c r="F89" s="14"/>
      <c r="G89" s="14"/>
      <c r="H89" s="14"/>
      <c r="I89" s="47"/>
    </row>
    <row r="90" ht="40.5" customHeight="1" spans="1:9">
      <c r="A90" s="37" t="str" cm="1">
        <f ca="1" t="array" ref="A90">IF((INDIRECT("'"&amp;INDIRECT("Main!B9")&amp;"'!A104"))=0,"",(INDIRECT("'"&amp;INDIRECT("Main!B9")&amp;"'!A104")))</f>
        <v>Cigarettes</v>
      </c>
      <c r="B90" s="37" t="str" cm="1">
        <f ca="1" t="array" ref="B90">IF((INDIRECT("'"&amp;INDIRECT("Main!B9")&amp;"'!B104"))=0,"",(INDIRECT("'"&amp;INDIRECT("Main!B9")&amp;"'!B104")))</f>
        <v>30 packets</v>
      </c>
      <c r="C90" s="36">
        <v>0</v>
      </c>
      <c r="D90" s="14"/>
      <c r="E90" s="67"/>
      <c r="F90" s="14"/>
      <c r="G90" s="14"/>
      <c r="H90" s="14"/>
      <c r="I90" s="47"/>
    </row>
    <row r="91" ht="35.25" customHeight="1" spans="1:9">
      <c r="A91" s="37" t="str" cm="1">
        <f ca="1" t="array" ref="A91">IF((INDIRECT("'"&amp;INDIRECT("Main!B9")&amp;"'!A105"))=0,"",(INDIRECT("'"&amp;INDIRECT("Main!B9")&amp;"'!A105")))</f>
        <v/>
      </c>
      <c r="B91" s="37" t="str" cm="1">
        <f ca="1" t="array" ref="B91">IF((INDIRECT("'"&amp;INDIRECT("Main!B9")&amp;"'!B105"))=0,"",(INDIRECT("'"&amp;INDIRECT("Main!B9")&amp;"'!B105")))</f>
        <v/>
      </c>
      <c r="C91" s="36">
        <v>0</v>
      </c>
      <c r="D91" s="14"/>
      <c r="E91" s="14"/>
      <c r="F91" s="14"/>
      <c r="G91" s="14"/>
      <c r="H91" s="14"/>
      <c r="I91" s="47"/>
    </row>
    <row r="92" ht="24.75" customHeight="1" spans="1:9">
      <c r="A92" s="37" t="str" cm="1">
        <f ca="1" t="array" ref="A92">IF((INDIRECT("'"&amp;INDIRECT("Main!B9")&amp;"'!A106"))=0,"",(INDIRECT("'"&amp;INDIRECT("Main!B9")&amp;"'!A106")))</f>
        <v/>
      </c>
      <c r="B92" s="37" t="str" cm="1">
        <f ca="1" t="array" ref="B92">IF((INDIRECT("'"&amp;INDIRECT("Main!B9")&amp;"'!B106"))=0,"",(INDIRECT("'"&amp;INDIRECT("Main!B9")&amp;"'!B106")))</f>
        <v/>
      </c>
      <c r="C92" s="36">
        <v>0</v>
      </c>
      <c r="D92" s="14"/>
      <c r="E92" s="14"/>
      <c r="F92" s="14"/>
      <c r="G92" s="14"/>
      <c r="H92" s="14"/>
      <c r="I92" s="47"/>
    </row>
    <row r="93" ht="24.75" customHeight="1" spans="1:9">
      <c r="A93" s="37" t="str" cm="1">
        <f ca="1" t="array" ref="A93">IF((INDIRECT("'"&amp;INDIRECT("Main!B9")&amp;"'!A107"))=0,"",(INDIRECT("'"&amp;INDIRECT("Main!B9")&amp;"'!A107")))</f>
        <v/>
      </c>
      <c r="B93" s="37" t="str" cm="1">
        <f ca="1" t="array" ref="B93">IF((INDIRECT("'"&amp;INDIRECT("Main!B9")&amp;"'!B107"))=0,"",(INDIRECT("'"&amp;INDIRECT("Main!B9")&amp;"'!B107")))</f>
        <v/>
      </c>
      <c r="C93" s="36">
        <v>0</v>
      </c>
      <c r="D93" s="14"/>
      <c r="E93" s="14"/>
      <c r="F93" s="14"/>
      <c r="G93" s="14"/>
      <c r="H93" s="14"/>
      <c r="I93" s="47"/>
    </row>
    <row r="94" ht="24.75" customHeight="1" spans="1:9">
      <c r="A94" s="37" t="str" cm="1">
        <f ca="1" t="array" ref="A94">IF((INDIRECT("'"&amp;INDIRECT("Main!B9")&amp;"'!A108"))=0,"",(INDIRECT("'"&amp;INDIRECT("Main!B9")&amp;"'!A108")))</f>
        <v/>
      </c>
      <c r="B94" s="37" t="str" cm="1">
        <f ca="1" t="array" ref="B94">IF((INDIRECT("'"&amp;INDIRECT("Main!B9")&amp;"'!B108"))=0,"",(INDIRECT("'"&amp;INDIRECT("Main!B9")&amp;"'!B108")))</f>
        <v/>
      </c>
      <c r="C94" s="36">
        <v>0</v>
      </c>
      <c r="D94" s="14"/>
      <c r="E94" s="14"/>
      <c r="F94" s="14"/>
      <c r="G94" s="14"/>
      <c r="H94" s="14"/>
      <c r="I94" s="47"/>
    </row>
    <row r="95" ht="24.75" customHeight="1" spans="1:9">
      <c r="A95" s="51"/>
      <c r="B95" s="39" t="s">
        <v>78</v>
      </c>
      <c r="C95" s="36">
        <f>SUM(C87:C94)</f>
        <v>0</v>
      </c>
      <c r="D95" s="14"/>
      <c r="E95" s="14"/>
      <c r="F95" s="14"/>
      <c r="G95" s="14"/>
      <c r="H95" s="14"/>
      <c r="I95" s="47"/>
    </row>
    <row r="96" ht="24.75" customHeight="1" spans="1:9">
      <c r="A96" s="49"/>
      <c r="B96" s="39" t="s">
        <v>100</v>
      </c>
      <c r="C96" s="36">
        <f>C55+C66+C75+C85+C95</f>
        <v>0</v>
      </c>
      <c r="D96" s="14"/>
      <c r="E96" s="14"/>
      <c r="F96" s="14"/>
      <c r="G96" s="14"/>
      <c r="H96" s="14"/>
      <c r="I96" s="47"/>
    </row>
    <row r="97" ht="24.75" customHeight="1" spans="1:9">
      <c r="A97" s="32" t="s">
        <v>101</v>
      </c>
      <c r="B97" s="33"/>
      <c r="C97" s="34"/>
      <c r="D97" s="14"/>
      <c r="E97" s="14"/>
      <c r="F97" s="14"/>
      <c r="G97" s="14"/>
      <c r="H97" s="14"/>
      <c r="I97" s="47"/>
    </row>
    <row r="98" ht="24.75" customHeight="1" spans="1:9">
      <c r="A98" s="35" t="str" cm="1">
        <f ca="1" t="array" ref="A98">IF((INDIRECT("'"&amp;INDIRECT("Main!B9")&amp;"'!A112"))=0,"",(INDIRECT("'"&amp;INDIRECT("Main!B9")&amp;"'!A112")))</f>
        <v>Mother</v>
      </c>
      <c r="B98" s="35" t="str" cm="1">
        <f ca="1" t="array" ref="B98">IF((INDIRECT("'"&amp;INDIRECT("Main!B9")&amp;"'!B112"))=0,"",(INDIRECT("'"&amp;INDIRECT("Main!B9")&amp;"'!B112")))</f>
        <v/>
      </c>
      <c r="C98" s="36" cm="1">
        <f ca="1" t="array" ref="C98">INDIRECT("'"&amp;INDIRECT("Main!B51")&amp;"'!C98")+SUM(E118+E145+E172)</f>
        <v>0</v>
      </c>
      <c r="D98" s="14"/>
      <c r="E98" s="68"/>
      <c r="F98" s="14"/>
      <c r="G98" s="14"/>
      <c r="H98" s="14"/>
      <c r="I98" s="47"/>
    </row>
    <row r="99" ht="24.75" customHeight="1" spans="1:9">
      <c r="A99" s="35" t="str" cm="1">
        <f ca="1" t="array" ref="A99">IF((INDIRECT("'"&amp;INDIRECT("Main!B9")&amp;"'!A113"))=0,"",(INDIRECT("'"&amp;INDIRECT("Main!B9")&amp;"'!A113")))</f>
        <v>Ng Wing Lam</v>
      </c>
      <c r="B99" s="35" t="str" cm="1">
        <f ca="1" t="array" ref="B99">IF((INDIRECT("'"&amp;INDIRECT("Main!B9")&amp;"'!B113"))=0,"",(INDIRECT("'"&amp;INDIRECT("Main!B9")&amp;"'!B113")))</f>
        <v/>
      </c>
      <c r="C99" s="36" cm="1">
        <f ca="1" t="array" ref="C99">INDIRECT("'"&amp;INDIRECT("Main!B51")&amp;"'!C99")+SUM(E119+E146+E173)</f>
        <v>0</v>
      </c>
      <c r="D99" s="14"/>
      <c r="E99" s="14"/>
      <c r="F99" s="14"/>
      <c r="G99" s="14"/>
      <c r="H99" s="14"/>
      <c r="I99" s="47"/>
    </row>
    <row r="100" ht="24.75" customHeight="1" spans="1:9">
      <c r="A100" s="35" t="str" cm="1">
        <f ca="1" t="array" ref="A100">IF((INDIRECT("'"&amp;INDIRECT("Main!B9")&amp;"'!A114"))=0,"",(INDIRECT("'"&amp;INDIRECT("Main!B9")&amp;"'!A114")))</f>
        <v>Lawrence</v>
      </c>
      <c r="B100" s="35" t="str" cm="1">
        <f ca="1" t="array" ref="B100">IF((INDIRECT("'"&amp;INDIRECT("Main!B9")&amp;"'!B114"))=0,"",(INDIRECT("'"&amp;INDIRECT("Main!B9")&amp;"'!B114")))</f>
        <v/>
      </c>
      <c r="C100" s="36" cm="1">
        <f ca="1" t="array" ref="C100">INDIRECT("'"&amp;INDIRECT("Main!B51")&amp;"'!C100")+SUM(E120+E147+E174)</f>
        <v>0</v>
      </c>
      <c r="D100" s="14"/>
      <c r="E100" s="14"/>
      <c r="F100" s="14"/>
      <c r="G100" s="14"/>
      <c r="H100" s="14"/>
      <c r="I100" s="47"/>
    </row>
    <row r="101" ht="24.75" customHeight="1" spans="1:9">
      <c r="A101" s="37" t="str" cm="1">
        <f ca="1" t="array" ref="A101">IF((INDIRECT("'"&amp;INDIRECT("Main!B9")&amp;"'!A115"))=0,"",(INDIRECT("'"&amp;INDIRECT("Main!B9")&amp;"'!A115")))</f>
        <v>Hong Kong Government Hospital Authority</v>
      </c>
      <c r="B101" s="37" t="str" cm="1">
        <f ca="1" t="array" ref="B101">IF((INDIRECT("'"&amp;INDIRECT("Main!B9")&amp;"'!B115"))=0,"",(INDIRECT("'"&amp;INDIRECT("Main!B9")&amp;"'!B115")))</f>
        <v/>
      </c>
      <c r="C101" s="36" cm="1">
        <f ca="1" t="array" ref="C101">INDIRECT("'"&amp;INDIRECT("Main!B51")&amp;"'!C101")+SUM(E121+E148+E175)</f>
        <v>0</v>
      </c>
      <c r="D101" s="14"/>
      <c r="E101" s="14"/>
      <c r="F101" s="14"/>
      <c r="G101" s="14"/>
      <c r="H101" s="14"/>
      <c r="I101" s="47"/>
    </row>
    <row r="102" ht="24.75" customHeight="1" spans="1:9">
      <c r="A102" s="37" t="str" cm="1">
        <f ca="1" t="array" ref="A102">IF((INDIRECT("'"&amp;INDIRECT("Main!B9")&amp;"'!A116"))=0,"",(INDIRECT("'"&amp;INDIRECT("Main!B9")&amp;"'!A116")))</f>
        <v>Bankruptcy Department / Bank</v>
      </c>
      <c r="B102" s="37" t="str" cm="1">
        <f ca="1" t="array" ref="B102">IF((INDIRECT("'"&amp;INDIRECT("Main!B9")&amp;"'!B116"))=0,"",(INDIRECT("'"&amp;INDIRECT("Main!B9")&amp;"'!B116")))</f>
        <v/>
      </c>
      <c r="C102" s="36" cm="1">
        <f ca="1" t="array" ref="C102">INDIRECT("'"&amp;INDIRECT("Main!B51")&amp;"'!C102")+SUM(E122+E149+E176)</f>
        <v>0</v>
      </c>
      <c r="D102" s="14"/>
      <c r="E102" s="14"/>
      <c r="F102" s="14"/>
      <c r="G102" s="14"/>
      <c r="H102" s="14"/>
      <c r="I102" s="47"/>
    </row>
    <row r="103" ht="24.75" customHeight="1" spans="1:9">
      <c r="A103" s="37" t="str" cm="1">
        <f ca="1" t="array" ref="A103">IF((INDIRECT("'"&amp;INDIRECT("Main!B9")&amp;"'!A117"))=0,"",(INDIRECT("'"&amp;INDIRECT("Main!B9")&amp;"'!A117")))</f>
        <v>Mother Air Ticket</v>
      </c>
      <c r="B103" s="37" t="str" cm="1">
        <f ca="1" t="array" ref="B103">IF((INDIRECT("'"&amp;INDIRECT("Main!B9")&amp;"'!B117"))=0,"",(INDIRECT("'"&amp;INDIRECT("Main!B9")&amp;"'!B117")))</f>
        <v/>
      </c>
      <c r="C103" s="36" cm="1">
        <f ca="1" t="array" ref="C103">INDIRECT("'"&amp;INDIRECT("Main!B51")&amp;"'!C103")+SUM(E123+E150+E177)</f>
        <v>0</v>
      </c>
      <c r="D103" s="14"/>
      <c r="E103" s="14"/>
      <c r="F103" s="14"/>
      <c r="G103" s="14"/>
      <c r="H103" s="14"/>
      <c r="I103" s="47"/>
    </row>
    <row r="104" ht="24.75" customHeight="1" spans="1:9">
      <c r="A104" s="37" t="str" cm="1">
        <f ca="1" t="array" ref="A104">IF((INDIRECT("'"&amp;INDIRECT("Main!B9")&amp;"'!A118"))=0,"",(INDIRECT("'"&amp;INDIRECT("Main!B9")&amp;"'!A118")))</f>
        <v/>
      </c>
      <c r="B104" s="37" t="str" cm="1">
        <f ca="1" t="array" ref="B104">IF((INDIRECT("'"&amp;INDIRECT("Main!B9")&amp;"'!B118"))=0,"",(INDIRECT("'"&amp;INDIRECT("Main!B9")&amp;"'!B118")))</f>
        <v/>
      </c>
      <c r="C104" s="36" cm="1">
        <f ca="1" t="array" ref="C104">INDIRECT("'"&amp;INDIRECT("Main!B51")&amp;"'!C104")+SUM(E124+E151+E178)</f>
        <v>0</v>
      </c>
      <c r="D104" s="14"/>
      <c r="E104" s="14"/>
      <c r="F104" s="14"/>
      <c r="G104" s="14"/>
      <c r="H104" s="14"/>
      <c r="I104" s="47"/>
    </row>
    <row r="105" ht="24.75" customHeight="1" spans="1:9">
      <c r="A105" s="37" t="str" cm="1">
        <f ca="1" t="array" ref="A105">IF((INDIRECT("'"&amp;INDIRECT("Main!B9")&amp;"'!A119"))=0,"",(INDIRECT("'"&amp;INDIRECT("Main!B9")&amp;"'!A119")))</f>
        <v/>
      </c>
      <c r="B105" s="37" t="str" cm="1">
        <f ca="1" t="array" ref="B105">IF((INDIRECT("'"&amp;INDIRECT("Main!B9")&amp;"'!B119"))=0,"",(INDIRECT("'"&amp;INDIRECT("Main!B9")&amp;"'!B119")))</f>
        <v/>
      </c>
      <c r="C105" s="36" cm="1">
        <f ca="1" t="array" ref="C105">INDIRECT("'"&amp;INDIRECT("Main!B51")&amp;"'!C105")+SUM(E125+E152+E179)</f>
        <v>0</v>
      </c>
      <c r="D105" s="14"/>
      <c r="E105" s="14"/>
      <c r="F105" s="14"/>
      <c r="G105" s="14"/>
      <c r="H105" s="14"/>
      <c r="I105" s="47"/>
    </row>
    <row r="106" ht="24.75" customHeight="1" spans="1:9">
      <c r="A106" s="37" t="str" cm="1">
        <f ca="1" t="array" ref="A106">IF((INDIRECT("'"&amp;INDIRECT("Main!B9")&amp;"'!A120"))=0,"",(INDIRECT("'"&amp;INDIRECT("Main!B9")&amp;"'!A120")))</f>
        <v/>
      </c>
      <c r="B106" s="37" t="str" cm="1">
        <f ca="1" t="array" ref="B106">IF((INDIRECT("'"&amp;INDIRECT("Main!B9")&amp;"'!B120"))=0,"",(INDIRECT("'"&amp;INDIRECT("Main!B9")&amp;"'!B120")))</f>
        <v/>
      </c>
      <c r="C106" s="36" cm="1">
        <f ca="1" t="array" ref="C106">INDIRECT("'"&amp;INDIRECT("Main!B51")&amp;"'!C106")+SUM(E126+E153+E180)</f>
        <v>0</v>
      </c>
      <c r="D106" s="14"/>
      <c r="E106" s="14"/>
      <c r="F106" s="14"/>
      <c r="G106" s="14"/>
      <c r="H106" s="14"/>
      <c r="I106" s="47"/>
    </row>
    <row r="107" ht="24.75" customHeight="1" spans="1:9">
      <c r="A107" s="37" t="str" cm="1">
        <f ca="1" t="array" ref="A107">IF((INDIRECT("'"&amp;INDIRECT("Main!B9")&amp;"'!A121"))=0,"",(INDIRECT("'"&amp;INDIRECT("Main!B9")&amp;"'!A121")))</f>
        <v/>
      </c>
      <c r="B107" s="37" t="str" cm="1">
        <f ca="1" t="array" ref="B107">IF((INDIRECT("'"&amp;INDIRECT("Main!B9")&amp;"'!B121"))=0,"",(INDIRECT("'"&amp;INDIRECT("Main!B9")&amp;"'!B121")))</f>
        <v/>
      </c>
      <c r="C107" s="36" cm="1">
        <f ca="1" t="array" ref="C107">INDIRECT("'"&amp;INDIRECT("Main!B51")&amp;"'!C107")+SUM(E127+E154+E181)</f>
        <v>0</v>
      </c>
      <c r="D107" s="14"/>
      <c r="E107" s="14"/>
      <c r="F107" s="14"/>
      <c r="G107" s="14"/>
      <c r="H107" s="14"/>
      <c r="I107" s="47"/>
    </row>
    <row r="108" ht="24.75" customHeight="1" spans="1:9">
      <c r="A108" s="49"/>
      <c r="B108" s="39" t="s">
        <v>108</v>
      </c>
      <c r="C108" s="36">
        <f ca="1">SUM(C98:C107)</f>
        <v>0</v>
      </c>
      <c r="D108" s="14"/>
      <c r="E108" s="14"/>
      <c r="F108" s="14"/>
      <c r="G108" s="14"/>
      <c r="H108" s="14"/>
      <c r="I108" s="47"/>
    </row>
    <row r="109" ht="24.75" customHeight="1" spans="1:9">
      <c r="A109" s="49"/>
      <c r="B109" s="39" t="s">
        <v>109</v>
      </c>
      <c r="C109" s="36">
        <f ca="1">C108-C96</f>
        <v>0</v>
      </c>
      <c r="D109" s="14"/>
      <c r="E109" s="14"/>
      <c r="F109" s="14"/>
      <c r="G109" s="14"/>
      <c r="H109" s="14"/>
      <c r="I109" s="47"/>
    </row>
    <row r="110" ht="24.75" customHeight="1" spans="1:9">
      <c r="A110" s="14"/>
      <c r="B110" s="14"/>
      <c r="C110" s="14"/>
      <c r="D110" s="14"/>
      <c r="E110" s="14"/>
      <c r="F110" s="14"/>
      <c r="G110" s="14"/>
      <c r="H110" s="14"/>
      <c r="I110" s="47"/>
    </row>
    <row r="111" ht="24.75" customHeight="1" spans="1:9">
      <c r="A111" s="14"/>
      <c r="B111" s="14"/>
      <c r="C111" s="14"/>
      <c r="D111" s="14"/>
      <c r="E111" s="14"/>
      <c r="F111" s="14"/>
      <c r="G111" s="14"/>
      <c r="H111" s="14"/>
      <c r="I111" s="47"/>
    </row>
    <row r="112" ht="24.75" customHeight="1" spans="1:9">
      <c r="A112" s="14"/>
      <c r="B112" s="14"/>
      <c r="C112" s="14"/>
      <c r="D112" s="14"/>
      <c r="E112" s="14"/>
      <c r="F112" s="14"/>
      <c r="G112" s="14"/>
      <c r="H112" s="14"/>
      <c r="I112" s="47"/>
    </row>
    <row r="113" ht="24.75" customHeight="1" spans="1:9">
      <c r="A113" s="14"/>
      <c r="B113" s="14"/>
      <c r="C113" s="14"/>
      <c r="D113" s="14"/>
      <c r="E113" s="14"/>
      <c r="F113" s="14"/>
      <c r="G113" s="14"/>
      <c r="H113" s="14"/>
      <c r="I113" s="47"/>
    </row>
    <row r="114" ht="24.75" customHeight="1" spans="1:9">
      <c r="A114" s="52" t="str">
        <f>"Debts Or Credits For the Comming "&amp;IF(Main!B2,TEXT(EDATE(Main!B3,45),"mmmm dd yyyy"),TEXT(Main!B3+((Main!B5-Main!B3)*45+45),"mmmm dd yyyy"))&amp;" to "&amp;IF(Main!B2,TEXT(EDATE(Main!B3,46)-1,"mmmm dd yyyy"),TEXT(Main!B3+((Main!B5-Main!B3)*46+45),"mmmm dd yyyy"))</f>
        <v>Debts Or Credits For the Comming January 20 2028 to February 19 2028</v>
      </c>
      <c r="B114" s="53"/>
      <c r="C114" s="53"/>
      <c r="D114" s="53"/>
      <c r="E114" s="54"/>
      <c r="F114" s="14"/>
      <c r="G114" s="14"/>
      <c r="H114" s="14"/>
      <c r="I114" s="47"/>
    </row>
    <row r="115" ht="24.75" customHeight="1" spans="1:9">
      <c r="A115" s="52" t="s">
        <v>110</v>
      </c>
      <c r="B115" s="54"/>
      <c r="C115" s="52" t="s">
        <v>49</v>
      </c>
      <c r="D115" s="54"/>
      <c r="E115" s="69" t="s">
        <v>50</v>
      </c>
      <c r="F115" s="14"/>
      <c r="G115" s="14"/>
      <c r="H115" s="14"/>
      <c r="I115" s="47"/>
    </row>
    <row r="116" ht="24.75" customHeight="1" spans="1:9">
      <c r="A116" s="55" t="str">
        <f>"Balance Brought Forward From "&amp;IF(Main!B2,TEXT(EDATE(Main!B3,45)-1,"mmmm yyyy"),TEXT(Main!B3+((Main!B5-Main!B3)*45+44),"mmmm yyyy"))</f>
        <v>Balance Brought Forward From January 2028</v>
      </c>
      <c r="B116" s="56"/>
      <c r="C116" s="57"/>
      <c r="D116" s="57"/>
      <c r="E116" s="70" cm="1">
        <f ca="1" t="array" ref="E116">INDIRECT("'"&amp;INDIRECT("Main!B51")&amp;"'!E190")</f>
        <v>14234.3</v>
      </c>
      <c r="F116" s="14"/>
      <c r="G116" s="14"/>
      <c r="H116" s="14"/>
      <c r="I116" s="47"/>
    </row>
    <row r="117" ht="24.75" customHeight="1" spans="1:9">
      <c r="A117" s="58" t="s">
        <v>91</v>
      </c>
      <c r="B117" s="59"/>
      <c r="C117" s="60" t="s">
        <v>111</v>
      </c>
      <c r="D117" s="61"/>
      <c r="E117" s="71"/>
      <c r="F117" s="14"/>
      <c r="G117" s="14"/>
      <c r="H117" s="14"/>
      <c r="I117" s="47"/>
    </row>
    <row r="118" ht="24.75" customHeight="1" spans="1:9">
      <c r="A118" s="62"/>
      <c r="B118" s="63"/>
      <c r="C118" s="64"/>
      <c r="D118" s="65"/>
      <c r="E118" s="36">
        <v>0</v>
      </c>
      <c r="F118" s="14"/>
      <c r="G118" s="14"/>
      <c r="H118" s="14"/>
      <c r="I118" s="47"/>
    </row>
    <row r="119" ht="24.75" customHeight="1" spans="1:9">
      <c r="A119" s="62"/>
      <c r="B119" s="63"/>
      <c r="C119" s="64"/>
      <c r="D119" s="65"/>
      <c r="E119" s="36">
        <v>0</v>
      </c>
      <c r="F119" s="14"/>
      <c r="G119" s="14"/>
      <c r="H119" s="14"/>
      <c r="I119" s="47"/>
    </row>
    <row r="120" ht="24.75" customHeight="1" spans="1:9">
      <c r="A120" s="62"/>
      <c r="B120" s="63"/>
      <c r="C120" s="64"/>
      <c r="D120" s="65"/>
      <c r="E120" s="36">
        <v>0</v>
      </c>
      <c r="F120" s="14"/>
      <c r="G120" s="14"/>
      <c r="H120" s="14"/>
      <c r="I120" s="47"/>
    </row>
    <row r="121" ht="24.75" customHeight="1" spans="1:9">
      <c r="A121" s="62"/>
      <c r="B121" s="63"/>
      <c r="C121" s="64"/>
      <c r="D121" s="65"/>
      <c r="E121" s="36">
        <v>0</v>
      </c>
      <c r="F121" s="14"/>
      <c r="G121" s="14"/>
      <c r="H121" s="14"/>
      <c r="I121" s="47"/>
    </row>
    <row r="122" ht="24.75" customHeight="1" spans="1:9">
      <c r="A122" s="62"/>
      <c r="B122" s="63"/>
      <c r="C122" s="64"/>
      <c r="D122" s="65"/>
      <c r="E122" s="36">
        <v>0</v>
      </c>
      <c r="F122" s="14"/>
      <c r="G122" s="14"/>
      <c r="H122" s="14"/>
      <c r="I122" s="47"/>
    </row>
    <row r="123" ht="24.75" customHeight="1" spans="1:9">
      <c r="A123" s="62"/>
      <c r="B123" s="63"/>
      <c r="C123" s="64"/>
      <c r="D123" s="65"/>
      <c r="E123" s="36">
        <v>0</v>
      </c>
      <c r="F123" s="14"/>
      <c r="G123" s="14"/>
      <c r="H123" s="14"/>
      <c r="I123" s="47"/>
    </row>
    <row r="124" ht="24.75" customHeight="1" spans="1:9">
      <c r="A124" s="62"/>
      <c r="B124" s="63"/>
      <c r="C124" s="64"/>
      <c r="D124" s="65"/>
      <c r="E124" s="36">
        <v>0</v>
      </c>
      <c r="F124" s="14"/>
      <c r="G124" s="14"/>
      <c r="H124" s="14"/>
      <c r="I124" s="47"/>
    </row>
    <row r="125" ht="24.75" customHeight="1" spans="1:9">
      <c r="A125" s="62"/>
      <c r="B125" s="63"/>
      <c r="C125" s="64"/>
      <c r="D125" s="65"/>
      <c r="E125" s="36">
        <v>0</v>
      </c>
      <c r="F125" s="14"/>
      <c r="G125" s="14"/>
      <c r="H125" s="14"/>
      <c r="I125" s="47"/>
    </row>
    <row r="126" ht="24.75" customHeight="1" spans="1:9">
      <c r="A126" s="62"/>
      <c r="B126" s="63"/>
      <c r="C126" s="64"/>
      <c r="D126" s="65"/>
      <c r="E126" s="36">
        <v>0</v>
      </c>
      <c r="F126" s="14"/>
      <c r="G126" s="14"/>
      <c r="H126" s="14"/>
      <c r="I126" s="47"/>
    </row>
    <row r="127" ht="24.75" customHeight="1" spans="1:9">
      <c r="A127" s="62"/>
      <c r="B127" s="63"/>
      <c r="C127" s="64"/>
      <c r="D127" s="65"/>
      <c r="E127" s="36">
        <v>0</v>
      </c>
      <c r="F127" s="14"/>
      <c r="G127" s="14"/>
      <c r="H127" s="14"/>
      <c r="I127" s="47"/>
    </row>
    <row r="128" ht="24.75" customHeight="1" spans="1:9">
      <c r="A128" s="62"/>
      <c r="B128" s="63"/>
      <c r="C128" s="66" t="s">
        <v>112</v>
      </c>
      <c r="D128" s="61"/>
      <c r="E128" s="71"/>
      <c r="F128" s="14"/>
      <c r="G128" s="14"/>
      <c r="H128" s="14"/>
      <c r="I128" s="47"/>
    </row>
    <row r="129" ht="24.75" customHeight="1" spans="1:9">
      <c r="A129" s="62"/>
      <c r="B129" s="63"/>
      <c r="C129" s="72"/>
      <c r="D129" s="73"/>
      <c r="E129" s="86">
        <v>0</v>
      </c>
      <c r="F129" s="14"/>
      <c r="G129" s="14"/>
      <c r="H129" s="14"/>
      <c r="I129" s="47"/>
    </row>
    <row r="130" ht="24.75" customHeight="1" spans="1:9">
      <c r="A130" s="62"/>
      <c r="B130" s="63"/>
      <c r="C130" s="64"/>
      <c r="D130" s="65"/>
      <c r="E130" s="86">
        <v>0</v>
      </c>
      <c r="F130" s="14"/>
      <c r="G130" s="14"/>
      <c r="H130" s="14"/>
      <c r="I130" s="47"/>
    </row>
    <row r="131" ht="24.75" customHeight="1" spans="1:9">
      <c r="A131" s="62"/>
      <c r="B131" s="63"/>
      <c r="C131" s="64"/>
      <c r="D131" s="65"/>
      <c r="E131" s="86">
        <v>0</v>
      </c>
      <c r="F131" s="14"/>
      <c r="G131" s="14"/>
      <c r="H131" s="14"/>
      <c r="I131" s="47"/>
    </row>
    <row r="132" ht="24.75" customHeight="1" spans="1:9">
      <c r="A132" s="62"/>
      <c r="B132" s="63"/>
      <c r="C132" s="64"/>
      <c r="D132" s="65"/>
      <c r="E132" s="86">
        <v>0</v>
      </c>
      <c r="F132" s="14"/>
      <c r="G132" s="14"/>
      <c r="H132" s="14"/>
      <c r="I132" s="47"/>
    </row>
    <row r="133" ht="24.75" customHeight="1" spans="1:9">
      <c r="A133" s="62"/>
      <c r="B133" s="63"/>
      <c r="C133" s="64"/>
      <c r="D133" s="65"/>
      <c r="E133" s="86">
        <v>0</v>
      </c>
      <c r="F133" s="14"/>
      <c r="G133" s="14"/>
      <c r="H133" s="14"/>
      <c r="I133" s="47"/>
    </row>
    <row r="134" ht="24.75" customHeight="1" spans="1:9">
      <c r="A134" s="74"/>
      <c r="B134" s="75"/>
      <c r="C134" s="64"/>
      <c r="D134" s="65"/>
      <c r="E134" s="86">
        <v>0</v>
      </c>
      <c r="F134" s="14"/>
      <c r="G134" s="14"/>
      <c r="H134" s="14"/>
      <c r="I134" s="47"/>
    </row>
    <row r="135" ht="24.75" customHeight="1" spans="1:9">
      <c r="A135" s="55" t="s">
        <v>113</v>
      </c>
      <c r="B135" s="76"/>
      <c r="C135" s="77"/>
      <c r="D135" s="78"/>
      <c r="E135" s="86">
        <f>C96</f>
        <v>0</v>
      </c>
      <c r="F135" s="14"/>
      <c r="G135" s="14"/>
      <c r="H135" s="14"/>
      <c r="I135" s="47"/>
    </row>
    <row r="136" ht="24.75" customHeight="1" spans="1:9">
      <c r="A136" s="79"/>
      <c r="B136" s="80"/>
      <c r="C136" s="81" t="s">
        <v>114</v>
      </c>
      <c r="D136" s="81"/>
      <c r="E136" s="87">
        <f ca="1">(F16+E116)-(SUM(E118:E127)+SUM(E129:E135))</f>
        <v>14234.3</v>
      </c>
      <c r="F136" s="14"/>
      <c r="G136" s="14"/>
      <c r="H136" s="14"/>
      <c r="I136" s="47"/>
    </row>
    <row r="137" ht="24.75" customHeight="1" spans="1:9">
      <c r="A137" s="14"/>
      <c r="B137" s="14"/>
      <c r="C137" s="14"/>
      <c r="D137" s="14"/>
      <c r="E137" s="14"/>
      <c r="F137" s="14"/>
      <c r="G137" s="14"/>
      <c r="H137" s="14"/>
      <c r="I137" s="47"/>
    </row>
    <row r="138" ht="24.75" customHeight="1" spans="1:9">
      <c r="A138" s="14"/>
      <c r="B138" s="14"/>
      <c r="C138" s="14"/>
      <c r="D138" s="14"/>
      <c r="E138" s="14"/>
      <c r="F138" s="14"/>
      <c r="G138" s="14"/>
      <c r="H138" s="14"/>
      <c r="I138" s="47"/>
    </row>
    <row r="139" ht="24.75" customHeight="1" spans="1:9">
      <c r="A139" s="14"/>
      <c r="B139" s="14"/>
      <c r="C139" s="14"/>
      <c r="D139" s="14"/>
      <c r="E139" s="14"/>
      <c r="F139" s="14"/>
      <c r="G139" s="14"/>
      <c r="H139" s="14"/>
      <c r="I139" s="47"/>
    </row>
    <row r="140" ht="24.75" customHeight="1" spans="1:9">
      <c r="A140" s="14"/>
      <c r="B140" s="14"/>
      <c r="C140" s="14"/>
      <c r="D140" s="14"/>
      <c r="E140" s="14"/>
      <c r="F140" s="14"/>
      <c r="G140" s="14"/>
      <c r="H140" s="14"/>
      <c r="I140" s="47"/>
    </row>
    <row r="141" ht="24.75" customHeight="1" spans="1:9">
      <c r="A141" s="52" t="str">
        <f>"Debts Or Credits For the Comming "&amp;IF(Main!B2,TEXT(EDATE(Main!B3,46),"mmmm dd yyyy"),TEXT(Main!B3+((Main!B5-Main!B3)*46+46),"dd mmmm yyyy"))&amp;" to "&amp;IF(Main!B2,TEXT(EDATE(Main!B3,47)-1,"mmmm dd yyyy"),TEXT(Main!B3+((Main!B5-Main!B3)*47+46),"mmmm dd yyyy"))</f>
        <v>Debts Or Credits For the Comming February 20 2028 to March 19 2028</v>
      </c>
      <c r="B141" s="53"/>
      <c r="C141" s="53"/>
      <c r="D141" s="53"/>
      <c r="E141" s="54"/>
      <c r="F141" s="14"/>
      <c r="G141" s="14"/>
      <c r="H141" s="14"/>
      <c r="I141" s="47"/>
    </row>
    <row r="142" ht="24.75" customHeight="1" spans="1:9">
      <c r="A142" s="52" t="s">
        <v>110</v>
      </c>
      <c r="B142" s="54"/>
      <c r="C142" s="82" t="s">
        <v>49</v>
      </c>
      <c r="D142" s="83"/>
      <c r="E142" s="88" t="s">
        <v>50</v>
      </c>
      <c r="F142" s="14"/>
      <c r="G142" s="14"/>
      <c r="H142" s="14"/>
      <c r="I142" s="47"/>
    </row>
    <row r="143" ht="24.75" customHeight="1" spans="1:9">
      <c r="A143" s="55" t="str">
        <f>"Balance Brought Forward From "&amp;IF(Main!B2,TEXT(EDATE(Main!B3,46)-1,"mmmm yyyy"),TEXT(Main!B3+((Main!B5-Main!B3)*46+45),"mmmm yyyy"))</f>
        <v>Balance Brought Forward From February 2028</v>
      </c>
      <c r="B143" s="56"/>
      <c r="C143" s="57"/>
      <c r="D143" s="57"/>
      <c r="E143" s="87">
        <f ca="1">E136</f>
        <v>14234.3</v>
      </c>
      <c r="F143" s="14"/>
      <c r="G143" s="14"/>
      <c r="H143" s="14"/>
      <c r="I143" s="47"/>
    </row>
    <row r="144" ht="24.75" customHeight="1" spans="1:9">
      <c r="A144" s="58" t="s">
        <v>91</v>
      </c>
      <c r="B144" s="59"/>
      <c r="C144" s="84" t="s">
        <v>111</v>
      </c>
      <c r="D144" s="85"/>
      <c r="E144" s="89"/>
      <c r="F144" s="14"/>
      <c r="G144" s="14"/>
      <c r="H144" s="14"/>
      <c r="I144" s="47"/>
    </row>
    <row r="145" ht="24.75" customHeight="1" spans="1:9">
      <c r="A145" s="62"/>
      <c r="B145" s="63"/>
      <c r="C145" s="64"/>
      <c r="D145" s="65"/>
      <c r="E145" s="36">
        <v>0</v>
      </c>
      <c r="F145" s="14"/>
      <c r="G145" s="14"/>
      <c r="H145" s="14"/>
      <c r="I145" s="47"/>
    </row>
    <row r="146" ht="24.75" customHeight="1" spans="1:9">
      <c r="A146" s="62"/>
      <c r="B146" s="63"/>
      <c r="C146" s="64"/>
      <c r="D146" s="65"/>
      <c r="E146" s="36">
        <v>0</v>
      </c>
      <c r="F146" s="14"/>
      <c r="G146" s="14"/>
      <c r="H146" s="14"/>
      <c r="I146" s="47"/>
    </row>
    <row r="147" ht="24.75" customHeight="1" spans="1:9">
      <c r="A147" s="62"/>
      <c r="B147" s="63"/>
      <c r="C147" s="64"/>
      <c r="D147" s="65"/>
      <c r="E147" s="36">
        <v>0</v>
      </c>
      <c r="F147" s="14"/>
      <c r="G147" s="14"/>
      <c r="H147" s="14"/>
      <c r="I147" s="47"/>
    </row>
    <row r="148" ht="24.75" customHeight="1" spans="1:9">
      <c r="A148" s="62"/>
      <c r="B148" s="63"/>
      <c r="C148" s="64"/>
      <c r="D148" s="65"/>
      <c r="E148" s="36">
        <v>0</v>
      </c>
      <c r="F148" s="14"/>
      <c r="G148" s="14"/>
      <c r="H148" s="14"/>
      <c r="I148" s="47"/>
    </row>
    <row r="149" ht="24.75" customHeight="1" spans="1:9">
      <c r="A149" s="62"/>
      <c r="B149" s="63"/>
      <c r="C149" s="64"/>
      <c r="D149" s="65"/>
      <c r="E149" s="36">
        <v>0</v>
      </c>
      <c r="F149" s="14"/>
      <c r="G149" s="14"/>
      <c r="H149" s="14"/>
      <c r="I149" s="47"/>
    </row>
    <row r="150" ht="24.75" customHeight="1" spans="1:9">
      <c r="A150" s="62"/>
      <c r="B150" s="63"/>
      <c r="C150" s="64"/>
      <c r="D150" s="65"/>
      <c r="E150" s="36">
        <v>0</v>
      </c>
      <c r="F150" s="14"/>
      <c r="G150" s="14"/>
      <c r="H150" s="14"/>
      <c r="I150" s="47"/>
    </row>
    <row r="151" ht="24.75" customHeight="1" spans="1:9">
      <c r="A151" s="62"/>
      <c r="B151" s="63"/>
      <c r="C151" s="64"/>
      <c r="D151" s="65"/>
      <c r="E151" s="36">
        <v>0</v>
      </c>
      <c r="F151" s="14"/>
      <c r="G151" s="14"/>
      <c r="H151" s="14"/>
      <c r="I151" s="47"/>
    </row>
    <row r="152" ht="24.75" customHeight="1" spans="1:9">
      <c r="A152" s="62"/>
      <c r="B152" s="63"/>
      <c r="C152" s="64"/>
      <c r="D152" s="65"/>
      <c r="E152" s="36">
        <v>0</v>
      </c>
      <c r="F152" s="14"/>
      <c r="G152" s="14"/>
      <c r="H152" s="14"/>
      <c r="I152" s="47"/>
    </row>
    <row r="153" ht="24.75" customHeight="1" spans="1:9">
      <c r="A153" s="62"/>
      <c r="B153" s="63"/>
      <c r="C153" s="64"/>
      <c r="D153" s="65"/>
      <c r="E153" s="36">
        <v>0</v>
      </c>
      <c r="F153" s="14"/>
      <c r="G153" s="14"/>
      <c r="H153" s="14"/>
      <c r="I153" s="47"/>
    </row>
    <row r="154" ht="24.75" customHeight="1" spans="1:9">
      <c r="A154" s="62"/>
      <c r="B154" s="63"/>
      <c r="C154" s="64"/>
      <c r="D154" s="65"/>
      <c r="E154" s="36">
        <v>0</v>
      </c>
      <c r="F154" s="14"/>
      <c r="G154" s="14"/>
      <c r="H154" s="14"/>
      <c r="I154" s="47"/>
    </row>
    <row r="155" ht="24.75" customHeight="1" spans="1:9">
      <c r="A155" s="62"/>
      <c r="B155" s="63"/>
      <c r="C155" s="66" t="s">
        <v>112</v>
      </c>
      <c r="D155" s="61"/>
      <c r="E155" s="71"/>
      <c r="F155" s="14"/>
      <c r="G155" s="14"/>
      <c r="H155" s="14"/>
      <c r="I155" s="47"/>
    </row>
    <row r="156" ht="24.75" customHeight="1" spans="1:9">
      <c r="A156" s="62"/>
      <c r="B156" s="63"/>
      <c r="C156" s="72"/>
      <c r="D156" s="73"/>
      <c r="E156" s="86">
        <v>0</v>
      </c>
      <c r="F156" s="14"/>
      <c r="G156" s="14"/>
      <c r="H156" s="14"/>
      <c r="I156" s="47"/>
    </row>
    <row r="157" ht="24.75" customHeight="1" spans="1:9">
      <c r="A157" s="62"/>
      <c r="B157" s="63"/>
      <c r="C157" s="64"/>
      <c r="D157" s="65"/>
      <c r="E157" s="86">
        <v>0</v>
      </c>
      <c r="F157" s="14"/>
      <c r="G157" s="14"/>
      <c r="H157" s="14"/>
      <c r="I157" s="47"/>
    </row>
    <row r="158" ht="24.75" customHeight="1" spans="1:9">
      <c r="A158" s="62"/>
      <c r="B158" s="63"/>
      <c r="C158" s="64"/>
      <c r="D158" s="65"/>
      <c r="E158" s="86">
        <v>0</v>
      </c>
      <c r="F158" s="14"/>
      <c r="G158" s="14"/>
      <c r="H158" s="14"/>
      <c r="I158" s="47"/>
    </row>
    <row r="159" ht="24.75" customHeight="1" spans="1:9">
      <c r="A159" s="62"/>
      <c r="B159" s="63"/>
      <c r="C159" s="64"/>
      <c r="D159" s="65"/>
      <c r="E159" s="86">
        <v>0</v>
      </c>
      <c r="F159" s="14"/>
      <c r="G159" s="14"/>
      <c r="H159" s="14"/>
      <c r="I159" s="47"/>
    </row>
    <row r="160" ht="24.75" customHeight="1" spans="1:9">
      <c r="A160" s="62"/>
      <c r="B160" s="63"/>
      <c r="C160" s="64"/>
      <c r="D160" s="65"/>
      <c r="E160" s="86">
        <v>0</v>
      </c>
      <c r="F160" s="14"/>
      <c r="G160" s="14"/>
      <c r="H160" s="14"/>
      <c r="I160" s="47"/>
    </row>
    <row r="161" ht="24.75" customHeight="1" spans="1:9">
      <c r="A161" s="74"/>
      <c r="B161" s="75"/>
      <c r="C161" s="64"/>
      <c r="D161" s="65"/>
      <c r="E161" s="86">
        <v>0</v>
      </c>
      <c r="F161" s="14"/>
      <c r="G161" s="14"/>
      <c r="H161" s="14"/>
      <c r="I161" s="47"/>
    </row>
    <row r="162" ht="24.75" customHeight="1" spans="1:9">
      <c r="A162" s="55" t="s">
        <v>113</v>
      </c>
      <c r="B162" s="76"/>
      <c r="C162" s="77"/>
      <c r="D162" s="78"/>
      <c r="E162" s="86">
        <f>C96</f>
        <v>0</v>
      </c>
      <c r="F162" s="14"/>
      <c r="G162" s="14"/>
      <c r="H162" s="14"/>
      <c r="I162" s="47"/>
    </row>
    <row r="163" ht="24.75" customHeight="1" spans="1:9">
      <c r="A163" s="79"/>
      <c r="B163" s="80"/>
      <c r="C163" s="81" t="s">
        <v>114</v>
      </c>
      <c r="D163" s="81"/>
      <c r="E163" s="90">
        <f ca="1">(F28+E143)-(SUM(E145:E154)+SUM(E156:E162))</f>
        <v>14234.3</v>
      </c>
      <c r="F163" s="14"/>
      <c r="G163" s="14"/>
      <c r="H163" s="14"/>
      <c r="I163" s="47"/>
    </row>
    <row r="164" ht="24.75" customHeight="1" spans="1:9">
      <c r="A164" s="14"/>
      <c r="B164" s="14"/>
      <c r="C164" s="14"/>
      <c r="D164" s="14"/>
      <c r="E164" s="14"/>
      <c r="F164" s="14"/>
      <c r="G164" s="14"/>
      <c r="H164" s="14"/>
      <c r="I164" s="47"/>
    </row>
    <row r="165" ht="24.75" customHeight="1" spans="1:9">
      <c r="A165" s="14"/>
      <c r="B165" s="14"/>
      <c r="C165" s="14"/>
      <c r="D165" s="14"/>
      <c r="E165" s="14"/>
      <c r="F165" s="14"/>
      <c r="G165" s="14"/>
      <c r="H165" s="14"/>
      <c r="I165" s="47"/>
    </row>
    <row r="166" ht="24.75" customHeight="1" spans="1:9">
      <c r="A166" s="14"/>
      <c r="B166" s="14"/>
      <c r="C166" s="14"/>
      <c r="D166" s="14"/>
      <c r="E166" s="14"/>
      <c r="F166" s="14"/>
      <c r="G166" s="14"/>
      <c r="H166" s="14"/>
      <c r="I166" s="47"/>
    </row>
    <row r="167" ht="24.75" customHeight="1" spans="1:9">
      <c r="A167" s="14"/>
      <c r="B167" s="14"/>
      <c r="C167" s="14"/>
      <c r="D167" s="14"/>
      <c r="E167" s="14"/>
      <c r="F167" s="14"/>
      <c r="G167" s="14"/>
      <c r="H167" s="14"/>
      <c r="I167" s="47"/>
    </row>
    <row r="168" ht="24.75" customHeight="1" spans="1:9">
      <c r="A168" s="52" t="str">
        <f>"Debts Or Credits For the Comming "&amp;IF(Main!B2,TEXT(EDATE(Main!B3,47),"mmmm dd yyyy"),TEXT(Main!B3+((Main!B5-Main!B3)*47+47),"mmmm dd yyyy"))&amp;" to "&amp;IF(Main!B2,TEXT(EDATE(Main!B3,48)-1,"mmmm dd yyyy"),TEXT(Main!B3+((Main!B5-Main!B3)*48+47),"mmmm dd yyyy"))</f>
        <v>Debts Or Credits For the Comming March 20 2028 to April 19 2028</v>
      </c>
      <c r="B168" s="53"/>
      <c r="C168" s="53"/>
      <c r="D168" s="53"/>
      <c r="E168" s="54"/>
      <c r="F168" s="14"/>
      <c r="G168" s="14"/>
      <c r="H168" s="14"/>
      <c r="I168" s="47"/>
    </row>
    <row r="169" ht="24.75" customHeight="1" spans="1:9">
      <c r="A169" s="52" t="s">
        <v>110</v>
      </c>
      <c r="B169" s="54"/>
      <c r="C169" s="82" t="s">
        <v>49</v>
      </c>
      <c r="D169" s="83"/>
      <c r="E169" s="88" t="s">
        <v>50</v>
      </c>
      <c r="F169" s="14"/>
      <c r="G169" s="14"/>
      <c r="H169" s="14"/>
      <c r="I169" s="47"/>
    </row>
    <row r="170" ht="24.75" customHeight="1" spans="1:9">
      <c r="A170" s="55" t="str">
        <f>"Balance Brought Forward From "&amp;IF(Main!B2,TEXT(EDATE(Main!B3,47)-1,"mmmm yyyy"),TEXT(Main!B3+((Main!B5-Main!B3)*47+46),"mmmm yyyy"))</f>
        <v>Balance Brought Forward From March 2028</v>
      </c>
      <c r="B170" s="56"/>
      <c r="C170" s="57"/>
      <c r="D170" s="57"/>
      <c r="E170" s="90">
        <f ca="1">E163</f>
        <v>14234.3</v>
      </c>
      <c r="F170" s="14"/>
      <c r="G170" s="14"/>
      <c r="H170" s="14"/>
      <c r="I170" s="47"/>
    </row>
    <row r="171" ht="24.75" customHeight="1" spans="1:9">
      <c r="A171" s="58" t="s">
        <v>91</v>
      </c>
      <c r="B171" s="59"/>
      <c r="C171" s="84" t="s">
        <v>111</v>
      </c>
      <c r="D171" s="85"/>
      <c r="E171" s="89"/>
      <c r="F171" s="14"/>
      <c r="G171" s="14"/>
      <c r="H171" s="14"/>
      <c r="I171" s="47"/>
    </row>
    <row r="172" ht="24.75" customHeight="1" spans="1:9">
      <c r="A172" s="62"/>
      <c r="B172" s="63"/>
      <c r="C172" s="64"/>
      <c r="D172" s="65"/>
      <c r="E172" s="36">
        <v>0</v>
      </c>
      <c r="F172" s="14"/>
      <c r="G172" s="14"/>
      <c r="H172" s="14"/>
      <c r="I172" s="47"/>
    </row>
    <row r="173" ht="24.75" customHeight="1" spans="1:9">
      <c r="A173" s="62"/>
      <c r="B173" s="63"/>
      <c r="C173" s="64"/>
      <c r="D173" s="65"/>
      <c r="E173" s="36">
        <v>0</v>
      </c>
      <c r="F173" s="14"/>
      <c r="G173" s="14"/>
      <c r="H173" s="14"/>
      <c r="I173" s="47"/>
    </row>
    <row r="174" ht="24.75" customHeight="1" spans="1:9">
      <c r="A174" s="62"/>
      <c r="B174" s="63"/>
      <c r="C174" s="64"/>
      <c r="D174" s="65"/>
      <c r="E174" s="36">
        <v>0</v>
      </c>
      <c r="F174" s="14"/>
      <c r="G174" s="14"/>
      <c r="H174" s="14"/>
      <c r="I174" s="47"/>
    </row>
    <row r="175" ht="24.75" customHeight="1" spans="1:9">
      <c r="A175" s="62"/>
      <c r="B175" s="63"/>
      <c r="C175" s="64"/>
      <c r="D175" s="65"/>
      <c r="E175" s="36">
        <v>0</v>
      </c>
      <c r="F175" s="14"/>
      <c r="G175" s="14"/>
      <c r="H175" s="14"/>
      <c r="I175" s="47"/>
    </row>
    <row r="176" ht="24.75" customHeight="1" spans="1:9">
      <c r="A176" s="62"/>
      <c r="B176" s="63"/>
      <c r="C176" s="64"/>
      <c r="D176" s="65"/>
      <c r="E176" s="36">
        <v>0</v>
      </c>
      <c r="F176" s="14"/>
      <c r="G176" s="14"/>
      <c r="H176" s="14"/>
      <c r="I176" s="47"/>
    </row>
    <row r="177" ht="24.75" customHeight="1" spans="1:9">
      <c r="A177" s="62"/>
      <c r="B177" s="63"/>
      <c r="C177" s="64"/>
      <c r="D177" s="65"/>
      <c r="E177" s="36">
        <v>0</v>
      </c>
      <c r="F177" s="14"/>
      <c r="G177" s="14"/>
      <c r="H177" s="14"/>
      <c r="I177" s="47"/>
    </row>
    <row r="178" ht="24.75" customHeight="1" spans="1:9">
      <c r="A178" s="62"/>
      <c r="B178" s="63"/>
      <c r="C178" s="64"/>
      <c r="D178" s="65"/>
      <c r="E178" s="36">
        <v>0</v>
      </c>
      <c r="F178" s="14"/>
      <c r="G178" s="14"/>
      <c r="H178" s="14"/>
      <c r="I178" s="47"/>
    </row>
    <row r="179" ht="24.75" customHeight="1" spans="1:9">
      <c r="A179" s="62"/>
      <c r="B179" s="63"/>
      <c r="C179" s="64"/>
      <c r="D179" s="65"/>
      <c r="E179" s="36">
        <v>0</v>
      </c>
      <c r="F179" s="14"/>
      <c r="G179" s="14"/>
      <c r="H179" s="14"/>
      <c r="I179" s="47"/>
    </row>
    <row r="180" ht="24.75" customHeight="1" spans="1:9">
      <c r="A180" s="62"/>
      <c r="B180" s="63"/>
      <c r="C180" s="64"/>
      <c r="D180" s="65"/>
      <c r="E180" s="36">
        <v>0</v>
      </c>
      <c r="F180" s="14"/>
      <c r="G180" s="14"/>
      <c r="H180" s="14"/>
      <c r="I180" s="47"/>
    </row>
    <row r="181" ht="24.75" customHeight="1" spans="1:9">
      <c r="A181" s="62"/>
      <c r="B181" s="63"/>
      <c r="C181" s="64"/>
      <c r="D181" s="65"/>
      <c r="E181" s="36">
        <v>0</v>
      </c>
      <c r="F181" s="14"/>
      <c r="G181" s="14"/>
      <c r="H181" s="14"/>
      <c r="I181" s="47"/>
    </row>
    <row r="182" spans="1:9">
      <c r="A182" s="62"/>
      <c r="B182" s="63"/>
      <c r="C182" s="66" t="s">
        <v>112</v>
      </c>
      <c r="D182" s="61"/>
      <c r="E182" s="71"/>
      <c r="F182" s="14"/>
      <c r="G182" s="14"/>
      <c r="H182" s="14"/>
      <c r="I182" s="47"/>
    </row>
    <row r="183" ht="24.75" customHeight="1" spans="1:9">
      <c r="A183" s="62"/>
      <c r="B183" s="63"/>
      <c r="C183" s="72"/>
      <c r="D183" s="73"/>
      <c r="E183" s="86">
        <v>0</v>
      </c>
      <c r="F183" s="14"/>
      <c r="G183" s="14"/>
      <c r="H183" s="14"/>
      <c r="I183" s="47"/>
    </row>
    <row r="184" ht="24.75" customHeight="1" spans="1:9">
      <c r="A184" s="62"/>
      <c r="B184" s="63"/>
      <c r="C184" s="64"/>
      <c r="D184" s="65"/>
      <c r="E184" s="86">
        <v>0</v>
      </c>
      <c r="F184" s="14"/>
      <c r="G184" s="14"/>
      <c r="H184" s="14"/>
      <c r="I184" s="47"/>
    </row>
    <row r="185" ht="24.75" customHeight="1" spans="1:9">
      <c r="A185" s="62"/>
      <c r="B185" s="63"/>
      <c r="C185" s="64"/>
      <c r="D185" s="65"/>
      <c r="E185" s="86">
        <v>0</v>
      </c>
      <c r="F185" s="14"/>
      <c r="G185" s="14"/>
      <c r="H185" s="14"/>
      <c r="I185" s="47"/>
    </row>
    <row r="186" ht="24.75" customHeight="1" spans="1:9">
      <c r="A186" s="62"/>
      <c r="B186" s="63"/>
      <c r="C186" s="64"/>
      <c r="D186" s="65"/>
      <c r="E186" s="86">
        <v>0</v>
      </c>
      <c r="F186" s="14"/>
      <c r="G186" s="14"/>
      <c r="H186" s="14"/>
      <c r="I186" s="47"/>
    </row>
    <row r="187" ht="24.75" customHeight="1" spans="1:9">
      <c r="A187" s="62"/>
      <c r="B187" s="63"/>
      <c r="C187" s="64"/>
      <c r="D187" s="65"/>
      <c r="E187" s="86">
        <v>0</v>
      </c>
      <c r="F187" s="14"/>
      <c r="G187" s="14"/>
      <c r="H187" s="14"/>
      <c r="I187" s="47"/>
    </row>
    <row r="188" ht="24.75" customHeight="1" spans="1:9">
      <c r="A188" s="74"/>
      <c r="B188" s="75"/>
      <c r="C188" s="64"/>
      <c r="D188" s="65"/>
      <c r="E188" s="86">
        <v>0</v>
      </c>
      <c r="F188" s="14"/>
      <c r="G188" s="14"/>
      <c r="H188" s="14"/>
      <c r="I188" s="47"/>
    </row>
    <row r="189" ht="24.75" customHeight="1" spans="1:9">
      <c r="A189" s="55" t="s">
        <v>113</v>
      </c>
      <c r="B189" s="76"/>
      <c r="C189" s="77"/>
      <c r="D189" s="78"/>
      <c r="E189" s="86">
        <f>C96</f>
        <v>0</v>
      </c>
      <c r="F189" s="14"/>
      <c r="G189" s="14"/>
      <c r="H189" s="14"/>
      <c r="I189" s="47"/>
    </row>
    <row r="190" ht="24.75" customHeight="1" spans="1:9">
      <c r="A190" s="79"/>
      <c r="B190" s="80"/>
      <c r="C190" s="81" t="s">
        <v>114</v>
      </c>
      <c r="D190" s="81"/>
      <c r="E190" s="90">
        <f ca="1">(F40+E170)-(SUM(E172:E181)+SUM(E183:E189))</f>
        <v>14234.3</v>
      </c>
      <c r="F190" s="14"/>
      <c r="G190" s="14"/>
      <c r="H190" s="14"/>
      <c r="I190" s="47"/>
    </row>
    <row r="191" ht="24.75" customHeight="1" spans="1:9">
      <c r="A191" s="14"/>
      <c r="B191" s="14"/>
      <c r="C191" s="14"/>
      <c r="D191" s="14"/>
      <c r="E191" s="14"/>
      <c r="F191" s="14"/>
      <c r="G191" s="14"/>
      <c r="H191" s="14"/>
      <c r="I191" s="47"/>
    </row>
    <row r="192" ht="24.75" customHeight="1" spans="1:9">
      <c r="A192" s="40"/>
      <c r="B192" s="40"/>
      <c r="C192" s="40"/>
      <c r="D192" s="40"/>
      <c r="E192" s="40"/>
      <c r="F192" s="40"/>
      <c r="G192" s="40"/>
      <c r="H192" s="40"/>
      <c r="I192" s="40"/>
    </row>
    <row r="193" spans="1:9">
      <c r="A193" s="40"/>
      <c r="B193" s="40"/>
      <c r="C193" s="40"/>
      <c r="D193" s="40"/>
      <c r="E193" s="40"/>
      <c r="F193" s="40"/>
      <c r="G193" s="40"/>
      <c r="H193" s="40"/>
      <c r="I193" s="40"/>
    </row>
  </sheetData>
  <sheetProtection sheet="1" formatCells="0" formatColumns="0" formatRows="0" objects="1"/>
  <mergeCells count="169">
    <mergeCell ref="A1:G1"/>
    <mergeCell ref="C2:G2"/>
    <mergeCell ref="C3:G3"/>
    <mergeCell ref="A4:B4"/>
    <mergeCell ref="C4:G4"/>
    <mergeCell ref="A5:B5"/>
    <mergeCell ref="C5:G5"/>
    <mergeCell ref="A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A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A32:G32"/>
    <mergeCell ref="B33:C33"/>
    <mergeCell ref="D33:E33"/>
    <mergeCell ref="F33:G33"/>
    <mergeCell ref="B34:C34"/>
    <mergeCell ref="D34:E34"/>
    <mergeCell ref="F34:G34"/>
    <mergeCell ref="B35:C35"/>
    <mergeCell ref="D35:E35"/>
    <mergeCell ref="F35:G35"/>
    <mergeCell ref="B36:C36"/>
    <mergeCell ref="D36:E36"/>
    <mergeCell ref="F36:G36"/>
    <mergeCell ref="B37:C37"/>
    <mergeCell ref="D37:E37"/>
    <mergeCell ref="F37:G37"/>
    <mergeCell ref="B38:C38"/>
    <mergeCell ref="D38:E38"/>
    <mergeCell ref="F38:G38"/>
    <mergeCell ref="B39:C39"/>
    <mergeCell ref="D39:E39"/>
    <mergeCell ref="F39:G39"/>
    <mergeCell ref="B40:C40"/>
    <mergeCell ref="D40:E40"/>
    <mergeCell ref="F40:G40"/>
    <mergeCell ref="A44:C44"/>
    <mergeCell ref="A46:C46"/>
    <mergeCell ref="A114:E114"/>
    <mergeCell ref="A115:B115"/>
    <mergeCell ref="C115:D115"/>
    <mergeCell ref="A116:B116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A135:B135"/>
    <mergeCell ref="C135:D135"/>
    <mergeCell ref="A136:B136"/>
    <mergeCell ref="C136:D136"/>
    <mergeCell ref="A141:E141"/>
    <mergeCell ref="A142:B142"/>
    <mergeCell ref="C142:D142"/>
    <mergeCell ref="A143:B143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A162:B162"/>
    <mergeCell ref="C162:D162"/>
    <mergeCell ref="A163:B163"/>
    <mergeCell ref="C163:D163"/>
    <mergeCell ref="A168:E168"/>
    <mergeCell ref="A169:B169"/>
    <mergeCell ref="C169:D169"/>
    <mergeCell ref="A170:B170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A189:B189"/>
    <mergeCell ref="C189:D189"/>
    <mergeCell ref="A190:B190"/>
    <mergeCell ref="C190:D190"/>
    <mergeCell ref="A2:A3"/>
    <mergeCell ref="A171:B188"/>
    <mergeCell ref="A144:B161"/>
    <mergeCell ref="A117:B134"/>
  </mergeCells>
  <conditionalFormatting sqref="C5">
    <cfRule type="cellIs" dxfId="0" priority="7" operator="equal">
      <formula>0</formula>
    </cfRule>
    <cfRule type="cellIs" dxfId="1" priority="6" operator="greaterThan">
      <formula>0</formula>
    </cfRule>
  </conditionalFormatting>
  <conditionalFormatting sqref="C75">
    <cfRule type="cellIs" dxfId="0" priority="52" operator="equal">
      <formula>0</formula>
    </cfRule>
    <cfRule type="cellIs" dxfId="1" priority="51" operator="greaterThan">
      <formula>0</formula>
    </cfRule>
  </conditionalFormatting>
  <conditionalFormatting sqref="C77">
    <cfRule type="cellIs" dxfId="0" priority="50" operator="equal">
      <formula>0</formula>
    </cfRule>
    <cfRule type="cellIs" dxfId="1" priority="49" operator="greaterThan">
      <formula>0</formula>
    </cfRule>
  </conditionalFormatting>
  <conditionalFormatting sqref="C108">
    <cfRule type="cellIs" dxfId="0" priority="5" operator="greaterThanOrEqual">
      <formula>0</formula>
    </cfRule>
    <cfRule type="cellIs" dxfId="1" priority="4" operator="lessThan">
      <formula>0</formula>
    </cfRule>
  </conditionalFormatting>
  <conditionalFormatting sqref="C109">
    <cfRule type="cellIs" dxfId="0" priority="3" operator="greaterThanOrEqual">
      <formula>0</formula>
    </cfRule>
    <cfRule type="cellIs" dxfId="1" priority="2" operator="lessThan">
      <formula>0</formula>
    </cfRule>
  </conditionalFormatting>
  <conditionalFormatting sqref="E116">
    <cfRule type="cellIs" dxfId="4" priority="13" operator="greaterThanOrEqual">
      <formula>0</formula>
    </cfRule>
    <cfRule type="cellIs" dxfId="5" priority="12" operator="lessThan">
      <formula>0</formula>
    </cfRule>
  </conditionalFormatting>
  <conditionalFormatting sqref="E136">
    <cfRule type="cellIs" dxfId="4" priority="44" operator="greaterThanOrEqual">
      <formula>0</formula>
    </cfRule>
    <cfRule type="cellIs" dxfId="5" priority="43" operator="lessThan">
      <formula>0</formula>
    </cfRule>
  </conditionalFormatting>
  <conditionalFormatting sqref="E143">
    <cfRule type="cellIs" dxfId="4" priority="31" operator="greaterThanOrEqual">
      <formula>0</formula>
    </cfRule>
    <cfRule type="cellIs" dxfId="5" priority="30" operator="lessThan">
      <formula>0</formula>
    </cfRule>
  </conditionalFormatting>
  <conditionalFormatting sqref="E163">
    <cfRule type="cellIs" dxfId="4" priority="33" operator="greaterThanOrEqual">
      <formula>0</formula>
    </cfRule>
    <cfRule type="cellIs" dxfId="5" priority="32" operator="lessThan">
      <formula>0</formula>
    </cfRule>
  </conditionalFormatting>
  <conditionalFormatting sqref="E170">
    <cfRule type="cellIs" dxfId="4" priority="25" operator="greaterThanOrEqual">
      <formula>0</formula>
    </cfRule>
    <cfRule type="cellIs" dxfId="5" priority="24" operator="lessThan">
      <formula>0</formula>
    </cfRule>
  </conditionalFormatting>
  <conditionalFormatting sqref="E190">
    <cfRule type="cellIs" dxfId="4" priority="27" operator="greaterThanOrEqual">
      <formula>0</formula>
    </cfRule>
    <cfRule type="cellIs" dxfId="5" priority="26" operator="lessThan">
      <formula>0</formula>
    </cfRule>
  </conditionalFormatting>
  <conditionalFormatting sqref="C57:C66">
    <cfRule type="cellIs" dxfId="0" priority="56" operator="equal">
      <formula>0</formula>
    </cfRule>
    <cfRule type="cellIs" dxfId="1" priority="55" operator="greaterThan">
      <formula>0</formula>
    </cfRule>
  </conditionalFormatting>
  <conditionalFormatting sqref="C68:C69">
    <cfRule type="cellIs" dxfId="0" priority="54" operator="equal">
      <formula>0</formula>
    </cfRule>
    <cfRule type="cellIs" dxfId="1" priority="53" operator="greaterThan">
      <formula>0</formula>
    </cfRule>
  </conditionalFormatting>
  <conditionalFormatting sqref="C70:C74">
    <cfRule type="cellIs" dxfId="0" priority="42" operator="equal">
      <formula>0</formula>
    </cfRule>
    <cfRule type="cellIs" dxfId="1" priority="41" operator="greaterThan">
      <formula>0</formula>
    </cfRule>
  </conditionalFormatting>
  <conditionalFormatting sqref="C78:C79">
    <cfRule type="cellIs" dxfId="0" priority="11" operator="equal">
      <formula>0</formula>
    </cfRule>
    <cfRule type="cellIs" dxfId="1" priority="10" operator="greaterThan">
      <formula>0</formula>
    </cfRule>
  </conditionalFormatting>
  <conditionalFormatting sqref="C80:C84">
    <cfRule type="cellIs" dxfId="0" priority="40" operator="equal">
      <formula>0</formula>
    </cfRule>
    <cfRule type="cellIs" dxfId="1" priority="39" operator="greaterThan">
      <formula>0</formula>
    </cfRule>
  </conditionalFormatting>
  <conditionalFormatting sqref="C87:C89">
    <cfRule type="cellIs" dxfId="0" priority="48" operator="equal">
      <formula>0</formula>
    </cfRule>
    <cfRule type="cellIs" dxfId="1" priority="47" operator="greaterThan">
      <formula>0</formula>
    </cfRule>
  </conditionalFormatting>
  <conditionalFormatting sqref="C90:C91">
    <cfRule type="cellIs" dxfId="0" priority="9" operator="equal">
      <formula>0</formula>
    </cfRule>
    <cfRule type="cellIs" dxfId="1" priority="8" operator="greaterThan">
      <formula>0</formula>
    </cfRule>
  </conditionalFormatting>
  <conditionalFormatting sqref="C92:C94">
    <cfRule type="cellIs" dxfId="0" priority="38" operator="equal">
      <formula>0</formula>
    </cfRule>
    <cfRule type="cellIs" dxfId="1" priority="37" operator="greaterThan">
      <formula>0</formula>
    </cfRule>
  </conditionalFormatting>
  <conditionalFormatting sqref="C98:C107">
    <cfRule type="cellIs" dxfId="1" priority="21" operator="lessThan">
      <formula>0</formula>
    </cfRule>
    <cfRule type="cellIs" dxfId="3" priority="20" operator="greaterThanOrEqual">
      <formula>0</formula>
    </cfRule>
  </conditionalFormatting>
  <conditionalFormatting sqref="E118:E127">
    <cfRule type="cellIs" dxfId="0" priority="19" operator="equal">
      <formula>0</formula>
    </cfRule>
    <cfRule type="cellIs" dxfId="1" priority="18" operator="greaterThan">
      <formula>0</formula>
    </cfRule>
  </conditionalFormatting>
  <conditionalFormatting sqref="E145:E154">
    <cfRule type="cellIs" dxfId="0" priority="17" operator="equal">
      <formula>0</formula>
    </cfRule>
    <cfRule type="cellIs" dxfId="1" priority="16" operator="greaterThan">
      <formula>0</formula>
    </cfRule>
  </conditionalFormatting>
  <conditionalFormatting sqref="E172:E181">
    <cfRule type="cellIs" dxfId="0" priority="15" operator="equal">
      <formula>0</formula>
    </cfRule>
    <cfRule type="cellIs" dxfId="1" priority="14" operator="greaterThan">
      <formula>0</formula>
    </cfRule>
  </conditionalFormatting>
  <conditionalFormatting sqref="C47:C55 C85 C95:C96">
    <cfRule type="cellIs" dxfId="0" priority="58" operator="equal">
      <formula>0</formula>
    </cfRule>
  </conditionalFormatting>
  <conditionalFormatting sqref="C47:C55 C85 C95:C96 E144 E155:E162">
    <cfRule type="cellIs" dxfId="1" priority="57" operator="greaterThan">
      <formula>0</formula>
    </cfRule>
  </conditionalFormatting>
  <conditionalFormatting sqref="E117 E128:E135">
    <cfRule type="cellIs" dxfId="0" priority="46" operator="equal">
      <formula>0</formula>
    </cfRule>
    <cfRule type="cellIs" dxfId="1" priority="45" operator="greaterThan">
      <formula>0</formula>
    </cfRule>
  </conditionalFormatting>
  <conditionalFormatting sqref="E144 E155:E162">
    <cfRule type="cellIs" dxfId="3" priority="34" operator="equal">
      <formula>0</formula>
    </cfRule>
  </conditionalFormatting>
  <conditionalFormatting sqref="E171 E182:E189">
    <cfRule type="cellIs" dxfId="3" priority="29" operator="equal">
      <formula>0</formula>
    </cfRule>
    <cfRule type="cellIs" dxfId="1" priority="28" operator="greaterThan">
      <formula>0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8" master="" otherUserPermission="visible"/>
  <rangeList sheetStid="3" master="" otherUserPermission="visible"/>
  <rangeList sheetStid="1" master="" otherUserPermission="visible"/>
  <rangeList sheetStid="2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  <rangeList sheetStid="17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Cover Page</vt:lpstr>
      <vt:lpstr>Main</vt:lpstr>
      <vt:lpstr>April 2024 - June 2024</vt:lpstr>
      <vt:lpstr>July 2024 - September 2024</vt:lpstr>
      <vt:lpstr>October 2024 - December 2024</vt:lpstr>
      <vt:lpstr>January 2025 - March 2025</vt:lpstr>
      <vt:lpstr>April 2025 - June 2025</vt:lpstr>
      <vt:lpstr>July 2025 - September 2025</vt:lpstr>
      <vt:lpstr>October 2025 - December 2025</vt:lpstr>
      <vt:lpstr>January 2026 - March 2026</vt:lpstr>
      <vt:lpstr>April 2026 - June 2026</vt:lpstr>
      <vt:lpstr>July 2026 - September 2026</vt:lpstr>
      <vt:lpstr>October 2026 - December 2026</vt:lpstr>
      <vt:lpstr>January 2027 - March 2027</vt:lpstr>
      <vt:lpstr>April 2027 - June 2027</vt:lpstr>
      <vt:lpstr>Forecast_14</vt:lpstr>
      <vt:lpstr>Forecast_15</vt:lpstr>
      <vt:lpstr>Forecast_16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 Lun Alan Tang</cp:lastModifiedBy>
  <dcterms:created xsi:type="dcterms:W3CDTF">2025-03-23T13:27:00Z</dcterms:created>
  <dcterms:modified xsi:type="dcterms:W3CDTF">2025-04-19T07:32:22Z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DBAFD8BFD032A37AC13AC567BB79F506_42</vt:lpwstr>
  </property>
  <property fmtid="{D5CDD505-2E9C-101B-9397-08002B2CF9AE}" pid="3" name="KSOProductBuildVer">
    <vt:lpwstr>1033-6.11.0.8608</vt:lpwstr>
  </property>
</Properties>
</file>