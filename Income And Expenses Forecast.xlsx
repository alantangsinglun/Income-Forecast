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<sst xmlns="http://schemas.openxmlformats.org/spreadsheetml/2006/main" count="1532" uniqueCount="304">
  <si>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</si>
  <si>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</si>
  <si>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</si>
  <si>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</si>
  <si>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</si>
  <si>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</si>
  <si>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</si>
  <si>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</si>
  <si>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</si>
  <si>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</si>
  <si>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</si>
  <si>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</si>
  <si>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</si>
  <si>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</si>
  <si>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</si>
  <si>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</si>
  <si>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</si>
  <si>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</si>
  <si>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</si>
  <si>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</si>
  <si>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</si>
  <si>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</si>
  <si>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</si>
  <si>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</si>
  <si>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</si>
  <si>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</si>
  <si>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</si>
  <si>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</si>
  <si>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</si>
  <si>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</si>
  <si>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</si>
  <si>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</si>
  <si>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</si>
  <si>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</si>
  <si>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</si>
  <si>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</si>
  <si>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</si>
  <si>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</si>
  <si>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</si>
  <si>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</si>
  <si>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</si>
  <si>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</si>
  <si>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</si>
  <si>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</si>
  <si>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</si>
  <si>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</si>
  <si>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</si>
  <si>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</si>
  <si>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</si>
  <si>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</si>
  <si>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</si>
  <si>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</si>
  <si>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</si>
  <si>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</si>
  <si>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</si>
  <si>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</si>
  <si>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</si>
  <si>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</si>
  <si>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</si>
  <si>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</si>
  <si>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</si>
  <si>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</si>
  <si>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</si>
  <si>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</si>
  <si>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</si>
  <si>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</si>
  <si>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</si>
  <si>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</si>
  <si>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</si>
  <si>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</si>
  <si>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</si>
  <si>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</si>
  <si>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</si>
  <si>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</si>
  <si>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</si>
  <si>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</si>
  <si>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</si>
  <si>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</si>
  <si>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</si>
  <si>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</si>
  <si>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</si>
  <si>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</si>
  <si>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</si>
  <si>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</si>
  <si>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</si>
  <si>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</si>
  <si>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</si>
  <si>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</si>
  <si>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</si>
  <si>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</si>
  <si>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</si>
  <si>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</si>
  <si>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</si>
  <si>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</si>
  <si>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</si>
  <si>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13th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</si>
  <si>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</si>
  <si>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</si>
  <si>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</si>
  <si>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</si>
  <si>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</si>
  <si>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</si>
  <si>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</si>
  <si>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</si>
  <si>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</si>
  <si>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</si>
  <si>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</si>
  <si>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</si>
  <si>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</si>
  <si>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</si>
  <si>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</si>
  <si>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</si>
  <si>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</si>
  <si>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</si>
  <si>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</si>
  <si>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</si>
  <si>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</si>
  <si>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</si>
  <si>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</si>
  <si>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</si>
  <si>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</si>
  <si>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</si>
  <si>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</si>
  <si>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</si>
  <si>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</si>
  <si>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</si>
  <si>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</si>
  <si>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</si>
  <si>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</si>
  <si>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</si>
  <si>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</si>
  <si>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</si>
  <si>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</si>
  <si>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</si>
  <si>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</si>
  <si>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</si>
  <si>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</si>
  <si>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</si>
  <si>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</si>
  <si>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</si>
  <si>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</si>
  <si>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</si>
  <si>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</si>
  <si>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</si>
  <si>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</si>
  <si>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</si>
  <si>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</si>
  <si>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</si>
  <si>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</si>
  <si>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</si>
  <si>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</si>
  <si>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</si>
  <si>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</si>
  <si>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</si>
  <si>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</si>
  <si>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</si>
  <si>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</si>
  <si>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</si>
  <si>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</si>
  <si>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</si>
  <si>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</si>
  <si>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</si>
  <si>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</si>
  <si>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</si>
  <si>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</si>
  <si>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</si>
  <si>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</si>
  <si>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</si>
  <si>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</si>
  <si>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</si>
  <si>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</si>
  <si>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</si>
  <si>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</si>
  <si>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</si>
  <si>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</si>
  <si>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</si>
  <si>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</si>
  <si>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</si>
  <si>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</si>
  <si>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</si>
  <si>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</si>
  <si>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</si>
  <si>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</si>
  <si>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</si>
  <si>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</si>
  <si>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</si>
  <si>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</si>
  <si>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</si>
  <si>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</si>
  <si>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</si>
  <si>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</si>
  <si>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</si>
  <si>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</si>
  <si>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</si>
  <si>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</si>
  <si>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</si>
  <si>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</si>
  <si>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</si>
  <si>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</si>
  <si>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</si>
  <si>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</si>
  <si>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</si>
  <si>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</si>
  <si>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</si>
  <si>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</si>
  <si>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</si>
  <si>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</si>
  <si>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</si>
  <si>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</si>
  <si>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</si>
  <si>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</si>
  <si>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</si>
  <si>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</si>
  <si>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</si>
  <si>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</si>
  <si>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</si>
  <si>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</si>
  <si>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</si>
  <si>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</si>
  <si>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</si>
  <si>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</si>
  <si>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</si>
  <si>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</si>
  <si>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</si>
  <si>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</si>
  <si>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</si>
  <si>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</si>
  <si>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</si>
  <si>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</si>
  <si>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</si>
  <si>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</si>
  <si>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</si>
  <si>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</si>
  <si>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</si>
  <si>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</si>
  <si>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</si>
  <si>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</si>
  <si>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</si>
  <si>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Mother.
2. Receive $25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</si>
  <si>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</si>
  <si>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</si>
  <si>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</si>
  <si>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</si>
  <si>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</si>
  <si>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</si>
  <si>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</si>
  <si>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</si>
  <si>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</si>
  <si>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</si>
  <si>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
- Starbucks Saussage Rolls ~ $50</t>
  </si>
  <si>
    <t>3. Brought a Brother Printer For $999</t>
  </si>
  <si>
    <t>4. Birdie Mothly Fees $50</t>
  </si>
  <si>
    <t>30th April 2025</t>
  </si>
  <si>
    <t>Hospital Fees</t>
  </si>
  <si>
    <t>Robert Black Hospital Paid in advance</t>
  </si>
  <si>
    <t>31th May 2025</t>
  </si>
  <si>
    <t>Additional Half Month Of Allowance</t>
  </si>
  <si>
    <t>30th June 2025</t>
  </si>
  <si>
    <t xml:space="preserve">Payback $500 plus additional $500 (Borrowed on 07 April 2025)  to Mom </t>
  </si>
  <si>
    <t>1. Additional Expense
    - Cigarette Egg - $0 (Paided in Advance 7th April 2025)
    - See the psycharitic Doctor ~ $125</t>
  </si>
  <si>
    <t>2. Food And Transport Expenses</t>
  </si>
  <si>
    <t>Payback $1800 to Mom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</si>
  <si>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</si>
  <si>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</si>
  <si>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>Payback $1100 to Mom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</si>
  <si>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</si>
  <si>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</si>
  <si>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</si>
  <si>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</si>
  <si>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</si>
  <si>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</si>
  <si>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</si>
  <si>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Receive cash</t>
  </si>
  <si>
    <t>Deffered Mobile to next month</t>
  </si>
  <si>
    <t>Additional Expense
    - Cigarette Egg - $650
    - See the psycharitic Doctor For Injection ~ $19</t>
  </si>
  <si>
    <t xml:space="preserve">Food And Transport Expenses
</t>
  </si>
  <si>
    <t>Payback $800 to Mom</t>
  </si>
  <si>
    <t>Additional Expense
    - Cigarette Egg - $650
    - See the psycharitic Doctor ~ $125
    - See the high blood pressure Doctor ~ $50</t>
  </si>
  <si>
    <t>Payback $100 to Mom</t>
  </si>
  <si>
    <t>Payback $1083 Air Ticket to Mom</t>
  </si>
  <si>
    <t>31st October 2025</t>
  </si>
  <si>
    <t>31st November 2025</t>
  </si>
  <si>
    <t>30th December 2025</t>
  </si>
  <si>
    <t>Pay Mobile</t>
  </si>
  <si>
    <t>Additional Expense
    - Cigarette Egg - $650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</si>
  <si>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</si>
  <si>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</si>
  <si>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</si>
  <si>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</si>
  <si>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See the psycharitic Doctor ~ $310
    - See the high blood pressure Doctor ~ $160</t>
  </si>
  <si>
    <t>30th April 2026</t>
  </si>
  <si>
    <t>31st May 2026</t>
  </si>
  <si>
    <t>30th June 2026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</si>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</sst>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2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42" applyNumberFormat="0" applyAlignment="0" applyProtection="0">
      <alignment vertical="center"/>
    </xf>
    <xf numFmtId="0" fontId="33" fillId="14" borderId="43" applyNumberFormat="0" applyAlignment="0" applyProtection="0">
      <alignment vertical="center"/>
    </xf>
    <xf numFmtId="0" fontId="34" fillId="14" borderId="42" applyNumberFormat="0" applyAlignment="0" applyProtection="0">
      <alignment vertical="center"/>
    </xf>
    <xf numFmtId="0" fontId="35" fillId="15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0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5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8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9" borderId="1" xfId="0" applyFont="1" applyFill="1" applyBorder="1" applyAlignment="1">
      <alignment horizontal="center" vertical="center"/>
    </xf>
    <xf numFmtId="49" fontId="1" fillId="10" borderId="34" xfId="52" applyFont="1" applyBorder="1" applyAlignment="1" applyProtection="1">
      <alignment horizontal="center" vertical="center" wrapText="1"/>
    </xf>
    <xf numFmtId="49" fontId="1" fillId="10" borderId="3" xfId="52" applyFont="1" applyBorder="1" applyAlignment="1" applyProtection="1">
      <alignment horizontal="center" vertical="center" wrapText="1"/>
    </xf>
    <xf numFmtId="49" fontId="1" fillId="10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49" fontId="1" fillId="10" borderId="11" xfId="52" applyFont="1" applyBorder="1" applyAlignment="1" applyProtection="1">
      <alignment horizontal="center" vertical="center" wrapText="1"/>
    </xf>
    <xf numFmtId="49" fontId="1" fillId="10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0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1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1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1" borderId="0" xfId="0" applyFont="1" applyFill="1" applyBorder="1" applyAlignment="1">
      <alignment horizontal="center"/>
    </xf>
    <xf numFmtId="0" fontId="22" fillId="11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A2" sqref="AA2"/>
    </sheetView>
  </sheetViews>
  <sheetFormatPr defaultColWidth="8.88888888888889" defaultRowHeight="17.6"/>
  <sheetData>
    <row r="1" spans="1:26">
      <c r="A1" s="253" t="s">
        <v>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53"/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53"/>
      <c r="B3" s="253"/>
      <c r="C3" s="253"/>
      <c r="D3" s="253"/>
      <c r="E3" s="253"/>
      <c r="F3" s="253"/>
      <c r="G3" s="253"/>
      <c r="H3" s="253"/>
      <c r="I3" s="253"/>
      <c r="J3" s="253"/>
      <c r="K3" s="253"/>
      <c r="L3" s="253"/>
      <c r="M3" s="253"/>
      <c r="N3" s="253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53"/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3"/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53"/>
      <c r="B5" s="253"/>
      <c r="C5" s="253"/>
      <c r="D5" s="253"/>
      <c r="E5" s="253"/>
      <c r="F5" s="253"/>
      <c r="G5" s="253"/>
      <c r="H5" s="253"/>
      <c r="I5" s="253"/>
      <c r="J5" s="253"/>
      <c r="K5" s="253"/>
      <c r="L5" s="253"/>
      <c r="M5" s="253"/>
      <c r="N5" s="253"/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53"/>
      <c r="B6" s="253"/>
      <c r="C6" s="253"/>
      <c r="D6" s="253"/>
      <c r="E6" s="253"/>
      <c r="F6" s="253"/>
      <c r="G6" s="253"/>
      <c r="H6" s="253"/>
      <c r="I6" s="253"/>
      <c r="J6" s="253"/>
      <c r="K6" s="253"/>
      <c r="L6" s="253"/>
      <c r="M6" s="253"/>
      <c r="N6" s="253"/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53"/>
      <c r="B7" s="253"/>
      <c r="C7" s="253"/>
      <c r="D7" s="253"/>
      <c r="E7" s="253"/>
      <c r="F7" s="253"/>
      <c r="G7" s="253"/>
      <c r="H7" s="253"/>
      <c r="I7" s="253"/>
      <c r="J7" s="253"/>
      <c r="K7" s="253"/>
      <c r="L7" s="253"/>
      <c r="M7" s="253"/>
      <c r="N7" s="253"/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53"/>
      <c r="B8" s="253"/>
      <c r="C8" s="253"/>
      <c r="D8" s="253"/>
      <c r="E8" s="253"/>
      <c r="F8" s="253"/>
      <c r="G8" s="253"/>
      <c r="H8" s="253"/>
      <c r="I8" s="253"/>
      <c r="J8" s="253"/>
      <c r="K8" s="253"/>
      <c r="L8" s="253"/>
      <c r="M8" s="253"/>
      <c r="N8" s="253"/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53"/>
      <c r="B9" s="253"/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53"/>
      <c r="B10" s="253"/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53"/>
      <c r="B11" s="253"/>
      <c r="C11" s="253"/>
      <c r="D11" s="253"/>
      <c r="E11" s="253"/>
      <c r="F11" s="253"/>
      <c r="G11" s="253"/>
      <c r="H11" s="253"/>
      <c r="I11" s="253"/>
      <c r="J11" s="253"/>
      <c r="K11" s="253"/>
      <c r="L11" s="253"/>
      <c r="M11" s="253"/>
      <c r="N11" s="253"/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53"/>
      <c r="B12" s="253"/>
      <c r="C12" s="253"/>
      <c r="D12" s="253"/>
      <c r="E12" s="253"/>
      <c r="F12" s="253"/>
      <c r="G12" s="253"/>
      <c r="H12" s="253"/>
      <c r="I12" s="253"/>
      <c r="J12" s="253"/>
      <c r="K12" s="253"/>
      <c r="L12" s="253"/>
      <c r="M12" s="253"/>
      <c r="N12" s="253"/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53"/>
      <c r="B13" s="253"/>
      <c r="C13" s="253"/>
      <c r="D13" s="253"/>
      <c r="E13" s="253"/>
      <c r="F13" s="253"/>
      <c r="G13" s="253"/>
      <c r="H13" s="253"/>
      <c r="I13" s="253"/>
      <c r="J13" s="253"/>
      <c r="K13" s="253"/>
      <c r="L13" s="253"/>
      <c r="M13" s="253"/>
      <c r="N13" s="253"/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53"/>
      <c r="B14" s="253"/>
      <c r="C14" s="253"/>
      <c r="D14" s="253"/>
      <c r="E14" s="253"/>
      <c r="F14" s="253"/>
      <c r="G14" s="253"/>
      <c r="H14" s="253"/>
      <c r="I14" s="253"/>
      <c r="J14" s="253"/>
      <c r="K14" s="253"/>
      <c r="L14" s="253"/>
      <c r="M14" s="253"/>
      <c r="N14" s="253"/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53"/>
      <c r="B15" s="253"/>
      <c r="C15" s="253"/>
      <c r="D15" s="253"/>
      <c r="E15" s="253"/>
      <c r="F15" s="253"/>
      <c r="G15" s="253"/>
      <c r="H15" s="253"/>
      <c r="I15" s="253"/>
      <c r="J15" s="253"/>
      <c r="K15" s="253"/>
      <c r="L15" s="253"/>
      <c r="M15" s="253"/>
      <c r="N15" s="253"/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53"/>
      <c r="B16" s="253"/>
      <c r="C16" s="253"/>
      <c r="D16" s="253"/>
      <c r="E16" s="253"/>
      <c r="F16" s="253"/>
      <c r="G16" s="253"/>
      <c r="H16" s="253"/>
      <c r="I16" s="253"/>
      <c r="J16" s="253"/>
      <c r="K16" s="253"/>
      <c r="L16" s="253"/>
      <c r="M16" s="253"/>
      <c r="N16" s="253"/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53"/>
      <c r="B17" s="253"/>
      <c r="C17" s="253"/>
      <c r="D17" s="253"/>
      <c r="E17" s="253"/>
      <c r="F17" s="253"/>
      <c r="G17" s="253"/>
      <c r="H17" s="253"/>
      <c r="I17" s="253"/>
      <c r="J17" s="253"/>
      <c r="K17" s="253"/>
      <c r="L17" s="253"/>
      <c r="M17" s="253"/>
      <c r="N17" s="253"/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53"/>
      <c r="B18" s="253"/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53"/>
      <c r="B19" s="253"/>
      <c r="C19" s="253"/>
      <c r="D19" s="253"/>
      <c r="E19" s="253"/>
      <c r="F19" s="253"/>
      <c r="G19" s="253"/>
      <c r="H19" s="253"/>
      <c r="I19" s="253"/>
      <c r="J19" s="253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53"/>
      <c r="B20" s="253"/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53"/>
      <c r="B21" s="253"/>
      <c r="C21" s="253"/>
      <c r="D21" s="253"/>
      <c r="E21" s="253"/>
      <c r="F21" s="253"/>
      <c r="G21" s="253"/>
      <c r="H21" s="253"/>
      <c r="I21" s="253"/>
      <c r="J21" s="253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53"/>
      <c r="B22" s="253"/>
      <c r="C22" s="253"/>
      <c r="D22" s="253"/>
      <c r="E22" s="253"/>
      <c r="F22" s="253"/>
      <c r="G22" s="253"/>
      <c r="H22" s="253"/>
      <c r="I22" s="253"/>
      <c r="J22" s="253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53"/>
      <c r="B23" s="253"/>
      <c r="C23" s="253"/>
      <c r="D23" s="253"/>
      <c r="E23" s="253"/>
      <c r="F23" s="253"/>
      <c r="G23" s="253"/>
      <c r="H23" s="253"/>
      <c r="I23" s="253"/>
      <c r="J23" s="253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53"/>
      <c r="B24" s="253"/>
      <c r="C24" s="253"/>
      <c r="D24" s="253"/>
      <c r="E24" s="253"/>
      <c r="F24" s="253"/>
      <c r="G24" s="253"/>
      <c r="H24" s="253"/>
      <c r="I24" s="253"/>
      <c r="J24" s="253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53"/>
      <c r="B25" s="253"/>
      <c r="C25" s="253"/>
      <c r="D25" s="253"/>
      <c r="E25" s="253"/>
      <c r="F25" s="253"/>
      <c r="G25" s="253"/>
      <c r="H25" s="253"/>
      <c r="I25" s="253"/>
      <c r="J25" s="253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53"/>
      <c r="B26" s="253"/>
      <c r="C26" s="253"/>
      <c r="D26" s="253"/>
      <c r="E26" s="253"/>
      <c r="F26" s="253"/>
      <c r="G26" s="253"/>
      <c r="H26" s="253"/>
      <c r="I26" s="253"/>
      <c r="J26" s="253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53"/>
      <c r="B27" s="253"/>
      <c r="C27" s="253"/>
      <c r="D27" s="253"/>
      <c r="E27" s="253"/>
      <c r="F27" s="253"/>
      <c r="G27" s="253"/>
      <c r="H27" s="253"/>
      <c r="I27" s="253"/>
      <c r="J27" s="253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53"/>
      <c r="B28" s="253"/>
      <c r="C28" s="253"/>
      <c r="D28" s="253"/>
      <c r="E28" s="253"/>
      <c r="F28" s="253"/>
      <c r="G28" s="253"/>
      <c r="H28" s="253"/>
      <c r="I28" s="253"/>
      <c r="J28" s="253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53"/>
      <c r="B29" s="253"/>
      <c r="C29" s="253"/>
      <c r="D29" s="253"/>
      <c r="E29" s="253"/>
      <c r="F29" s="253"/>
      <c r="G29" s="253"/>
      <c r="H29" s="253"/>
      <c r="I29" s="253"/>
      <c r="J29" s="253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53"/>
      <c r="B30" s="253"/>
      <c r="C30" s="253"/>
      <c r="D30" s="253"/>
      <c r="E30" s="253"/>
      <c r="F30" s="253"/>
      <c r="G30" s="253"/>
      <c r="H30" s="253"/>
      <c r="I30" s="253"/>
      <c r="J30" s="253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53"/>
      <c r="B31" s="253"/>
      <c r="C31" s="253"/>
      <c r="D31" s="253"/>
      <c r="E31" s="253"/>
      <c r="F31" s="253"/>
      <c r="G31" s="253"/>
      <c r="H31" s="253"/>
      <c r="I31" s="253"/>
      <c r="J31" s="253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54" t="s">
        <v>1</v>
      </c>
      <c r="B32" s="254"/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</row>
    <row r="33" spans="1:26">
      <c r="A33" s="254"/>
      <c r="B33" s="254"/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</row>
    <row r="34" spans="1:26">
      <c r="A34" s="254"/>
      <c r="B34" s="254"/>
      <c r="C34" s="254"/>
      <c r="D34" s="254"/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</row>
    <row r="35" spans="1:26">
      <c r="A35" s="254"/>
      <c r="B35" s="254"/>
      <c r="C35" s="254"/>
      <c r="D35" s="254"/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</row>
    <row r="36" spans="1:26">
      <c r="A36" s="254"/>
      <c r="B36" s="254"/>
      <c r="C36" s="254"/>
      <c r="D36" s="254"/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</row>
    <row r="37" spans="1:26">
      <c r="A37" s="254"/>
      <c r="B37" s="254"/>
      <c r="C37" s="254"/>
      <c r="D37" s="254"/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</row>
    <row r="38" spans="1:26">
      <c r="A38" s="254"/>
      <c r="B38" s="254"/>
      <c r="C38" s="254"/>
      <c r="D38" s="254"/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</row>
    <row r="39" spans="1:26">
      <c r="A39" s="254"/>
      <c r="B39" s="254"/>
      <c r="C39" s="254"/>
      <c r="D39" s="254"/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</row>
    <row r="40" spans="1:26">
      <c r="A40" s="254"/>
      <c r="B40" s="254"/>
      <c r="C40" s="254"/>
      <c r="D40" s="254"/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</row>
    <row r="41" spans="1:26">
      <c r="A41" s="254"/>
      <c r="B41" s="254"/>
      <c r="C41" s="254"/>
      <c r="D41" s="254"/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</row>
    <row r="42" spans="1:26">
      <c r="A42" s="254"/>
      <c r="B42" s="254"/>
      <c r="C42" s="254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</row>
    <row r="43" spans="1:26">
      <c r="A43" s="254"/>
      <c r="B43" s="254"/>
      <c r="C43" s="254"/>
      <c r="D43" s="254"/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</row>
    <row r="44" spans="1:26">
      <c r="A44" s="254"/>
      <c r="B44" s="254"/>
      <c r="C44" s="254"/>
      <c r="D44" s="254"/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</row>
    <row r="45" spans="1:26">
      <c r="A45" s="254"/>
      <c r="B45" s="254"/>
      <c r="C45" s="254"/>
      <c r="D45" s="254"/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</row>
    <row r="46" spans="1:26">
      <c r="A46" s="254"/>
      <c r="B46" s="254"/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</row>
    <row r="47" spans="1:26">
      <c r="A47" s="254"/>
      <c r="B47" s="254"/>
      <c r="C47" s="254"/>
      <c r="D47" s="254"/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</row>
    <row r="48" spans="1:26">
      <c r="A48" s="254"/>
      <c r="B48" s="254"/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</row>
    <row r="49" spans="1:26">
      <c r="A49" s="254"/>
      <c r="B49" s="254"/>
      <c r="C49" s="254"/>
      <c r="D49" s="254"/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</row>
    <row r="50" spans="1:26">
      <c r="A50" s="254"/>
      <c r="B50" s="254"/>
      <c r="C50" s="254"/>
      <c r="D50" s="254"/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</row>
    <row r="51" spans="1:26">
      <c r="A51" s="254"/>
      <c r="B51" s="254"/>
      <c r="C51" s="254"/>
      <c r="D51" s="254"/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</row>
    <row r="52" spans="1:26">
      <c r="A52" s="254"/>
      <c r="B52" s="254"/>
      <c r="C52" s="254"/>
      <c r="D52" s="254"/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</row>
    <row r="53" spans="1:26">
      <c r="A53" s="254"/>
      <c r="B53" s="254"/>
      <c r="C53" s="254"/>
      <c r="D53" s="254"/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</row>
    <row r="54" spans="1:26">
      <c r="A54" s="254"/>
      <c r="B54" s="254"/>
      <c r="C54" s="254"/>
      <c r="D54" s="254"/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</row>
    <row r="55" spans="1:26">
      <c r="A55" s="254"/>
      <c r="B55" s="254"/>
      <c r="C55" s="254"/>
      <c r="D55" s="254"/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</row>
    <row r="56" spans="1:26">
      <c r="A56" s="254"/>
      <c r="B56" s="254"/>
      <c r="C56" s="254"/>
      <c r="D56" s="254"/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</row>
    <row r="57" spans="1:26">
      <c r="A57" s="254"/>
      <c r="B57" s="254"/>
      <c r="C57" s="254"/>
      <c r="D57" s="254"/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</row>
    <row r="58" spans="1:26">
      <c r="A58" s="254"/>
      <c r="B58" s="254"/>
      <c r="C58" s="254"/>
      <c r="D58" s="254"/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</row>
    <row r="59" spans="1:26">
      <c r="A59" s="254"/>
      <c r="B59" s="254"/>
      <c r="C59" s="254"/>
      <c r="D59" s="254"/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</row>
    <row r="60" spans="1:26">
      <c r="A60" s="254"/>
      <c r="B60" s="254"/>
      <c r="C60" s="254"/>
      <c r="D60" s="254"/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</row>
    <row r="61" spans="1:26">
      <c r="A61" s="254"/>
      <c r="B61" s="254"/>
      <c r="C61" s="254"/>
      <c r="D61" s="254"/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</row>
    <row r="62" spans="1:26">
      <c r="A62" s="254"/>
      <c r="B62" s="254"/>
      <c r="C62" s="254"/>
      <c r="D62" s="254"/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A4" sqref="A4"/>
    </sheetView>
  </sheetViews>
  <sheetFormatPr defaultColWidth="9" defaultRowHeight="16.8" outlineLevelCol="1"/>
  <cols>
    <col min="1" max="1" width="43.25" style="233" customWidth="1"/>
    <col min="2" max="2" width="34.125" style="233" customWidth="1"/>
    <col min="3" max="16384" width="9" style="233"/>
  </cols>
  <sheetData>
    <row r="1" ht="45" customHeight="1" spans="1:2">
      <c r="A1" s="234" t="s">
        <v>2</v>
      </c>
      <c r="B1" s="235" t="s">
        <v>3</v>
      </c>
    </row>
    <row r="2" ht="45" customHeight="1" spans="1:2">
      <c r="A2" s="236" t="s">
        <v>4</v>
      </c>
      <c r="B2" s="237" t="b">
        <v>1</v>
      </c>
    </row>
    <row r="3" ht="36" customHeight="1" spans="1:2">
      <c r="A3" s="238" t="s">
        <v>5</v>
      </c>
      <c r="B3" s="239">
        <v>45402</v>
      </c>
    </row>
    <row r="4" ht="45" customHeight="1" spans="1:2">
      <c r="A4" s="234" t="s">
        <v>6</v>
      </c>
      <c r="B4" s="240" t="str">
        <f>IF(B2,TEXT(EDATE(B3,1)-1,"dd-mmm-yyyy"),TEXT(EDATE(B3,1)-1,"dd-mmm-yyyy"))</f>
        <v>19-May-2024</v>
      </c>
    </row>
    <row r="5" ht="45" customHeight="1" spans="1:2">
      <c r="A5" s="236" t="s">
        <v>7</v>
      </c>
      <c r="B5" s="241">
        <v>45777</v>
      </c>
    </row>
    <row r="6" ht="45" customHeight="1" spans="1:2">
      <c r="A6" s="236"/>
      <c r="B6" s="241"/>
    </row>
    <row r="7" ht="24.75" customHeight="1" spans="1:2">
      <c r="A7" s="242"/>
      <c r="B7" s="243"/>
    </row>
    <row r="8" ht="40" customHeight="1" spans="1:2">
      <c r="A8" s="244" t="s">
        <v>8</v>
      </c>
      <c r="B8" s="244"/>
    </row>
    <row r="9" ht="20.25" customHeight="1" spans="1:2">
      <c r="A9" s="245" t="str">
        <f>TEXT(B3,"dd mmmm yyyy")&amp;" - "&amp;IF(B2,TEXT(EDATE(B3,1)-1,"dd mmmm yyyy"),TEXT(B3+B5-B3,"dd mmmm yyyy"))</f>
        <v>20 April 2024 - 19 May 2024</v>
      </c>
      <c r="B9" s="246" t="s">
        <v>9</v>
      </c>
    </row>
    <row r="10" ht="20.25" customHeight="1" spans="1:2">
      <c r="A10" s="237" t="str">
        <f>IF(B2,TEXT(EDATE(B3,1),"dd mmmm yyyy"),TEXT(B3+(B5-B3)+1,"dd mmmm yyyy"))&amp;" - "&amp;IF(B2,TEXT(EDATE(B3,2)-1,"dd mmmm yyyy"),TEXT(B3+(B5-B3)*2+1,"dd mmmm yyyy"))</f>
        <v>20 May 2024 - 19 June 2024</v>
      </c>
      <c r="B10" s="246"/>
    </row>
    <row r="11" ht="20.25" customHeight="1" spans="1:2">
      <c r="A11" s="237" t="str">
        <f>IF(B2,TEXT(EDATE(B3,2),"dd mmmm yyyy"),TEXT(B3+((B5-B3)*2)+2,"dd mmmm yyyy"))&amp;" - "&amp;IF(B2,TEXT(EDATE(B3,3)-1,"dd mmmm yyyy"),TEXT(B3+((B5-B3)*3+2),"dd mmmm yyyy"))</f>
        <v>20 June 2024 - 19 July 2024</v>
      </c>
      <c r="B11" s="247"/>
    </row>
    <row r="12" ht="20.25" customHeight="1" spans="1:2">
      <c r="A12" s="248" t="str">
        <f>IF(B2,TEXT(EDATE(B3,3),"dd mmmm yyyy"),TEXT(B3+((B5-B3)*3)+3,"dd mmmm yyyy"))&amp;" - "&amp;IF(B2,TEXT(EDATE(B3,4)-1,"dd mmmm yyyy"),TEXT(B3+(((B5-B3)*4)+3),"dd mmmm yyyy"))</f>
        <v>20 July 2024 - 19 August 2024</v>
      </c>
      <c r="B12" s="235" t="s">
        <v>10</v>
      </c>
    </row>
    <row r="13" ht="20.25" customHeight="1" spans="1:2">
      <c r="A13" s="248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49"/>
    </row>
    <row r="14" ht="20.25" customHeight="1" spans="1:2">
      <c r="A14" s="237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0"/>
    </row>
    <row r="15" ht="20.25" customHeight="1" spans="1:2">
      <c r="A15" s="237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35" t="s">
        <v>11</v>
      </c>
    </row>
    <row r="16" ht="20.25" customHeight="1" spans="1:2">
      <c r="A16" s="237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49"/>
    </row>
    <row r="17" ht="20.25" customHeight="1" spans="1:2">
      <c r="A17" s="237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0"/>
    </row>
    <row r="18" ht="20.25" customHeight="1" spans="1:2">
      <c r="A18" s="237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35" t="s">
        <v>12</v>
      </c>
    </row>
    <row r="19" ht="20.25" customHeight="1" spans="1:2">
      <c r="A19" s="237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49"/>
    </row>
    <row r="20" ht="20.25" customHeight="1" spans="1:2">
      <c r="A20" s="251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0"/>
    </row>
    <row r="21" ht="20.25" customHeight="1" spans="1:2">
      <c r="A21" s="252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37" t="s">
        <v>13</v>
      </c>
    </row>
    <row r="22" ht="20.25" customHeight="1" spans="1:2">
      <c r="A22" s="252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37"/>
    </row>
    <row r="23" ht="20.25" customHeight="1" spans="1:2">
      <c r="A23" s="251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35"/>
    </row>
    <row r="24" ht="20.25" customHeight="1" spans="1:2">
      <c r="A24" s="237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37" t="s">
        <v>14</v>
      </c>
    </row>
    <row r="25" ht="20.25" customHeight="1" spans="1:2">
      <c r="A25" s="237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37"/>
    </row>
    <row r="26" ht="20.25" customHeight="1" spans="1:2">
      <c r="A26" s="235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35"/>
    </row>
    <row r="27" ht="20.25" customHeight="1" spans="1:2">
      <c r="A27" s="237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37" t="s">
        <v>15</v>
      </c>
    </row>
    <row r="28" ht="20.25" customHeight="1" spans="1:2">
      <c r="A28" s="237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37"/>
    </row>
    <row r="29" ht="20.25" customHeight="1" spans="1:2">
      <c r="A29" s="235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35"/>
    </row>
    <row r="30" ht="20.25" customHeight="1" spans="1:2">
      <c r="A30" s="237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37" t="s">
        <v>16</v>
      </c>
    </row>
    <row r="31" ht="20.25" customHeight="1" spans="1:2">
      <c r="A31" s="237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37"/>
    </row>
    <row r="32" ht="20.25" customHeight="1" spans="1:2">
      <c r="A32" s="235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35"/>
    </row>
    <row r="33" ht="20.25" customHeight="1" spans="1:2">
      <c r="A33" s="237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37" t="s">
        <v>17</v>
      </c>
    </row>
    <row r="34" ht="20.25" customHeight="1" spans="1:2">
      <c r="A34" s="237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37"/>
    </row>
    <row r="35" ht="20.25" customHeight="1" spans="1:2">
      <c r="A35" s="235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35"/>
    </row>
    <row r="36" ht="20.25" customHeight="1" spans="1:2">
      <c r="A36" s="237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37" t="s">
        <v>18</v>
      </c>
    </row>
    <row r="37" ht="20.25" customHeight="1" spans="1:2">
      <c r="A37" s="237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37"/>
    </row>
    <row r="38" ht="20.25" customHeight="1" spans="1:2">
      <c r="A38" s="235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35"/>
    </row>
    <row r="39" ht="20.25" customHeight="1" spans="1:2">
      <c r="A39" s="237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37" t="s">
        <v>19</v>
      </c>
    </row>
    <row r="40" ht="20.25" customHeight="1" spans="1:2">
      <c r="A40" s="237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37"/>
    </row>
    <row r="41" ht="20.25" customHeight="1" spans="1:2">
      <c r="A41" s="235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35"/>
    </row>
    <row r="42" ht="20.25" customHeight="1" spans="1:2">
      <c r="A42" s="237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37" t="s">
        <v>20</v>
      </c>
    </row>
    <row r="43" ht="20.25" customHeight="1" spans="1:2">
      <c r="A43" s="237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37"/>
    </row>
    <row r="44" ht="20.25" customHeight="1" spans="1:2">
      <c r="A44" s="235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35"/>
    </row>
    <row r="45" ht="20.25" customHeight="1" spans="1:2">
      <c r="A45" s="237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37" t="s">
        <v>21</v>
      </c>
    </row>
    <row r="46" ht="20.25" customHeight="1" spans="1:2">
      <c r="A46" s="237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37"/>
    </row>
    <row r="47" ht="20.25" customHeight="1" spans="1:2">
      <c r="A47" s="235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35"/>
    </row>
    <row r="48" ht="20.25" customHeight="1" spans="1:2">
      <c r="A48" s="237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37" t="s">
        <v>22</v>
      </c>
    </row>
    <row r="49" ht="20.25" customHeight="1" spans="1:2">
      <c r="A49" s="237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37"/>
    </row>
    <row r="50" ht="20.25" customHeight="1" spans="1:2">
      <c r="A50" s="235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35"/>
    </row>
    <row r="51" ht="20.25" customHeight="1" spans="1:2">
      <c r="A51" s="237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37" t="s">
        <v>23</v>
      </c>
    </row>
    <row r="52" ht="20.25" customHeight="1" spans="1:2">
      <c r="A52" s="237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37"/>
    </row>
    <row r="53" ht="20.25" customHeight="1" spans="1:2">
      <c r="A53" s="235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35"/>
    </row>
    <row r="54" ht="20.25" customHeight="1" spans="1:2">
      <c r="A54" s="237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37" t="s">
        <v>24</v>
      </c>
    </row>
    <row r="55" ht="20.25" customHeight="1" spans="1:2">
      <c r="A55" s="237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37"/>
    </row>
    <row r="56" ht="20.25" customHeight="1" spans="1:2">
      <c r="A56" s="237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37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3" customFormat="1" ht="20.25" customHeight="1"/>
    <row r="66" s="233" customFormat="1" ht="20.25" customHeight="1"/>
    <row r="67" s="233" customFormat="1" ht="20.25" customHeight="1"/>
    <row r="68" s="233" customFormat="1" ht="20.25" customHeight="1"/>
    <row r="69" s="233" customFormat="1" ht="20.25" customHeight="1"/>
    <row r="70" s="233" customFormat="1" ht="20.25" customHeight="1"/>
    <row r="71" s="233" customFormat="1" ht="20.25" customHeight="1"/>
    <row r="72" s="233" customFormat="1" ht="20.25" customHeight="1"/>
    <row r="73" s="233" customFormat="1" ht="20.25" customHeight="1"/>
    <row r="74" s="233" customFormat="1" ht="20.25" customHeight="1"/>
    <row r="75" s="233" customFormat="1" ht="20.25" customHeight="1"/>
    <row r="76" s="233" customFormat="1" ht="20.25" customHeight="1"/>
    <row r="77" s="233" customFormat="1" ht="20.25" customHeight="1"/>
    <row r="78" s="233" customFormat="1" ht="20.25" customHeight="1"/>
    <row r="79" s="233" customFormat="1" ht="20.25" customHeight="1"/>
    <row r="80" s="233" customFormat="1" ht="20.25" customHeight="1"/>
    <row r="81" s="233" customFormat="1" ht="20.25" customHeight="1"/>
    <row r="82" s="233" customFormat="1" ht="20.25" customHeight="1"/>
    <row r="83" s="233" customFormat="1" ht="20.25" customHeight="1"/>
    <row r="84" s="233" customFormat="1" ht="20.25" customHeight="1"/>
    <row r="85" s="233" customFormat="1" ht="20.25" customHeight="1"/>
    <row r="86" s="233" customFormat="1" ht="20.25" customHeight="1"/>
    <row r="87" s="233" customFormat="1" ht="20.25" customHeight="1"/>
    <row r="88" s="233" customFormat="1" ht="20.25" customHeight="1"/>
    <row r="89" s="233" customFormat="1" ht="20.25" customHeight="1"/>
    <row r="90" s="233" customFormat="1" ht="20.25" customHeight="1"/>
    <row r="91" s="233" customFormat="1" ht="20.25" customHeight="1"/>
    <row r="92" s="233" customFormat="1" ht="20.25" customHeight="1"/>
    <row r="93" s="233" customFormat="1" ht="20.25" customHeight="1"/>
    <row r="94" s="233" customFormat="1" ht="20.25" customHeight="1"/>
    <row r="95" s="233" customFormat="1" ht="20.25" customHeight="1"/>
    <row r="96" s="233" customFormat="1" ht="20.25" customHeight="1"/>
    <row r="97" s="233" customFormat="1" ht="20.25" customHeight="1"/>
    <row r="98" s="233" customFormat="1" ht="20.25" customHeight="1"/>
    <row r="99" s="233" customFormat="1" ht="20.25" customHeight="1"/>
    <row r="100" s="233" customFormat="1" ht="20.25" customHeight="1"/>
    <row r="101" s="233" customFormat="1" ht="20.25" customHeight="1"/>
    <row r="102" s="233" customFormat="1" ht="20.25" customHeight="1"/>
    <row r="103" s="233" customFormat="1" ht="20.25" customHeight="1"/>
    <row r="104" s="233" customFormat="1" ht="20.25" customHeight="1"/>
    <row r="105" s="233" customFormat="1" ht="20.25" customHeight="1"/>
    <row r="106" s="233" customFormat="1" ht="20.25" customHeight="1"/>
    <row r="107" s="233" customFormat="1" ht="20.25" customHeight="1"/>
    <row r="108" s="233" customFormat="1" ht="20.25" customHeight="1"/>
    <row r="109" s="233" customFormat="1" ht="20.25" customHeight="1"/>
    <row r="110" s="233" customFormat="1" ht="20.25" customHeight="1"/>
    <row r="111" s="233" customFormat="1" ht="20.25" customHeight="1"/>
    <row r="112" s="233" customFormat="1" ht="20.25" customHeight="1"/>
    <row r="113" s="233" customFormat="1" ht="20.25" customHeight="1"/>
    <row r="114" s="233" customFormat="1" ht="20.25" customHeight="1"/>
    <row r="115" s="233" customFormat="1" ht="20.25" customHeight="1"/>
    <row r="116" s="233" customFormat="1" ht="20.25" customHeight="1"/>
    <row r="117" s="233" customFormat="1" ht="20.25" customHeight="1"/>
    <row r="118" s="233" customFormat="1" ht="20.25" customHeight="1"/>
    <row r="119" s="233" customFormat="1" ht="20.25" customHeight="1"/>
    <row r="120" s="233" customFormat="1" ht="20.25" customHeight="1"/>
    <row r="121" s="233" customFormat="1" ht="20.25" customHeight="1"/>
    <row r="122" s="233" customFormat="1" ht="20.25" customHeight="1"/>
    <row r="123" s="233" customFormat="1" ht="20.25" customHeight="1"/>
    <row r="124" s="233" customFormat="1" ht="20.25" customHeight="1"/>
    <row r="125" s="233" customFormat="1" ht="20.25" customHeight="1"/>
    <row r="126" s="233" customFormat="1" ht="20.25" customHeight="1"/>
    <row r="127" s="233" customFormat="1" ht="20.25" customHeight="1"/>
    <row r="129" s="233" customFormat="1" ht="20.25" customHeight="1"/>
    <row r="130" s="233" customFormat="1" ht="20.25" customHeight="1"/>
    <row r="131" s="233" customFormat="1" ht="20.25" customHeight="1"/>
    <row r="132" s="233" customFormat="1" ht="20.25" customHeight="1"/>
    <row r="133" s="233" customFormat="1" ht="20.25" customHeight="1"/>
    <row r="134" s="233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opLeftCell="A50" workbookViewId="0">
      <selection activeCell="C117" sqref="C117"/>
    </sheetView>
  </sheetViews>
  <sheetFormatPr defaultColWidth="9" defaultRowHeight="17.6"/>
  <cols>
    <col min="1" max="1" width="24.0694444444444" style="162" customWidth="1"/>
    <col min="2" max="2" width="32.9861111111111" style="162" customWidth="1"/>
    <col min="3" max="4" width="20.625" style="162" customWidth="1"/>
    <col min="5" max="5" width="25.625" style="162" customWidth="1"/>
    <col min="6" max="6" width="20.625" style="162" customWidth="1"/>
    <col min="7" max="7" width="9" style="162"/>
    <col min="8" max="8" width="23" style="162" customWidth="1"/>
    <col min="9" max="9" width="40.75" style="47" customWidth="1"/>
    <col min="10" max="10" width="28.625" style="162" customWidth="1"/>
    <col min="11" max="12" width="9" style="162"/>
    <col min="13" max="13" width="36.625" style="162" customWidth="1"/>
    <col min="14" max="14" width="21.125" style="162" customWidth="1"/>
    <col min="15" max="16384" width="9" style="162"/>
  </cols>
  <sheetData>
    <row r="1" ht="35" customHeight="1" spans="1:14">
      <c r="A1" s="163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3"/>
      <c r="C1" s="163"/>
      <c r="D1" s="163"/>
      <c r="E1" s="163"/>
      <c r="F1" s="163"/>
      <c r="I1" s="202" t="s">
        <v>25</v>
      </c>
      <c r="J1" s="202"/>
      <c r="M1" s="202" t="s">
        <v>26</v>
      </c>
      <c r="N1" s="202"/>
    </row>
    <row r="2" ht="35" customHeight="1" spans="1:14">
      <c r="A2" s="164" t="s">
        <v>27</v>
      </c>
      <c r="B2" s="165"/>
      <c r="C2" s="165"/>
      <c r="D2" s="166" t="s">
        <v>28</v>
      </c>
      <c r="E2" s="166"/>
      <c r="F2" s="166"/>
      <c r="I2" s="203" t="s">
        <v>29</v>
      </c>
      <c r="J2" s="204" t="s">
        <v>30</v>
      </c>
      <c r="M2" s="214" t="s">
        <v>31</v>
      </c>
      <c r="N2" s="204" t="s">
        <v>32</v>
      </c>
    </row>
    <row r="3" ht="35" customHeight="1" spans="1:14">
      <c r="A3" s="167" t="s">
        <v>33</v>
      </c>
      <c r="B3" s="168" t="s">
        <v>34</v>
      </c>
      <c r="C3" s="169">
        <v>12</v>
      </c>
      <c r="D3" s="170" t="s">
        <v>33</v>
      </c>
      <c r="E3" s="5" t="s">
        <v>34</v>
      </c>
      <c r="F3" s="197">
        <v>12</v>
      </c>
      <c r="I3" s="205" t="str">
        <f>TEXT(Main!B3,"dd mmmm yyyy")&amp;" - "&amp;IF(Main!B2,TEXT(EDATE(Main!B3,1)-1,"dd mmmm yyyy"),TEXT(Main!B3+(Main!B5-Main!B3)*1,"dd mmmm yyyy"))</f>
        <v>20 April 2024 - 19 May 2024</v>
      </c>
      <c r="J3" s="206">
        <f>E149</f>
        <v>0</v>
      </c>
      <c r="M3" s="211" t="str">
        <f>TEXT(Main!B3,"dd mmmm yyyy")&amp;" - "&amp;IF(Main!B2,TEXT(EDATE(Main!B3,3)-1,"dd mmmm yyyy"),TEXT(Main!B3+((Main!B5-Main!B3)*3+2),"dd mmmm yyyy"))</f>
        <v>20 April 2024 - 19 July 2024</v>
      </c>
      <c r="N3" s="206">
        <f>-C122</f>
        <v>-24333</v>
      </c>
    </row>
    <row r="4" ht="35" customHeight="1" spans="1:14">
      <c r="A4" s="167"/>
      <c r="B4" s="168" t="s">
        <v>35</v>
      </c>
      <c r="C4" s="169">
        <v>20</v>
      </c>
      <c r="D4" s="171"/>
      <c r="E4" s="5" t="s">
        <v>35</v>
      </c>
      <c r="F4" s="197">
        <v>0</v>
      </c>
      <c r="I4" s="207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06">
        <f>E176</f>
        <v>-416.68</v>
      </c>
      <c r="M4" s="211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06">
        <f ca="1">'July 2024 - September 2024'!C5</f>
        <v>-11683</v>
      </c>
    </row>
    <row r="5" ht="35" customHeight="1" spans="1:14">
      <c r="A5" s="167"/>
      <c r="B5" s="168" t="s">
        <v>36</v>
      </c>
      <c r="C5" s="169">
        <v>0</v>
      </c>
      <c r="D5" s="171"/>
      <c r="E5" s="5" t="s">
        <v>36</v>
      </c>
      <c r="F5" s="197">
        <v>0</v>
      </c>
      <c r="I5" s="207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06">
        <f>E203</f>
        <v>3260.12</v>
      </c>
      <c r="M5" s="211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06">
        <f ca="1">'October 2024 - December 2024'!C5</f>
        <v>-10683</v>
      </c>
    </row>
    <row r="6" ht="35" customHeight="1" spans="1:14">
      <c r="A6" s="167"/>
      <c r="B6" s="168" t="s">
        <v>37</v>
      </c>
      <c r="C6" s="169">
        <v>0</v>
      </c>
      <c r="D6" s="171"/>
      <c r="E6" s="5" t="s">
        <v>37</v>
      </c>
      <c r="F6" s="197">
        <v>0</v>
      </c>
      <c r="I6" s="208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06">
        <f ca="1">'July 2024 - September 2024'!E136</f>
        <v>699.839999999999</v>
      </c>
      <c r="M6" s="211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06">
        <f ca="1">'January 2025 - March 2025'!C5</f>
        <v>-6983</v>
      </c>
    </row>
    <row r="7" ht="35" customHeight="1" spans="1:14">
      <c r="A7" s="167"/>
      <c r="B7" s="168" t="s">
        <v>38</v>
      </c>
      <c r="C7" s="169">
        <v>40.1</v>
      </c>
      <c r="D7" s="171"/>
      <c r="E7" s="5" t="s">
        <v>38</v>
      </c>
      <c r="F7" s="197">
        <v>40.1</v>
      </c>
      <c r="I7" s="208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06">
        <f ca="1">'July 2024 - September 2024'!E163</f>
        <v>625.069999999999</v>
      </c>
      <c r="M7" s="211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06">
        <f ca="1">'April 2025 - June 2025'!C5</f>
        <v>-3083</v>
      </c>
    </row>
    <row r="8" ht="35" customHeight="1" spans="1:14">
      <c r="A8" s="167"/>
      <c r="B8" s="168" t="s">
        <v>39</v>
      </c>
      <c r="C8" s="169">
        <v>0</v>
      </c>
      <c r="D8" s="171"/>
      <c r="E8" s="5" t="s">
        <v>39</v>
      </c>
      <c r="F8" s="197">
        <v>0</v>
      </c>
      <c r="H8" s="198"/>
      <c r="I8" s="207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06">
        <f ca="1">'July 2024 - September 2024'!E190</f>
        <v>502.71</v>
      </c>
      <c r="M8" s="215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06">
        <f ca="1">'July 2025 - September 2025'!C5</f>
        <v>0</v>
      </c>
    </row>
    <row r="9" ht="35" customHeight="1" spans="1:14">
      <c r="A9" s="167"/>
      <c r="B9" s="168" t="s">
        <v>40</v>
      </c>
      <c r="C9" s="169">
        <v>0</v>
      </c>
      <c r="D9" s="171"/>
      <c r="E9" s="5" t="s">
        <v>40</v>
      </c>
      <c r="F9" s="197">
        <v>0</v>
      </c>
      <c r="I9" s="207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06">
        <f ca="1">'October 2024 - December 2024'!E136</f>
        <v>125.16</v>
      </c>
      <c r="M9" s="211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16">
        <f ca="1">'October 2025 - December 2025'!C5</f>
        <v>0</v>
      </c>
    </row>
    <row r="10" ht="35" customHeight="1" spans="1:14">
      <c r="A10" s="167"/>
      <c r="B10" s="168" t="s">
        <v>41</v>
      </c>
      <c r="C10" s="169">
        <v>0</v>
      </c>
      <c r="D10" s="171"/>
      <c r="E10" s="5" t="s">
        <v>41</v>
      </c>
      <c r="F10" s="197">
        <v>0</v>
      </c>
      <c r="I10" s="207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06">
        <f ca="1">'October 2024 - December 2024'!E163</f>
        <v>229.400000000001</v>
      </c>
      <c r="M10" s="217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06">
        <f ca="1">'January 2026 - March 2026'!C5</f>
        <v>0</v>
      </c>
    </row>
    <row r="11" ht="35" customHeight="1" spans="1:14">
      <c r="A11" s="167"/>
      <c r="B11" s="168" t="s">
        <v>42</v>
      </c>
      <c r="C11" s="169">
        <v>20</v>
      </c>
      <c r="D11" s="171"/>
      <c r="E11" s="5" t="s">
        <v>42</v>
      </c>
      <c r="F11" s="197">
        <v>15</v>
      </c>
      <c r="H11" s="198"/>
      <c r="I11" s="207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06">
        <f ca="1">'October 2024 - December 2024'!E190</f>
        <v>173.340000000001</v>
      </c>
      <c r="M11" s="211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0">
        <f ca="1">'April 2026 - June 2026'!C5</f>
        <v>0</v>
      </c>
    </row>
    <row r="12" ht="35" customHeight="1" spans="1:14">
      <c r="A12" s="167"/>
      <c r="B12" s="168" t="s">
        <v>43</v>
      </c>
      <c r="C12" s="169">
        <v>70</v>
      </c>
      <c r="D12" s="171"/>
      <c r="E12" s="199" t="s">
        <v>43</v>
      </c>
      <c r="F12" s="197">
        <v>70</v>
      </c>
      <c r="I12" s="207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06">
        <f ca="1">'January 2025 - March 2025'!E136</f>
        <v>112.000000000001</v>
      </c>
      <c r="M12" s="207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0">
        <f ca="1">'July 2026 - September 2026'!C5</f>
        <v>0</v>
      </c>
    </row>
    <row r="13" ht="35" customHeight="1" spans="1:14">
      <c r="A13" s="167"/>
      <c r="B13" s="168" t="s">
        <v>44</v>
      </c>
      <c r="C13" s="169">
        <v>9</v>
      </c>
      <c r="D13" s="171"/>
      <c r="E13" s="199" t="s">
        <v>44</v>
      </c>
      <c r="F13" s="197">
        <v>9</v>
      </c>
      <c r="I13" s="209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06">
        <f ca="1">'January 2025 - March 2025'!E163</f>
        <v>355.200000000001</v>
      </c>
      <c r="M13" s="207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0">
        <f ca="1">'October 2026 - December 2026'!C5</f>
        <v>0</v>
      </c>
    </row>
    <row r="14" ht="35" customHeight="1" spans="1:14">
      <c r="A14" s="167"/>
      <c r="B14" s="168" t="s">
        <v>45</v>
      </c>
      <c r="C14" s="169">
        <v>-14.6</v>
      </c>
      <c r="D14" s="171"/>
      <c r="E14" s="199" t="s">
        <v>45</v>
      </c>
      <c r="F14" s="197">
        <v>-14.6</v>
      </c>
      <c r="I14" s="209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0">
        <f ca="1">'January 2025 - March 2025'!E190</f>
        <v>166.500000000001</v>
      </c>
      <c r="M14" s="207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0">
        <f ca="1">'January 2027 - March 2027'!C5</f>
        <v>0</v>
      </c>
    </row>
    <row r="15" ht="35" customHeight="1" spans="1:14">
      <c r="A15" s="167"/>
      <c r="B15" s="172" t="s">
        <v>46</v>
      </c>
      <c r="C15" s="169">
        <v>10</v>
      </c>
      <c r="D15" s="171"/>
      <c r="E15" s="199" t="s">
        <v>46</v>
      </c>
      <c r="F15" s="197">
        <v>60</v>
      </c>
      <c r="I15" s="211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0">
        <f ca="1">'April 2025 - June 2025'!E136</f>
        <v>679.500000000001</v>
      </c>
      <c r="M15" s="207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0">
        <f ca="1">'April 2027 - June 2027'!C5</f>
        <v>0</v>
      </c>
    </row>
    <row r="16" ht="35" customHeight="1" spans="1:14">
      <c r="A16" s="173"/>
      <c r="B16" s="174" t="s">
        <v>47</v>
      </c>
      <c r="C16" s="175">
        <f>SUM(C3:C15)</f>
        <v>166.5</v>
      </c>
      <c r="D16" s="176"/>
      <c r="E16" s="174" t="s">
        <v>47</v>
      </c>
      <c r="F16" s="200">
        <f>SUM(F3:F15)</f>
        <v>191.5</v>
      </c>
      <c r="I16" s="211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0">
        <f ca="1">'April 2025 - June 2025'!E163</f>
        <v>833.500000000001</v>
      </c>
      <c r="M16" s="207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0">
        <f ca="1">Forecast_14!C5</f>
        <v>0</v>
      </c>
    </row>
    <row r="17" ht="35" customHeight="1" spans="9:14">
      <c r="I17" s="211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0">
        <f ca="1">'April 2025 - June 2025'!E190</f>
        <v>596.500000000001</v>
      </c>
      <c r="M17" s="207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0">
        <f ca="1">Forecast_15!C5</f>
        <v>0</v>
      </c>
    </row>
    <row r="18" ht="35" customHeight="1" spans="9:14">
      <c r="I18" s="211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0">
        <f ca="1">'July 2025 - September 2025'!E136</f>
        <v>465.500000000001</v>
      </c>
      <c r="M18" s="207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06">
        <f ca="1">Forecast_16!C5</f>
        <v>0</v>
      </c>
    </row>
    <row r="19" ht="35" customHeight="1" spans="9:10">
      <c r="I19" s="211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0">
        <f ca="1">'July 2025 - September 2025'!E163</f>
        <v>478.500000000001</v>
      </c>
    </row>
    <row r="20" ht="35" customHeight="1" spans="9:10">
      <c r="I20" s="211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0">
        <f ca="1">'July 2025 - September 2025'!E190</f>
        <v>413.500000000001</v>
      </c>
    </row>
    <row r="21" ht="35" customHeight="1" spans="9:10">
      <c r="I21" s="211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0">
        <f ca="1">'October 2025 - December 2025'!E136</f>
        <v>941.300000000001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2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0">
        <f ca="1">'October 2025 - December 2025'!E163</f>
        <v>1674.1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2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0">
        <f ca="1">'October 2025 - December 2025'!E190</f>
        <v>2165.9</v>
      </c>
    </row>
    <row r="24" ht="35" customHeight="1" spans="1:10">
      <c r="A24" s="19" t="s">
        <v>51</v>
      </c>
      <c r="B24" s="177" t="s">
        <v>52</v>
      </c>
      <c r="C24" s="20"/>
      <c r="D24" s="20" t="s">
        <v>53</v>
      </c>
      <c r="E24" s="20"/>
      <c r="F24" s="41">
        <v>2405</v>
      </c>
      <c r="G24" s="42"/>
      <c r="I24" s="211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0">
        <f ca="1">'January 2026 - March 2026'!E136</f>
        <v>2948.7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1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0">
        <f ca="1">'January 2026 - March 2026'!E163</f>
        <v>3280.5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09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0">
        <f ca="1">'January 2026 - March 2026'!E190</f>
        <v>4063.3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1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0">
        <f ca="1">'April 2026 - June 2026'!E136</f>
        <v>4555.1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1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0">
        <f ca="1">'April 2026 - June 2026'!E163</f>
        <v>5177.9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07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06">
        <f ca="1">'April 2026 - June 2026'!E190</f>
        <v>5669.7</v>
      </c>
    </row>
    <row r="30" ht="35" customHeight="1" spans="1:10">
      <c r="A30" s="178"/>
      <c r="B30" s="179"/>
      <c r="C30" s="180"/>
      <c r="D30" s="27" t="s">
        <v>54</v>
      </c>
      <c r="E30" s="44"/>
      <c r="F30" s="45">
        <f>SUM(F24:G29)</f>
        <v>2405</v>
      </c>
      <c r="G30" s="46"/>
      <c r="I30" s="211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3">
        <f ca="1">'July 2026 - September 2026'!E136</f>
        <v>6452.5</v>
      </c>
    </row>
    <row r="31" ht="35" customHeight="1" spans="9:10">
      <c r="I31" s="211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0">
        <f ca="1">'July 2026 - September 2026'!E163</f>
        <v>6784.3</v>
      </c>
    </row>
    <row r="32" ht="35" customHeight="1" spans="9:10">
      <c r="I32" s="211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0">
        <f ca="1">'July 2026 - September 2026'!E190</f>
        <v>7567.1</v>
      </c>
    </row>
    <row r="33" ht="35" customHeight="1" spans="9:10">
      <c r="I33" s="211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0">
        <f ca="1">'October 2026 - December 2026'!E136</f>
        <v>8058.9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1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0">
        <f ca="1">'October 2026 - December 2026'!E163</f>
        <v>8681.7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1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0">
        <f ca="1">'October 2026 - December 2026'!E190</f>
        <v>9173.5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1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0">
        <f ca="1">'January 2027 - March 2027'!E136</f>
        <v>9956.3</v>
      </c>
    </row>
    <row r="37" ht="35" customHeight="1" spans="1:10">
      <c r="A37" s="19" t="s">
        <v>56</v>
      </c>
      <c r="B37" s="21" t="s">
        <v>52</v>
      </c>
      <c r="C37" s="22"/>
      <c r="D37" s="112" t="s">
        <v>57</v>
      </c>
      <c r="E37" s="112"/>
      <c r="F37" s="41">
        <v>1035</v>
      </c>
      <c r="G37" s="42"/>
      <c r="I37" s="211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0">
        <f ca="1">'January 2027 - March 2027'!E163</f>
        <v>10288.1</v>
      </c>
    </row>
    <row r="38" ht="35" customHeight="1" spans="1:10">
      <c r="A38" s="19" t="s">
        <v>58</v>
      </c>
      <c r="B38" s="181" t="s">
        <v>59</v>
      </c>
      <c r="C38" s="22"/>
      <c r="D38" s="21" t="s">
        <v>60</v>
      </c>
      <c r="E38" s="22"/>
      <c r="F38" s="41">
        <v>50</v>
      </c>
      <c r="G38" s="42"/>
      <c r="I38" s="211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0">
        <f ca="1">'January 2027 - March 2027'!E190</f>
        <v>11070.9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1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0">
        <f ca="1">'April 2027 - June 2027'!E136</f>
        <v>11562.7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1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0">
        <f ca="1">'April 2027 - June 2027'!E163</f>
        <v>12185.5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07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0">
        <f ca="1">'April 2027 - June 2027'!E190</f>
        <v>12677.3</v>
      </c>
    </row>
    <row r="42" ht="35" customHeight="1" spans="1:10">
      <c r="A42" s="178"/>
      <c r="B42" s="179"/>
      <c r="C42" s="180"/>
      <c r="D42" s="27" t="s">
        <v>54</v>
      </c>
      <c r="E42" s="44"/>
      <c r="F42" s="45">
        <f>SUM(F36:G41)</f>
        <v>3490</v>
      </c>
      <c r="G42" s="46"/>
      <c r="I42" s="207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0">
        <f ca="1">Forecast_14!E136</f>
        <v>12677.3</v>
      </c>
    </row>
    <row r="43" ht="35" customHeight="1" spans="9:10">
      <c r="I43" s="207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0">
        <f ca="1">Forecast_14!E163</f>
        <v>12677.3</v>
      </c>
    </row>
    <row r="44" ht="35" customHeight="1" spans="9:10">
      <c r="I44" s="207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0">
        <f ca="1">Forecast_14!E190</f>
        <v>12677.3</v>
      </c>
    </row>
    <row r="45" ht="35" customHeight="1" spans="9:10">
      <c r="I45" s="207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0">
        <f ca="1">Forecast_15!E136</f>
        <v>12677.3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07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0">
        <f ca="1">Forecast_15!E163</f>
        <v>12677.3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07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0">
        <f ca="1">Forecast_15!E190</f>
        <v>12677.3</v>
      </c>
    </row>
    <row r="48" ht="35" customHeight="1" spans="1:10">
      <c r="A48" s="95" t="s">
        <v>61</v>
      </c>
      <c r="B48" s="96" t="s">
        <v>62</v>
      </c>
      <c r="C48" s="96"/>
      <c r="D48" s="182" t="s">
        <v>63</v>
      </c>
      <c r="E48" s="182"/>
      <c r="F48" s="201">
        <v>150</v>
      </c>
      <c r="G48" s="42"/>
      <c r="I48" s="207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0">
        <f ca="1">Forecast_16!E136</f>
        <v>12677.3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1">
        <v>2405</v>
      </c>
      <c r="G49" s="42"/>
      <c r="I49" s="207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0">
        <f ca="1">Forecast_16!E163</f>
        <v>12677.3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1">
        <v>7700</v>
      </c>
      <c r="G50" s="42"/>
      <c r="I50" s="207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06">
        <f ca="1">Forecast_16!E190</f>
        <v>12677.3</v>
      </c>
    </row>
    <row r="51" ht="35" customHeight="1" spans="1:7">
      <c r="A51" s="183" t="s">
        <v>68</v>
      </c>
      <c r="B51" s="184" t="s">
        <v>69</v>
      </c>
      <c r="C51" s="184"/>
      <c r="D51" s="97"/>
      <c r="E51" s="97"/>
      <c r="F51" s="201">
        <v>411.5</v>
      </c>
      <c r="G51" s="42"/>
    </row>
    <row r="52" ht="35" customHeight="1" spans="1:7">
      <c r="A52" s="185" t="s">
        <v>70</v>
      </c>
      <c r="B52" s="96" t="s">
        <v>71</v>
      </c>
      <c r="C52" s="96"/>
      <c r="D52" s="96" t="s">
        <v>72</v>
      </c>
      <c r="E52" s="96"/>
      <c r="F52" s="201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78"/>
      <c r="B54" s="179"/>
      <c r="C54" s="180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86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87"/>
      <c r="C58" s="188"/>
    </row>
    <row r="59" ht="35" customHeight="1" spans="1:3">
      <c r="A59" s="189" t="s">
        <v>48</v>
      </c>
      <c r="B59" s="189" t="s">
        <v>49</v>
      </c>
      <c r="C59" s="190" t="s">
        <v>50</v>
      </c>
    </row>
    <row r="60" ht="35" customHeight="1" spans="1:3">
      <c r="A60" s="191" t="s">
        <v>73</v>
      </c>
      <c r="B60" s="192"/>
      <c r="C60" s="193"/>
    </row>
    <row r="61" ht="35" customHeight="1" spans="1:3">
      <c r="A61" s="50" t="s">
        <v>74</v>
      </c>
      <c r="B61" s="194"/>
      <c r="C61" s="150">
        <v>204</v>
      </c>
    </row>
    <row r="62" ht="35" customHeight="1" spans="1:3">
      <c r="A62" s="50" t="s">
        <v>75</v>
      </c>
      <c r="B62" s="194"/>
      <c r="C62" s="150">
        <v>197</v>
      </c>
    </row>
    <row r="63" ht="35" customHeight="1" spans="1:3">
      <c r="A63" s="195" t="s">
        <v>76</v>
      </c>
      <c r="B63" s="194"/>
      <c r="C63" s="150">
        <v>0</v>
      </c>
    </row>
    <row r="64" ht="35" customHeight="1" spans="1:3">
      <c r="A64" s="50" t="s">
        <v>59</v>
      </c>
      <c r="B64" s="196"/>
      <c r="C64" s="150">
        <v>42</v>
      </c>
    </row>
    <row r="65" ht="35" customHeight="1" spans="1:3">
      <c r="A65" s="50" t="s">
        <v>77</v>
      </c>
      <c r="B65" s="194"/>
      <c r="C65" s="218">
        <v>0</v>
      </c>
    </row>
    <row r="66" ht="35" customHeight="1" spans="1:3">
      <c r="A66" s="50"/>
      <c r="B66" s="194"/>
      <c r="C66" s="218">
        <v>0</v>
      </c>
    </row>
    <row r="67" ht="35" customHeight="1" spans="1:3">
      <c r="A67" s="50"/>
      <c r="B67" s="194"/>
      <c r="C67" s="218">
        <v>0</v>
      </c>
    </row>
    <row r="68" ht="35" customHeight="1" spans="1:3">
      <c r="A68" s="50"/>
      <c r="B68" s="194"/>
      <c r="C68" s="218">
        <v>0</v>
      </c>
    </row>
    <row r="69" ht="35" customHeight="1" spans="1:3">
      <c r="A69" s="38"/>
      <c r="B69" s="39" t="s">
        <v>78</v>
      </c>
      <c r="C69" s="218">
        <f>SUM(C61:C68)</f>
        <v>443</v>
      </c>
    </row>
    <row r="70" ht="35" customHeight="1" spans="1:3">
      <c r="A70" s="191" t="s">
        <v>79</v>
      </c>
      <c r="B70" s="192"/>
      <c r="C70" s="193"/>
    </row>
    <row r="71" ht="35" customHeight="1" spans="1:3">
      <c r="A71" s="50" t="s">
        <v>80</v>
      </c>
      <c r="B71" s="194"/>
      <c r="C71" s="218">
        <v>0</v>
      </c>
    </row>
    <row r="72" ht="35" customHeight="1" spans="1:3">
      <c r="A72" s="50" t="s">
        <v>81</v>
      </c>
      <c r="B72" s="194"/>
      <c r="C72" s="218">
        <v>0</v>
      </c>
    </row>
    <row r="73" ht="35" customHeight="1" spans="1:3">
      <c r="A73" s="50" t="s">
        <v>82</v>
      </c>
      <c r="B73" s="194"/>
      <c r="C73" s="218">
        <v>0</v>
      </c>
    </row>
    <row r="74" ht="35" customHeight="1" spans="1:3">
      <c r="A74" s="50" t="s">
        <v>83</v>
      </c>
      <c r="B74" s="194"/>
      <c r="C74" s="218">
        <v>0</v>
      </c>
    </row>
    <row r="75" ht="35" customHeight="1" spans="1:3">
      <c r="A75" s="50"/>
      <c r="B75" s="194"/>
      <c r="C75" s="218">
        <v>0</v>
      </c>
    </row>
    <row r="76" ht="35" customHeight="1" spans="1:3">
      <c r="A76" s="50"/>
      <c r="B76" s="194"/>
      <c r="C76" s="218">
        <v>0</v>
      </c>
    </row>
    <row r="77" ht="35" customHeight="1" spans="1:3">
      <c r="A77" s="50"/>
      <c r="B77" s="194"/>
      <c r="C77" s="218">
        <v>0</v>
      </c>
    </row>
    <row r="78" ht="35" customHeight="1" spans="1:3">
      <c r="A78" s="50"/>
      <c r="B78" s="194"/>
      <c r="C78" s="218">
        <v>0</v>
      </c>
    </row>
    <row r="79" ht="35" customHeight="1" spans="1:3">
      <c r="A79" s="50"/>
      <c r="B79" s="194"/>
      <c r="C79" s="218">
        <v>0</v>
      </c>
    </row>
    <row r="80" ht="35" customHeight="1" spans="1:3">
      <c r="A80" s="219"/>
      <c r="B80" s="220" t="s">
        <v>78</v>
      </c>
      <c r="C80" s="218">
        <f>SUM(C71:C79)</f>
        <v>0</v>
      </c>
    </row>
    <row r="81" ht="35" customHeight="1" spans="1:3">
      <c r="A81" s="191" t="s">
        <v>84</v>
      </c>
      <c r="B81" s="192"/>
      <c r="C81" s="193"/>
    </row>
    <row r="82" ht="35" customHeight="1" spans="1:3">
      <c r="A82" s="50" t="s">
        <v>85</v>
      </c>
      <c r="B82" s="196" t="s">
        <v>86</v>
      </c>
      <c r="C82" s="36">
        <v>0</v>
      </c>
    </row>
    <row r="83" ht="35" customHeight="1" spans="1:3">
      <c r="A83" s="221" t="s">
        <v>87</v>
      </c>
      <c r="B83" s="194" t="s">
        <v>88</v>
      </c>
      <c r="C83" s="36">
        <v>0</v>
      </c>
    </row>
    <row r="84" ht="35" customHeight="1" spans="1:3">
      <c r="A84" s="51"/>
      <c r="B84" s="194"/>
      <c r="C84" s="36">
        <v>0</v>
      </c>
    </row>
    <row r="85" ht="35" customHeight="1" spans="1:3">
      <c r="A85" s="50"/>
      <c r="B85" s="194"/>
      <c r="C85" s="36">
        <v>0</v>
      </c>
    </row>
    <row r="86" ht="35" customHeight="1" spans="1:3">
      <c r="A86" s="50"/>
      <c r="B86" s="194"/>
      <c r="C86" s="36">
        <v>0</v>
      </c>
    </row>
    <row r="87" ht="35" customHeight="1" spans="1:3">
      <c r="A87" s="50"/>
      <c r="B87" s="194"/>
      <c r="C87" s="36">
        <v>0</v>
      </c>
    </row>
    <row r="88" ht="35" customHeight="1" spans="1:3">
      <c r="A88" s="50"/>
      <c r="B88" s="194"/>
      <c r="C88" s="36">
        <v>0</v>
      </c>
    </row>
    <row r="89" ht="35" customHeight="1" spans="1:3">
      <c r="A89" s="219"/>
      <c r="B89" s="220" t="s">
        <v>78</v>
      </c>
      <c r="C89" s="36">
        <f>SUM(C82:C88)</f>
        <v>0</v>
      </c>
    </row>
    <row r="90" ht="35" customHeight="1" spans="1:3">
      <c r="A90" s="191" t="s">
        <v>89</v>
      </c>
      <c r="B90" s="192"/>
      <c r="C90" s="193"/>
    </row>
    <row r="91" ht="35" customHeight="1" spans="1:3">
      <c r="A91" s="222" t="s">
        <v>90</v>
      </c>
      <c r="B91" s="223"/>
      <c r="C91" s="218">
        <v>0</v>
      </c>
    </row>
    <row r="92" ht="35" customHeight="1" spans="1:3">
      <c r="A92" s="51"/>
      <c r="B92" s="194"/>
      <c r="C92" s="218">
        <v>0</v>
      </c>
    </row>
    <row r="93" ht="35" customHeight="1" spans="1:3">
      <c r="A93" s="51"/>
      <c r="B93" s="194"/>
      <c r="C93" s="218">
        <v>0</v>
      </c>
    </row>
    <row r="94" ht="35" customHeight="1" spans="1:3">
      <c r="A94" s="50"/>
      <c r="B94" s="194"/>
      <c r="C94" s="218">
        <v>0</v>
      </c>
    </row>
    <row r="95" ht="35" customHeight="1" spans="1:3">
      <c r="A95" s="50"/>
      <c r="B95" s="194"/>
      <c r="C95" s="218">
        <v>0</v>
      </c>
    </row>
    <row r="96" ht="35" customHeight="1" spans="1:3">
      <c r="A96" s="50"/>
      <c r="B96" s="194"/>
      <c r="C96" s="218">
        <v>0</v>
      </c>
    </row>
    <row r="97" ht="35" customHeight="1" spans="1:3">
      <c r="A97" s="50"/>
      <c r="B97" s="194"/>
      <c r="C97" s="218">
        <v>0</v>
      </c>
    </row>
    <row r="98" ht="35" customHeight="1" spans="1:3">
      <c r="A98" s="50"/>
      <c r="B98" s="194"/>
      <c r="C98" s="218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1" t="s">
        <v>91</v>
      </c>
      <c r="B100" s="192"/>
      <c r="C100" s="193"/>
    </row>
    <row r="101" ht="35" customHeight="1" spans="1:3">
      <c r="A101" s="50" t="s">
        <v>92</v>
      </c>
      <c r="B101" s="224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4"/>
      <c r="C105" s="218">
        <v>0</v>
      </c>
    </row>
    <row r="106" ht="35" customHeight="1" spans="1:3">
      <c r="A106" s="50"/>
      <c r="B106" s="194"/>
      <c r="C106" s="218">
        <v>0</v>
      </c>
    </row>
    <row r="107" ht="35" customHeight="1" spans="1:3">
      <c r="A107" s="50"/>
      <c r="B107" s="194"/>
      <c r="C107" s="218">
        <v>0</v>
      </c>
    </row>
    <row r="108" ht="35" customHeight="1" spans="1:3">
      <c r="A108" s="50"/>
      <c r="B108" s="194"/>
      <c r="C108" s="218">
        <v>0</v>
      </c>
    </row>
    <row r="109" ht="35" customHeight="1" spans="1:3">
      <c r="A109" s="51"/>
      <c r="B109" s="39" t="s">
        <v>78</v>
      </c>
      <c r="C109" s="218">
        <f>SUM(C101:C108)</f>
        <v>1060</v>
      </c>
    </row>
    <row r="110" ht="35" customHeight="1" spans="1:3">
      <c r="A110" s="49"/>
      <c r="B110" s="39" t="s">
        <v>100</v>
      </c>
      <c r="C110" s="218">
        <f>C69+C80+C89+C99+C109</f>
        <v>1503</v>
      </c>
    </row>
    <row r="111" ht="35" customHeight="1" spans="1:3">
      <c r="A111" s="191" t="s">
        <v>101</v>
      </c>
      <c r="B111" s="192"/>
      <c r="C111" s="193"/>
    </row>
    <row r="112" ht="35" customHeight="1" spans="1:8">
      <c r="A112" s="225" t="s">
        <v>102</v>
      </c>
      <c r="B112" s="226"/>
      <c r="C112" s="227">
        <v>14950</v>
      </c>
      <c r="D112" s="14"/>
      <c r="E112" s="94"/>
      <c r="F112" s="14"/>
      <c r="G112" s="14"/>
      <c r="H112" s="14"/>
    </row>
    <row r="113" ht="35" customHeight="1" spans="1:8">
      <c r="A113" s="225" t="s">
        <v>103</v>
      </c>
      <c r="B113" s="194"/>
      <c r="C113" s="228">
        <f>5000</f>
        <v>5000</v>
      </c>
      <c r="D113" s="14"/>
      <c r="E113" s="14"/>
      <c r="F113" s="14"/>
      <c r="G113" s="14"/>
      <c r="H113" s="14"/>
    </row>
    <row r="114" ht="35" customHeight="1" spans="1:8">
      <c r="A114" s="225" t="s">
        <v>104</v>
      </c>
      <c r="B114" s="194"/>
      <c r="C114" s="229">
        <f>3300</f>
        <v>3300</v>
      </c>
      <c r="D114" s="14"/>
      <c r="E114" s="14"/>
      <c r="F114" s="14"/>
      <c r="G114" s="14"/>
      <c r="H114" s="14"/>
    </row>
    <row r="115" ht="35" customHeight="1" spans="1:8">
      <c r="A115" s="230" t="s">
        <v>105</v>
      </c>
      <c r="B115" s="194"/>
      <c r="C115" s="229">
        <v>0</v>
      </c>
      <c r="D115" s="14"/>
      <c r="E115" s="14"/>
      <c r="F115" s="14"/>
      <c r="G115" s="14"/>
      <c r="H115" s="14"/>
    </row>
    <row r="116" ht="35" customHeight="1" spans="1:8">
      <c r="A116" s="230" t="s">
        <v>106</v>
      </c>
      <c r="B116" s="194"/>
      <c r="C116" s="229">
        <v>0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4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4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4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4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4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19"/>
      <c r="B122" s="220" t="s">
        <v>108</v>
      </c>
      <c r="C122" s="218">
        <f>SUM(C112:C121)</f>
        <v>24333</v>
      </c>
    </row>
    <row r="123" ht="35" customHeight="1" spans="1:3">
      <c r="A123" s="219"/>
      <c r="B123" s="220" t="s">
        <v>109</v>
      </c>
      <c r="C123" s="36">
        <f>C122+C110</f>
        <v>25836</v>
      </c>
    </row>
    <row r="124" ht="35" customHeight="1" spans="5:5">
      <c r="E124" s="231"/>
    </row>
    <row r="125" ht="35" customHeight="1" spans="5:5">
      <c r="E125" s="231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2"/>
      <c r="D156" s="232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2" t="s">
        <v>117</v>
      </c>
      <c r="D169" s="112"/>
      <c r="E169" s="98">
        <v>140</v>
      </c>
    </row>
    <row r="170" ht="35" customHeight="1" spans="1:5">
      <c r="A170" s="62"/>
      <c r="B170" s="63"/>
      <c r="C170" s="112" t="s">
        <v>118</v>
      </c>
      <c r="D170" s="112"/>
      <c r="E170" s="98">
        <v>68</v>
      </c>
    </row>
    <row r="171" ht="35" customHeight="1" spans="1:5">
      <c r="A171" s="62"/>
      <c r="B171" s="63"/>
      <c r="C171" s="112" t="s">
        <v>119</v>
      </c>
      <c r="D171" s="112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2"/>
      <c r="D183" s="232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2" t="s">
        <v>121</v>
      </c>
      <c r="D185" s="112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2" t="s">
        <v>123</v>
      </c>
      <c r="D196" s="112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2" t="s">
        <v>125</v>
      </c>
      <c r="D198" s="112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formatCells="0" formatColumns="0" formatRows="0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07" workbookViewId="0">
      <selection activeCell="B88" sqref="B88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669.21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-11683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2" t="s">
        <v>131</v>
      </c>
      <c r="B10" s="143" t="s">
        <v>52</v>
      </c>
      <c r="C10" s="144"/>
      <c r="D10" s="145" t="s">
        <v>53</v>
      </c>
      <c r="E10" s="151"/>
      <c r="F10" s="41">
        <v>2405</v>
      </c>
      <c r="G10" s="42"/>
      <c r="H10" s="14"/>
      <c r="I10" s="47"/>
    </row>
    <row r="11" ht="24.75" customHeight="1" spans="1:9">
      <c r="A11" s="142"/>
      <c r="B11" s="117" t="s">
        <v>132</v>
      </c>
      <c r="C11" s="118"/>
      <c r="D11" s="133"/>
      <c r="E11" s="152"/>
      <c r="F11" s="41">
        <v>27</v>
      </c>
      <c r="G11" s="42"/>
      <c r="H11" s="14"/>
      <c r="I11" s="47"/>
    </row>
    <row r="12" ht="24.75" customHeight="1" spans="1:9">
      <c r="A12" s="142"/>
      <c r="B12" s="117" t="s">
        <v>133</v>
      </c>
      <c r="C12" s="118"/>
      <c r="D12" s="133"/>
      <c r="E12" s="152"/>
      <c r="F12" s="41">
        <v>17</v>
      </c>
      <c r="G12" s="42"/>
      <c r="H12" s="14"/>
      <c r="I12" s="47"/>
    </row>
    <row r="13" ht="24.75" customHeight="1" spans="1:9">
      <c r="A13" s="142" t="s">
        <v>134</v>
      </c>
      <c r="B13" s="146" t="s">
        <v>135</v>
      </c>
      <c r="C13" s="147"/>
      <c r="D13" s="133"/>
      <c r="E13" s="152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2" t="s">
        <v>136</v>
      </c>
      <c r="B22" s="143" t="s">
        <v>137</v>
      </c>
      <c r="C22" s="144"/>
      <c r="D22" s="143" t="s">
        <v>138</v>
      </c>
      <c r="E22" s="151"/>
      <c r="F22" s="153">
        <v>411.5</v>
      </c>
      <c r="G22" s="154"/>
      <c r="H22" s="14"/>
      <c r="I22" s="47"/>
    </row>
    <row r="23" ht="46" customHeight="1" spans="1:9">
      <c r="A23" s="142" t="s">
        <v>139</v>
      </c>
      <c r="B23" s="117" t="s">
        <v>140</v>
      </c>
      <c r="C23" s="118"/>
      <c r="D23" s="148" t="s">
        <v>141</v>
      </c>
      <c r="E23" s="155"/>
      <c r="F23" s="7">
        <v>900</v>
      </c>
      <c r="G23" s="7"/>
      <c r="H23" s="14"/>
      <c r="I23" s="47"/>
    </row>
    <row r="24" ht="24.75" customHeight="1" spans="1:9">
      <c r="A24" s="142" t="s">
        <v>142</v>
      </c>
      <c r="B24" s="117" t="s">
        <v>52</v>
      </c>
      <c r="C24" s="118"/>
      <c r="D24" s="133" t="s">
        <v>53</v>
      </c>
      <c r="E24" s="152"/>
      <c r="F24" s="106">
        <v>2405</v>
      </c>
      <c r="G24" s="107"/>
      <c r="H24" s="14"/>
      <c r="I24" s="47"/>
    </row>
    <row r="25" ht="24.75" customHeight="1" spans="1:9">
      <c r="A25" s="142"/>
      <c r="B25" s="117" t="s">
        <v>133</v>
      </c>
      <c r="C25" s="118"/>
      <c r="D25" s="133"/>
      <c r="E25" s="152"/>
      <c r="F25" s="41">
        <v>17</v>
      </c>
      <c r="G25" s="42"/>
      <c r="H25" s="14"/>
      <c r="I25" s="47"/>
    </row>
    <row r="26" ht="24.75" customHeight="1" spans="1:9">
      <c r="A26" s="142"/>
      <c r="B26" s="117" t="s">
        <v>132</v>
      </c>
      <c r="C26" s="118"/>
      <c r="D26" s="133"/>
      <c r="E26" s="125"/>
      <c r="F26" s="156">
        <v>27</v>
      </c>
      <c r="G26" s="42"/>
      <c r="H26" s="14"/>
      <c r="I26" s="47"/>
    </row>
    <row r="27" ht="32" customHeight="1" spans="1:9">
      <c r="A27" s="142" t="s">
        <v>143</v>
      </c>
      <c r="B27" s="146" t="s">
        <v>66</v>
      </c>
      <c r="C27" s="147"/>
      <c r="D27" s="149" t="s">
        <v>144</v>
      </c>
      <c r="E27" s="157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2" t="s">
        <v>145</v>
      </c>
      <c r="B34" s="143" t="s">
        <v>66</v>
      </c>
      <c r="C34" s="144"/>
      <c r="D34" s="145" t="s">
        <v>144</v>
      </c>
      <c r="E34" s="151"/>
      <c r="F34" s="153">
        <v>0</v>
      </c>
      <c r="G34" s="154"/>
      <c r="H34" s="14"/>
      <c r="I34" s="47"/>
    </row>
    <row r="35" ht="24.75" customHeight="1" spans="1:9">
      <c r="A35" s="142"/>
      <c r="B35" s="117" t="s">
        <v>146</v>
      </c>
      <c r="C35" s="118"/>
      <c r="D35" s="133"/>
      <c r="E35" s="158"/>
      <c r="F35" s="7">
        <v>270</v>
      </c>
      <c r="G35" s="7"/>
      <c r="H35" s="14"/>
      <c r="I35" s="47"/>
    </row>
    <row r="36" ht="24.75" customHeight="1" spans="1:9">
      <c r="A36" s="142" t="s">
        <v>145</v>
      </c>
      <c r="B36" s="117" t="s">
        <v>52</v>
      </c>
      <c r="C36" s="118"/>
      <c r="D36" s="133" t="s">
        <v>53</v>
      </c>
      <c r="E36" s="158"/>
      <c r="F36" s="7">
        <v>2405</v>
      </c>
      <c r="G36" s="7"/>
      <c r="H36" s="14"/>
      <c r="I36" s="48"/>
    </row>
    <row r="37" ht="24.75" customHeight="1" spans="1:9">
      <c r="A37" s="142"/>
      <c r="B37" s="117" t="s">
        <v>147</v>
      </c>
      <c r="C37" s="118"/>
      <c r="D37" s="133"/>
      <c r="E37" s="158"/>
      <c r="F37" s="7">
        <v>204</v>
      </c>
      <c r="G37" s="7"/>
      <c r="H37" s="14"/>
      <c r="I37" s="47"/>
    </row>
    <row r="38" ht="24.75" customHeight="1" spans="1:9">
      <c r="A38" s="142" t="s">
        <v>145</v>
      </c>
      <c r="B38" s="117" t="s">
        <v>148</v>
      </c>
      <c r="C38" s="118"/>
      <c r="D38" s="133"/>
      <c r="E38" s="152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0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0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0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0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61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59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-11683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-13711.5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2" t="s">
        <v>153</v>
      </c>
      <c r="D129" s="112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2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2" t="s">
        <v>155</v>
      </c>
      <c r="D131" s="112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2" t="s">
        <v>156</v>
      </c>
      <c r="D132" s="112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35" t="s">
        <v>157</v>
      </c>
      <c r="D133" s="135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2" t="s">
        <v>123</v>
      </c>
      <c r="D156" s="112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2" t="s">
        <v>159</v>
      </c>
      <c r="D157" s="112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2" t="s">
        <v>160</v>
      </c>
      <c r="D158" s="112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2" t="s">
        <v>161</v>
      </c>
      <c r="D159" s="112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35" t="s">
        <v>157</v>
      </c>
      <c r="D160" s="135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163</v>
      </c>
      <c r="D172" s="112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2" t="s">
        <v>158</v>
      </c>
      <c r="D174" s="112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2" t="s">
        <v>161</v>
      </c>
      <c r="D183" s="112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2" t="s">
        <v>164</v>
      </c>
      <c r="D184" s="112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2" t="s">
        <v>165</v>
      </c>
      <c r="D185" s="112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0" t="s">
        <v>157</v>
      </c>
      <c r="D188" s="161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94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339.840000000001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-10683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25" t="s">
        <v>144</v>
      </c>
      <c r="E10" s="133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25" t="s">
        <v>170</v>
      </c>
      <c r="E11" s="133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25" t="s">
        <v>172</v>
      </c>
      <c r="E12" s="133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25" t="s">
        <v>53</v>
      </c>
      <c r="E13" s="133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25" t="s">
        <v>53</v>
      </c>
      <c r="E14" s="133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25" t="s">
        <v>53</v>
      </c>
      <c r="E15" s="133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19"/>
      <c r="D22" s="97" t="s">
        <v>144</v>
      </c>
      <c r="E22" s="120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19"/>
      <c r="D23" s="97" t="s">
        <v>53</v>
      </c>
      <c r="E23" s="120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19"/>
      <c r="D25" s="96" t="s">
        <v>183</v>
      </c>
      <c r="E25" s="119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19"/>
      <c r="D26" s="97" t="s">
        <v>186</v>
      </c>
      <c r="E26" s="120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19"/>
      <c r="D27" s="96" t="s">
        <v>189</v>
      </c>
      <c r="E27" s="119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26" t="s">
        <v>66</v>
      </c>
      <c r="C34" s="127"/>
      <c r="D34" s="97" t="s">
        <v>144</v>
      </c>
      <c r="E34" s="120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26" t="s">
        <v>52</v>
      </c>
      <c r="C35" s="127"/>
      <c r="D35" s="97" t="s">
        <v>53</v>
      </c>
      <c r="E35" s="120"/>
      <c r="F35" s="7">
        <v>2405</v>
      </c>
      <c r="G35" s="7"/>
      <c r="H35" s="14"/>
      <c r="I35" s="47"/>
    </row>
    <row r="36" ht="30" customHeight="1" spans="1:9">
      <c r="A36" s="95"/>
      <c r="B36" s="126" t="s">
        <v>192</v>
      </c>
      <c r="C36" s="127"/>
      <c r="D36" s="97" t="s">
        <v>193</v>
      </c>
      <c r="E36" s="120"/>
      <c r="F36" s="7">
        <v>900</v>
      </c>
      <c r="G36" s="7"/>
      <c r="H36" s="14"/>
      <c r="I36" s="48"/>
    </row>
    <row r="37" ht="210" customHeight="1" spans="1:9">
      <c r="A37" s="128" t="s">
        <v>194</v>
      </c>
      <c r="B37" s="129" t="s">
        <v>195</v>
      </c>
      <c r="C37" s="130"/>
      <c r="D37" s="129" t="s">
        <v>196</v>
      </c>
      <c r="E37" s="130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26" t="s">
        <v>197</v>
      </c>
      <c r="C38" s="127"/>
      <c r="D38" s="126" t="s">
        <v>198</v>
      </c>
      <c r="E38" s="127"/>
      <c r="F38" s="7">
        <v>200</v>
      </c>
      <c r="G38" s="7"/>
      <c r="H38" s="14"/>
      <c r="I38" s="47"/>
    </row>
    <row r="39" ht="30" customHeight="1" spans="1:9">
      <c r="A39" s="95"/>
      <c r="B39" s="131" t="s">
        <v>199</v>
      </c>
      <c r="C39" s="132"/>
      <c r="D39" s="131" t="s">
        <v>200</v>
      </c>
      <c r="E39" s="132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4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-10683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-12052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2" t="s">
        <v>115</v>
      </c>
      <c r="D118" s="112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2" t="s">
        <v>201</v>
      </c>
      <c r="D120" s="112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2" t="s">
        <v>203</v>
      </c>
      <c r="D130" s="112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2" t="s">
        <v>204</v>
      </c>
      <c r="D131" s="112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35" t="s">
        <v>157</v>
      </c>
      <c r="D132" s="135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1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2" t="s">
        <v>206</v>
      </c>
      <c r="D147" s="112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36" t="s">
        <v>157</v>
      </c>
      <c r="D158" s="136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37" t="s">
        <v>115</v>
      </c>
      <c r="D172" s="137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38"/>
      <c r="D173" s="139"/>
      <c r="E173" s="141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37" t="s">
        <v>158</v>
      </c>
      <c r="D174" s="137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37" t="s">
        <v>209</v>
      </c>
      <c r="D183" s="137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37" t="s">
        <v>210</v>
      </c>
      <c r="D184" s="137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37" t="s">
        <v>211</v>
      </c>
      <c r="D185" s="137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37" t="s">
        <v>212</v>
      </c>
      <c r="D186" s="137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0" t="s">
        <v>157</v>
      </c>
      <c r="D187" s="137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70" workbookViewId="0">
      <selection activeCell="D40" sqref="D40:E40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166.500000000001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333.000000000001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-6983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19"/>
      <c r="D10" s="97" t="s">
        <v>53</v>
      </c>
      <c r="E10" s="120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19"/>
      <c r="D11" s="97" t="s">
        <v>144</v>
      </c>
      <c r="E11" s="120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0" t="s">
        <v>53</v>
      </c>
      <c r="E34" s="121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0" t="s">
        <v>144</v>
      </c>
      <c r="E35" s="121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0" t="s">
        <v>226</v>
      </c>
      <c r="E36" s="121"/>
      <c r="F36" s="7">
        <v>50</v>
      </c>
      <c r="G36" s="7"/>
      <c r="H36" s="14"/>
      <c r="I36" s="48"/>
    </row>
    <row r="37" ht="24.75" customHeight="1" spans="1:9">
      <c r="A37" s="109" t="s">
        <v>232</v>
      </c>
      <c r="B37" s="110" t="s">
        <v>104</v>
      </c>
      <c r="C37" s="111"/>
      <c r="D37" s="110" t="s">
        <v>233</v>
      </c>
      <c r="E37" s="111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59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525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4072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-6983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-7380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239</v>
      </c>
      <c r="D118" s="112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7" t="s">
        <v>242</v>
      </c>
      <c r="D131" s="118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243</v>
      </c>
      <c r="D172" s="112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914.7</v>
      </c>
      <c r="F184" s="14"/>
      <c r="G184" s="14"/>
      <c r="H184" s="14"/>
      <c r="I184" s="47"/>
    </row>
    <row r="185" ht="24.75" customHeight="1" spans="1:9">
      <c r="A185" s="62"/>
      <c r="B185" s="63"/>
      <c r="C185" s="122" t="s">
        <v>250</v>
      </c>
      <c r="D185" s="123"/>
      <c r="E185" s="124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166.500000000001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8" workbookViewId="0">
      <selection activeCell="F130" sqref="F130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596.500000000001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763.000000000001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-3083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96" t="s">
        <v>253</v>
      </c>
      <c r="C13" s="96"/>
      <c r="D13" s="97" t="s">
        <v>254</v>
      </c>
      <c r="E13" s="97"/>
      <c r="F13" s="7">
        <v>0</v>
      </c>
      <c r="G13" s="7"/>
      <c r="H13" s="14"/>
      <c r="I13" s="47"/>
    </row>
    <row r="14" ht="25" customHeight="1" spans="1:9">
      <c r="A14" s="19"/>
      <c r="B14" s="21"/>
      <c r="C14" s="22"/>
      <c r="D14" s="21"/>
      <c r="E14" s="22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255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3"/>
      <c r="B24" s="114" t="s">
        <v>52</v>
      </c>
      <c r="C24" s="114"/>
      <c r="D24" s="115" t="s">
        <v>256</v>
      </c>
      <c r="E24" s="115"/>
      <c r="F24" s="116">
        <v>1035</v>
      </c>
      <c r="G24" s="116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-2000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-3083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-3480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166.500000000001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46" customHeight="1" spans="1:9">
      <c r="A118" s="62"/>
      <c r="B118" s="63"/>
      <c r="C118" s="100" t="s">
        <v>258</v>
      </c>
      <c r="D118" s="100"/>
      <c r="E118" s="36">
        <v>1000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259</v>
      </c>
      <c r="D129" s="112"/>
      <c r="E129" s="98">
        <v>125</v>
      </c>
      <c r="F129" s="14"/>
      <c r="G129" s="14"/>
      <c r="H129" s="14"/>
      <c r="I129" s="47"/>
    </row>
    <row r="130" ht="40" customHeight="1" spans="1:9">
      <c r="A130" s="62"/>
      <c r="B130" s="63"/>
      <c r="C130" s="117" t="s">
        <v>260</v>
      </c>
      <c r="D130" s="118"/>
      <c r="E130" s="98">
        <v>400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679.500000000001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679.500000000001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261</v>
      </c>
      <c r="D145" s="112"/>
      <c r="E145" s="36">
        <v>1800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262</v>
      </c>
      <c r="D156" s="100"/>
      <c r="E156" s="98">
        <v>719</v>
      </c>
      <c r="F156" s="14"/>
      <c r="G156" s="14"/>
      <c r="H156" s="14"/>
      <c r="I156" s="47"/>
    </row>
    <row r="157" ht="20" customHeight="1" spans="1:9">
      <c r="A157" s="62"/>
      <c r="B157" s="63"/>
      <c r="C157" s="100" t="s">
        <v>263</v>
      </c>
      <c r="D157" s="100"/>
      <c r="E157" s="98">
        <v>400</v>
      </c>
      <c r="F157" s="14"/>
      <c r="G157" s="14"/>
      <c r="H157" s="14"/>
      <c r="I157" s="47"/>
    </row>
    <row r="158" ht="25" customHeight="1" spans="1:9">
      <c r="A158" s="62"/>
      <c r="B158" s="63"/>
      <c r="C158" s="72"/>
      <c r="D158" s="73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833.500000000001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833.500000000001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264</v>
      </c>
      <c r="D172" s="112"/>
      <c r="E172" s="36">
        <v>1100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265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596.500000000001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3" operator="greaterThanOrEqual">
      <formula>0</formula>
    </cfRule>
    <cfRule type="cellIs" dxfId="1" priority="32" operator="lessThan">
      <formula>0</formula>
    </cfRule>
  </conditionalFormatting>
  <conditionalFormatting sqref="C75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7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0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9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108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109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E116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18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29">
    <cfRule type="cellIs" dxfId="6" priority="20" operator="equal">
      <formula>0</formula>
    </cfRule>
  </conditionalFormatting>
  <conditionalFormatting sqref="E130">
    <cfRule type="cellIs" dxfId="7" priority="19" operator="equal">
      <formula>0</formula>
    </cfRule>
    <cfRule type="cellIs" dxfId="6" priority="18" operator="equal">
      <formula>0</formula>
    </cfRule>
  </conditionalFormatting>
  <conditionalFormatting sqref="E131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36">
    <cfRule type="cellIs" dxfId="4" priority="70" operator="greaterThanOrEqual">
      <formula>0</formula>
    </cfRule>
    <cfRule type="cellIs" dxfId="5" priority="69" operator="lessThan">
      <formula>0</formula>
    </cfRule>
  </conditionalFormatting>
  <conditionalFormatting sqref="E14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45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56">
    <cfRule type="cellIs" dxfId="6" priority="16" operator="equal">
      <formula>0</formula>
    </cfRule>
  </conditionalFormatting>
  <conditionalFormatting sqref="E157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63">
    <cfRule type="cellIs" dxfId="4" priority="59" operator="greaterThanOrEqual">
      <formula>0</formula>
    </cfRule>
    <cfRule type="cellIs" dxfId="5" priority="58" operator="lessThan">
      <formula>0</formula>
    </cfRule>
  </conditionalFormatting>
  <conditionalFormatting sqref="E17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2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84">
    <cfRule type="cellIs" dxfId="7" priority="12" operator="equal">
      <formula>0</formula>
    </cfRule>
  </conditionalFormatting>
  <conditionalFormatting sqref="E190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C57:C66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C68:C69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70:C74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8:C7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0:C8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88:C89">
    <cfRule type="cellIs" dxfId="6" priority="26" operator="equal">
      <formula>0</formula>
    </cfRule>
  </conditionalFormatting>
  <conditionalFormatting sqref="C92:C9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98:C107">
    <cfRule type="cellIs" dxfId="1" priority="47" operator="lessThan">
      <formula>0</formula>
    </cfRule>
    <cfRule type="cellIs" dxfId="3" priority="46" operator="greaterThanOrEqual">
      <formula>0</formula>
    </cfRule>
  </conditionalFormatting>
  <conditionalFormatting sqref="E119:E127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6:E15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73:E181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83:E184">
    <cfRule type="cellIs" dxfId="6" priority="11" operator="equal">
      <formula>0</formula>
    </cfRule>
  </conditionalFormatting>
  <conditionalFormatting sqref="C47:C55 C85 C95:C96">
    <cfRule type="cellIs" dxfId="0" priority="84" operator="equal">
      <formula>0</formula>
    </cfRule>
  </conditionalFormatting>
  <conditionalFormatting sqref="C47:C55 C85 C95:C96 E144 E155 E158:E162">
    <cfRule type="cellIs" dxfId="1" priority="83" operator="greaterThan">
      <formula>0</formula>
    </cfRule>
  </conditionalFormatting>
  <conditionalFormatting sqref="E117 E128 E132:E13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E144 E155 E158:E162">
    <cfRule type="cellIs" dxfId="3" priority="60" operator="equal">
      <formula>0</formula>
    </cfRule>
  </conditionalFormatting>
  <conditionalFormatting sqref="E171 E182 E185:E189">
    <cfRule type="cellIs" dxfId="3" priority="55" operator="equal">
      <formula>0</formula>
    </cfRule>
    <cfRule type="cellIs" dxfId="1" priority="54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178" sqref="C178:D178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413.500000000001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580.000000000001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267</v>
      </c>
      <c r="C12" s="96"/>
      <c r="D12" s="97" t="s">
        <v>268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269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33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270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271</v>
      </c>
      <c r="C36" s="111"/>
      <c r="D36" s="110" t="s">
        <v>272</v>
      </c>
      <c r="E36" s="111"/>
      <c r="F36" s="7">
        <v>0</v>
      </c>
      <c r="G36" s="7"/>
      <c r="H36" s="14"/>
      <c r="I36" s="48"/>
    </row>
    <row r="37" ht="24.75" customHeight="1" spans="1:9">
      <c r="A37" s="19"/>
      <c r="B37" s="21" t="s">
        <v>273</v>
      </c>
      <c r="C37" s="22"/>
      <c r="D37" s="23"/>
      <c r="E37" s="43"/>
      <c r="F37" s="41">
        <v>149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2584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596.500000000001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264</v>
      </c>
      <c r="D118" s="112"/>
      <c r="E118" s="98">
        <v>1100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274</v>
      </c>
      <c r="D129" s="100"/>
      <c r="E129" s="98">
        <v>669</v>
      </c>
      <c r="F129" s="14"/>
      <c r="G129" s="14"/>
      <c r="H129" s="14"/>
      <c r="I129" s="47"/>
    </row>
    <row r="130" ht="30" customHeight="1" spans="1:9">
      <c r="A130" s="62"/>
      <c r="B130" s="63"/>
      <c r="C130" s="100" t="s">
        <v>275</v>
      </c>
      <c r="D130" s="100"/>
      <c r="E130" s="98">
        <v>400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465.500000000001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465.500000000001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276</v>
      </c>
      <c r="D145" s="112"/>
      <c r="E145" s="98">
        <v>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277</v>
      </c>
      <c r="D156" s="100"/>
      <c r="E156" s="98">
        <v>825</v>
      </c>
      <c r="F156" s="14"/>
      <c r="G156" s="14"/>
      <c r="H156" s="14"/>
      <c r="I156" s="47"/>
    </row>
    <row r="157" ht="40" customHeight="1" spans="1:9">
      <c r="A157" s="62"/>
      <c r="B157" s="63"/>
      <c r="C157" s="100" t="s">
        <v>275</v>
      </c>
      <c r="D157" s="100"/>
      <c r="E157" s="98">
        <v>400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478.500000000001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478.500000000001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278</v>
      </c>
      <c r="D172" s="112"/>
      <c r="E172" s="98">
        <v>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112" t="s">
        <v>279</v>
      </c>
      <c r="D177" s="112"/>
      <c r="E177" s="36">
        <v>1083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274</v>
      </c>
      <c r="D183" s="100"/>
      <c r="E183" s="98">
        <v>669</v>
      </c>
      <c r="F183" s="14"/>
      <c r="G183" s="14"/>
      <c r="H183" s="14"/>
      <c r="I183" s="47"/>
    </row>
    <row r="184" ht="39" customHeight="1" spans="1:9">
      <c r="A184" s="62"/>
      <c r="B184" s="63"/>
      <c r="C184" s="100" t="s">
        <v>275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413.500000000001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0">
    <cfRule type="cellIs" dxfId="7" priority="21" operator="equal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18">
    <cfRule type="cellIs" dxfId="6" priority="1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7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72">
    <cfRule type="cellIs" dxfId="6" priority="2" operator="equal">
      <formula>0</formula>
    </cfRule>
  </conditionalFormatting>
  <conditionalFormatting sqref="E183">
    <cfRule type="cellIs" dxfId="6" priority="7" operator="equal">
      <formula>0</formula>
    </cfRule>
  </conditionalFormatting>
  <conditionalFormatting sqref="E184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5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9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3" priority="40" operator="greaterThanOrEqual">
      <formula>0</formula>
    </cfRule>
  </conditionalFormatting>
  <conditionalFormatting sqref="E119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46:E150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51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3:E17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78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3" priority="54" operator="equal">
      <formula>0</formula>
    </cfRule>
  </conditionalFormatting>
  <conditionalFormatting sqref="E171 E182 E186:E189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41" workbookViewId="0">
      <selection activeCell="C157" sqref="C157:D157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2165.9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2332.4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413.500000000001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265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 t="s">
        <v>283</v>
      </c>
      <c r="D131" s="65"/>
      <c r="E131" s="86">
        <v>149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3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941.300000000001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941.300000000001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284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3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1674.1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1674.1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285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2165.9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75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7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1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108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5" operator="greaterThanOrEqual">
      <formula>0</formula>
    </cfRule>
    <cfRule type="cellIs" dxfId="5" priority="34" operator="lessThan">
      <formula>0</formula>
    </cfRule>
  </conditionalFormatting>
  <conditionalFormatting sqref="E129">
    <cfRule type="cellIs" dxfId="6" priority="17" operator="equal">
      <formula>0</formula>
    </cfRule>
  </conditionalFormatting>
  <conditionalFormatting sqref="E130">
    <cfRule type="cellIs" dxfId="7" priority="16" operator="equal">
      <formula>0</formula>
    </cfRule>
    <cfRule type="cellIs" dxfId="6" priority="15" operator="equal">
      <formula>0</formula>
    </cfRule>
  </conditionalFormatting>
  <conditionalFormatting sqref="E131">
    <cfRule type="cellIs" dxfId="1" priority="8" operator="greaterThan">
      <formula>0</formula>
    </cfRule>
    <cfRule type="cellIs" dxfId="3" priority="7" operator="equal">
      <formula>0</formula>
    </cfRule>
  </conditionalFormatting>
  <conditionalFormatting sqref="E13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36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4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4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58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6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7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83">
    <cfRule type="cellIs" dxfId="6" priority="11" operator="equal">
      <formula>0</formula>
    </cfRule>
  </conditionalFormatting>
  <conditionalFormatting sqref="E184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9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C57:C66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68:C69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0:C7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78:C79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80:C8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8:C89">
    <cfRule type="cellIs" dxfId="6" priority="22" operator="equal">
      <formula>0</formula>
    </cfRule>
  </conditionalFormatting>
  <conditionalFormatting sqref="C92:C9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98:C107">
    <cfRule type="cellIs" dxfId="1" priority="43" operator="lessThan">
      <formula>0</formula>
    </cfRule>
    <cfRule type="cellIs" dxfId="3" priority="42" operator="greaterThanOrEqual">
      <formula>0</formula>
    </cfRule>
  </conditionalFormatting>
  <conditionalFormatting sqref="E118:E127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46:E15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72:E181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47:C55 C85 C95:C96">
    <cfRule type="cellIs" dxfId="0" priority="80" operator="equal">
      <formula>0</formula>
    </cfRule>
  </conditionalFormatting>
  <conditionalFormatting sqref="C47:C55 C85 C95:C96 E144 E155 E159:E162">
    <cfRule type="cellIs" dxfId="1" priority="79" operator="greaterThan">
      <formula>0</formula>
    </cfRule>
  </conditionalFormatting>
  <conditionalFormatting sqref="E117 E128 E133:E135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E144 E155 E159:E162">
    <cfRule type="cellIs" dxfId="3" priority="56" operator="equal">
      <formula>0</formula>
    </cfRule>
  </conditionalFormatting>
  <conditionalFormatting sqref="E171 E182 E185:E189">
    <cfRule type="cellIs" dxfId="3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6" workbookViewId="0">
      <selection activeCell="C129" sqref="C129:D129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4063.3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4229.8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2165.9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274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2948.7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2948.7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289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3280.5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3280.5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274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4063.3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9" workbookViewId="0">
      <selection activeCell="C129" sqref="C129:D129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5669.7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5836.2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4063.3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285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4555.1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4555.1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293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5177.9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5177.9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294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5669.7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5" workbookViewId="0">
      <selection activeCell="D96" sqref="D96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7567.1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7733.6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296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5669.7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274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6452.5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6452.5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289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6784.3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6784.3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298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7567.1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41" workbookViewId="0">
      <selection activeCell="C88" sqref="C88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9173.5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9340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299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300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301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7567.1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285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8058.9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8058.9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293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8681.7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8681.7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285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9173.5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4" workbookViewId="0">
      <selection activeCell="C88" sqref="C88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11070.9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11237.4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9173.5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274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9956.3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9956.3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289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10288.1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10288.1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274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11070.9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176" workbookViewId="0">
      <selection activeCell="D88" sqref="D88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12677.3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12843.8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-397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11070.9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285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11562.7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11562.7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293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12185.5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12185.5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285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12677.3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9" workbookViewId="0">
      <selection activeCell="B51" sqref="B51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12677.3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12843.8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6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12677.3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12677.3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12677.3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12677.3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12677.3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12677.3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12677.3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12843.8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303</v>
      </c>
      <c r="C102" s="36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12677.3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12677.3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12677.3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12677.3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12677.3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12677.3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14" sqref="F11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166.5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12677.3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12843.8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12677.3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12677.3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12677.3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12677.3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12677.3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12677.3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2025-03-20T13:27:00Z</dcterms:created>
  <dcterms:modified xsi:type="dcterms:W3CDTF">2025-04-16T18:14:42Z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