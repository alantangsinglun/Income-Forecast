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560"/>
  </bookViews>
  <sheets>
    <sheet name="Cover Page" sheetId="18" r:id="rId1"/>
    <sheet name="Main" sheetId="3" r:id="rId2"/>
    <sheet name="Forecast_1" sheetId="1" r:id="rId3"/>
    <sheet name="Forecast_2" sheetId="2" r:id="rId4"/>
    <sheet name="Forecast_3" sheetId="4" r:id="rId5"/>
    <sheet name="Forecast_4" sheetId="5" r:id="rId6"/>
    <sheet name="Forecast_5" sheetId="6" r:id="rId7"/>
    <sheet name="Forecast_6" sheetId="7" r:id="rId8"/>
    <sheet name="Forecast_7" sheetId="8" r:id="rId9"/>
    <sheet name="Forecast_8" sheetId="9" r:id="rId10"/>
    <sheet name="Forecast_9" sheetId="10" r:id="rId11"/>
    <sheet name="Forecast_10" sheetId="11" r:id="rId12"/>
    <sheet name="Forecast_11" sheetId="12" r:id="rId13"/>
    <sheet name="Forecast_12" sheetId="13" r:id="rId14"/>
    <sheet name="Forecast_13" sheetId="14" r:id="rId15"/>
    <sheet name="Forecast_14" sheetId="15" r:id="rId16"/>
    <sheet name="Forecast_15" sheetId="16" r:id="rId17"/>
    <sheet name="Forecast_16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<sst xmlns="http://schemas.openxmlformats.org/spreadsheetml/2006/main" count="934" uniqueCount="65">
  <si>
    <t>Income Forecast</t>
  </si>
  <si>
    <t>Your Personal Finance Organizer</t>
  </si>
  <si>
    <t>Money In Terms Of
(tens, hundred, thousands, millions)</t>
  </si>
  <si>
    <t>tens</t>
  </si>
  <si>
    <t>A Month
TRUE or FALSE</t>
  </si>
  <si>
    <t>Date Range Start From
(dd/mm/yyyy)</t>
  </si>
  <si>
    <t>Date Range End To
(A month dd/mm/yyyy)</t>
  </si>
  <si>
    <t>Specify Date Range End To
(dd/mm/yyyy)
(If a month is not checked)</t>
  </si>
  <si>
    <t>Work Sheet Name</t>
  </si>
  <si>
    <t>Forecast_1</t>
  </si>
  <si>
    <t>Forecast_2</t>
  </si>
  <si>
    <t>Forecast_3</t>
  </si>
  <si>
    <t>Forecast_4</t>
  </si>
  <si>
    <t>Forecast_5</t>
  </si>
  <si>
    <t>Forecast_6</t>
  </si>
  <si>
    <t>Forecast_7</t>
  </si>
  <si>
    <t>Forecast_8</t>
  </si>
  <si>
    <t>Forecast_9</t>
  </si>
  <si>
    <t>Forecast_10</t>
  </si>
  <si>
    <t>Forecast_11</t>
  </si>
  <si>
    <t>Forecast_12</t>
  </si>
  <si>
    <t>Forecast_13</t>
  </si>
  <si>
    <t>Forecast_14</t>
  </si>
  <si>
    <t>Forecast_15</t>
  </si>
  <si>
    <t>Forecast_16</t>
  </si>
  <si>
    <t>Monthly Balance</t>
  </si>
  <si>
    <t>Quarterly Debts</t>
  </si>
  <si>
    <t xml:space="preserve">Current </t>
  </si>
  <si>
    <t>Previous</t>
  </si>
  <si>
    <t>Date</t>
  </si>
  <si>
    <t>Last Balance</t>
  </si>
  <si>
    <t>Quarter</t>
  </si>
  <si>
    <t>Debts Amount</t>
  </si>
  <si>
    <t>Assets</t>
  </si>
  <si>
    <t>Bank Account</t>
  </si>
  <si>
    <t>cash</t>
  </si>
  <si>
    <t>Unit Trusts / Charity Trusts</t>
  </si>
  <si>
    <t>Bank Cheque From Tax</t>
  </si>
  <si>
    <t>Payment System (Apps)</t>
  </si>
  <si>
    <t>Payment System (internet)</t>
  </si>
  <si>
    <t>Fixed Assest 
Properties / Data Centers</t>
  </si>
  <si>
    <t>Removable Assets</t>
  </si>
  <si>
    <t>Total</t>
  </si>
  <si>
    <t>Name</t>
  </si>
  <si>
    <t>Description</t>
  </si>
  <si>
    <t>Amount</t>
  </si>
  <si>
    <t>Total Revenue</t>
  </si>
  <si>
    <t>Mobile And Communications/ Housing Expenses</t>
  </si>
  <si>
    <t>Total Expenses</t>
  </si>
  <si>
    <t>Credit Card Installments/Government Installments</t>
  </si>
  <si>
    <t>Donation</t>
  </si>
  <si>
    <t>Insurance (Personal / Properties / Medical)</t>
  </si>
  <si>
    <t>Other Expenses</t>
  </si>
  <si>
    <t>Grand Expenses Total</t>
  </si>
  <si>
    <t>Debts / Borrowed To</t>
  </si>
  <si>
    <t>Total Debts</t>
  </si>
  <si>
    <t>Grand Total</t>
  </si>
  <si>
    <t>Principal</t>
  </si>
  <si>
    <t>1. Direct Payback</t>
  </si>
  <si>
    <t>2. Additional Expenses</t>
  </si>
  <si>
    <t>Fixed Expense</t>
  </si>
  <si>
    <r>
      <rPr>
        <b/>
        <sz val="11"/>
        <color rgb="FFFF0000"/>
        <rFont val="Arial"/>
        <charset val="134"/>
      </rPr>
      <t>Total Debts / </t>
    </r>
    <r>
      <rPr>
        <b/>
        <sz val="11"/>
        <color rgb="FF4A86E8"/>
        <rFont val="Arial"/>
        <charset val="134"/>
      </rPr>
      <t>Credits</t>
    </r>
  </si>
  <si>
    <t>Overall</t>
  </si>
  <si>
    <t>Forecasts</t>
  </si>
  <si>
    <t>Net Debts: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</si>
</sst>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$-409]#,##0.00;[Red]\-[$$-409]#,##0.00"/>
    <numFmt numFmtId="177" formatCode="&quot;$&quot;#,##0.00_);[Red]\(&quot;$&quot;#,##0.00\)"/>
    <numFmt numFmtId="178" formatCode="&quot;$&quot;#,##0.00"/>
    <numFmt numFmtId="179" formatCode="mmm\-yy"/>
    <numFmt numFmtId="180" formatCode="[$-409]d\-mmm\-yyyy;@"/>
  </numFmts>
  <fonts count="45">
    <font>
      <sz val="12"/>
      <color theme="1"/>
      <name val="Aptos Narrow"/>
      <charset val="134"/>
      <scheme val="minor"/>
    </font>
    <font>
      <b/>
      <sz val="14"/>
      <color rgb="FF000000"/>
      <name val="Arial"/>
      <charset val="134"/>
    </font>
    <font>
      <b/>
      <sz val="11"/>
      <color rgb="FF000000"/>
      <name val="Arial"/>
      <charset val="134"/>
    </font>
    <font>
      <b/>
      <sz val="11"/>
      <color rgb="FF4A86E8"/>
      <name val="Arial"/>
      <charset val="134"/>
    </font>
    <font>
      <b/>
      <sz val="11"/>
      <color rgb="FFFF0000"/>
      <name val="Calibri"/>
      <charset val="1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b/>
      <sz val="11"/>
      <color theme="0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b/>
      <sz val="12"/>
      <color rgb="FF000000"/>
      <name val="Arial"/>
      <charset val="134"/>
    </font>
    <font>
      <sz val="11"/>
      <color rgb="FF000000"/>
      <name val="Arial"/>
      <charset val="134"/>
    </font>
    <font>
      <b/>
      <sz val="12"/>
      <color rgb="FFFFFFFF"/>
      <name val="Arial"/>
      <charset val="134"/>
    </font>
    <font>
      <sz val="11"/>
      <color rgb="FF000000"/>
      <name val="Calibri"/>
      <charset val="1"/>
    </font>
    <font>
      <b/>
      <sz val="18"/>
      <color theme="1"/>
      <name val="Arial"/>
      <charset val="134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Arial"/>
      <charset val="134"/>
    </font>
    <font>
      <sz val="11"/>
      <color rgb="FF242424"/>
      <name val="Aptos Narrow"/>
      <charset val="1"/>
    </font>
    <font>
      <sz val="72"/>
      <color theme="0"/>
      <name val="Arial Black"/>
      <charset val="134"/>
    </font>
    <font>
      <i/>
      <sz val="26"/>
      <color theme="0"/>
      <name val="Arial Black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4A86E8"/>
      <name val="Calibri"/>
      <charset val="1"/>
    </font>
    <font>
      <b/>
      <sz val="11"/>
      <color rgb="FF000000"/>
      <name val="Calibri"/>
      <charset val="1"/>
    </font>
    <font>
      <b/>
      <sz val="14"/>
      <color rgb="FF000000"/>
      <name val="Calibri"/>
      <charset val="1"/>
    </font>
    <font>
      <sz val="12"/>
      <color rgb="FFFFFFFF"/>
      <name val="Calibri"/>
      <charset val="1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5B9BD5"/>
        <bgColor indexed="64"/>
      </patternFill>
    </fill>
    <fill>
      <patternFill patternType="solid">
        <fgColor rgb="FF5B9BD5"/>
        <bgColor rgb="FF4A86E8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55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1" borderId="2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27" applyNumberFormat="0" applyAlignment="0" applyProtection="0">
      <alignment vertical="center"/>
    </xf>
    <xf numFmtId="0" fontId="31" fillId="13" borderId="28" applyNumberFormat="0" applyAlignment="0" applyProtection="0">
      <alignment vertical="center"/>
    </xf>
    <xf numFmtId="0" fontId="32" fillId="13" borderId="27" applyNumberFormat="0" applyAlignment="0" applyProtection="0">
      <alignment vertical="center"/>
    </xf>
    <xf numFmtId="0" fontId="33" fillId="14" borderId="29" applyNumberFormat="0" applyAlignment="0" applyProtection="0">
      <alignment vertical="center"/>
    </xf>
    <xf numFmtId="0" fontId="34" fillId="0" borderId="30" applyNumberFormat="0" applyFill="0" applyAlignment="0" applyProtection="0">
      <alignment vertical="center"/>
    </xf>
    <xf numFmtId="0" fontId="35" fillId="0" borderId="31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176" fontId="41" fillId="3" borderId="32">
      <alignment horizontal="center" vertical="center"/>
    </xf>
    <xf numFmtId="49" fontId="42" fillId="0" borderId="0" applyProtection="0">
      <alignment horizontal="center" vertical="center"/>
    </xf>
    <xf numFmtId="49" fontId="13" fillId="0" borderId="0" applyProtection="0">
      <alignment horizontal="left" vertical="center"/>
    </xf>
    <xf numFmtId="49" fontId="43" fillId="9" borderId="0" applyProtection="0">
      <alignment horizontal="center" vertical="center"/>
    </xf>
    <xf numFmtId="49" fontId="44" fillId="5" borderId="0" applyBorder="0" applyProtection="0">
      <alignment horizontal="center" vertical="center"/>
    </xf>
    <xf numFmtId="49" fontId="4" fillId="0" borderId="0" applyProtection="0">
      <alignment horizontal="right" vertical="center"/>
    </xf>
  </cellStyleXfs>
  <cellXfs count="242">
    <xf numFmtId="0" fontId="0" fillId="0" borderId="0" xfId="0"/>
    <xf numFmtId="0" fontId="0" fillId="0" borderId="0" xfId="0" applyProtection="1"/>
    <xf numFmtId="0" fontId="1" fillId="2" borderId="1" xfId="0" applyFont="1" applyFill="1" applyBorder="1" applyAlignment="1" applyProtection="1">
      <alignment horizontal="center" vertical="center"/>
    </xf>
    <xf numFmtId="49" fontId="2" fillId="3" borderId="2" xfId="50" applyFont="1" applyFill="1" applyBorder="1" applyAlignment="1" applyProtection="1">
      <alignment horizontal="center" vertical="center" wrapText="1"/>
    </xf>
    <xf numFmtId="49" fontId="2" fillId="3" borderId="3" xfId="50" applyFont="1" applyFill="1" applyBorder="1" applyAlignment="1" applyProtection="1">
      <alignment horizontal="center" vertical="center" wrapText="1"/>
    </xf>
    <xf numFmtId="176" fontId="3" fillId="3" borderId="2" xfId="49" applyNumberFormat="1" applyFont="1" applyBorder="1" applyAlignment="1" applyProtection="1">
      <alignment horizontal="center" vertical="center"/>
    </xf>
    <xf numFmtId="49" fontId="2" fillId="3" borderId="1" xfId="50" applyFont="1" applyFill="1" applyBorder="1" applyAlignment="1" applyProtection="1">
      <alignment horizontal="center" vertical="center" wrapText="1"/>
    </xf>
    <xf numFmtId="49" fontId="2" fillId="3" borderId="4" xfId="50" applyFont="1" applyFill="1" applyBorder="1" applyAlignment="1" applyProtection="1">
      <alignment horizontal="center" vertical="center" wrapText="1"/>
    </xf>
    <xf numFmtId="176" fontId="3" fillId="3" borderId="1" xfId="49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right" vertical="center" wrapText="1"/>
    </xf>
    <xf numFmtId="0" fontId="4" fillId="0" borderId="6" xfId="0" applyFont="1" applyBorder="1" applyAlignment="1" applyProtection="1">
      <alignment horizontal="right" vertical="center" wrapText="1"/>
    </xf>
    <xf numFmtId="176" fontId="3" fillId="3" borderId="7" xfId="49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right" vertical="center"/>
    </xf>
    <xf numFmtId="177" fontId="5" fillId="0" borderId="8" xfId="0" applyNumberFormat="1" applyFont="1" applyBorder="1" applyAlignment="1" applyProtection="1">
      <alignment horizontal="center" vertical="center"/>
    </xf>
    <xf numFmtId="177" fontId="5" fillId="0" borderId="1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vertical="center"/>
    </xf>
    <xf numFmtId="176" fontId="7" fillId="4" borderId="9" xfId="49" applyFont="1" applyFill="1" applyBorder="1" applyAlignment="1" applyProtection="1">
      <alignment horizontal="center" vertical="center"/>
    </xf>
    <xf numFmtId="176" fontId="7" fillId="4" borderId="10" xfId="49" applyFont="1" applyFill="1" applyBorder="1" applyAlignment="1" applyProtection="1">
      <alignment horizontal="center" vertical="center"/>
    </xf>
    <xf numFmtId="49" fontId="8" fillId="5" borderId="1" xfId="53" applyFont="1" applyBorder="1" applyAlignment="1" applyProtection="1">
      <alignment horizontal="center" vertical="center" wrapText="1"/>
    </xf>
    <xf numFmtId="49" fontId="8" fillId="5" borderId="1" xfId="53" applyFont="1" applyBorder="1" applyAlignment="1" applyProtection="1">
      <alignment horizontal="center" vertical="center"/>
    </xf>
    <xf numFmtId="49" fontId="2" fillId="0" borderId="1" xfId="5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left" vertical="center" wrapText="1"/>
    </xf>
    <xf numFmtId="0" fontId="9" fillId="0" borderId="11" xfId="0" applyFont="1" applyBorder="1" applyAlignment="1" applyProtection="1">
      <alignment horizontal="left" vertical="center" wrapText="1"/>
    </xf>
    <xf numFmtId="0" fontId="9" fillId="0" borderId="8" xfId="0" applyFont="1" applyBorder="1" applyAlignment="1" applyProtection="1">
      <alignment horizontal="left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vertical="center"/>
    </xf>
    <xf numFmtId="0" fontId="6" fillId="0" borderId="11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49" fontId="5" fillId="0" borderId="11" xfId="54" applyFont="1" applyBorder="1" applyAlignment="1" applyProtection="1">
      <alignment horizontal="right" vertical="center" wrapText="1"/>
    </xf>
    <xf numFmtId="0" fontId="1" fillId="2" borderId="11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10" fillId="6" borderId="11" xfId="0" applyFont="1" applyFill="1" applyBorder="1" applyAlignment="1" applyProtection="1">
      <alignment vertical="center" wrapText="1"/>
    </xf>
    <xf numFmtId="0" fontId="10" fillId="6" borderId="12" xfId="0" applyFont="1" applyFill="1" applyBorder="1" applyAlignment="1" applyProtection="1">
      <alignment vertical="center" wrapText="1"/>
    </xf>
    <xf numFmtId="0" fontId="10" fillId="6" borderId="8" xfId="0" applyFont="1" applyFill="1" applyBorder="1" applyAlignment="1" applyProtection="1">
      <alignment vertical="center" wrapText="1"/>
    </xf>
    <xf numFmtId="0" fontId="2" fillId="0" borderId="1" xfId="0" applyFont="1" applyBorder="1" applyAlignment="1" applyProtection="1">
      <alignment vertical="center"/>
    </xf>
    <xf numFmtId="177" fontId="5" fillId="0" borderId="1" xfId="0" applyNumberFormat="1" applyFont="1" applyBorder="1" applyAlignment="1" applyProtection="1">
      <alignment vertical="center"/>
    </xf>
    <xf numFmtId="0" fontId="2" fillId="0" borderId="1" xfId="0" applyFont="1" applyBorder="1" applyAlignment="1" applyProtection="1">
      <alignment vertical="center" wrapText="1"/>
    </xf>
    <xf numFmtId="0" fontId="11" fillId="0" borderId="2" xfId="0" applyFont="1" applyBorder="1" applyAlignment="1" applyProtection="1">
      <alignment vertical="center"/>
    </xf>
    <xf numFmtId="0" fontId="5" fillId="0" borderId="1" xfId="0" applyFont="1" applyBorder="1" applyAlignment="1" applyProtection="1">
      <alignment horizontal="right" vertical="center" wrapText="1"/>
    </xf>
    <xf numFmtId="0" fontId="10" fillId="6" borderId="11" xfId="0" applyFont="1" applyFill="1" applyBorder="1" applyAlignment="1" applyProtection="1">
      <alignment horizontal="left" vertical="center" wrapText="1"/>
    </xf>
    <xf numFmtId="0" fontId="10" fillId="6" borderId="12" xfId="0" applyFont="1" applyFill="1" applyBorder="1" applyAlignment="1" applyProtection="1">
      <alignment horizontal="left" vertical="center" wrapText="1"/>
    </xf>
    <xf numFmtId="0" fontId="10" fillId="6" borderId="8" xfId="0" applyFont="1" applyFill="1" applyBorder="1" applyAlignment="1" applyProtection="1">
      <alignment horizontal="left" vertical="center" wrapText="1"/>
    </xf>
    <xf numFmtId="0" fontId="0" fillId="0" borderId="0" xfId="0" applyAlignment="1" applyProtection="1">
      <alignment vertical="center"/>
    </xf>
    <xf numFmtId="176" fontId="3" fillId="3" borderId="11" xfId="49" applyFont="1" applyBorder="1" applyAlignment="1" applyProtection="1">
      <alignment horizontal="center" vertical="center"/>
    </xf>
    <xf numFmtId="176" fontId="3" fillId="3" borderId="13" xfId="49" applyFont="1" applyBorder="1" applyAlignment="1" applyProtection="1">
      <alignment horizontal="center" vertical="center"/>
    </xf>
    <xf numFmtId="0" fontId="9" fillId="0" borderId="8" xfId="0" applyFont="1" applyBorder="1" applyAlignment="1" applyProtection="1">
      <alignment horizontal="center" vertical="center" wrapText="1"/>
    </xf>
    <xf numFmtId="49" fontId="5" fillId="0" borderId="8" xfId="54" applyFont="1" applyBorder="1" applyAlignment="1" applyProtection="1">
      <alignment horizontal="right" vertical="center" wrapText="1"/>
    </xf>
    <xf numFmtId="176" fontId="3" fillId="3" borderId="14" xfId="49" applyFont="1" applyBorder="1" applyAlignment="1" applyProtection="1">
      <alignment horizontal="center" vertical="center"/>
    </xf>
    <xf numFmtId="176" fontId="3" fillId="3" borderId="15" xfId="49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 wrapText="1"/>
    </xf>
    <xf numFmtId="0" fontId="11" fillId="0" borderId="1" xfId="0" applyFont="1" applyBorder="1" applyAlignment="1" applyProtection="1">
      <alignment vertical="center"/>
    </xf>
    <xf numFmtId="0" fontId="12" fillId="7" borderId="11" xfId="0" applyFont="1" applyFill="1" applyBorder="1" applyAlignment="1" applyProtection="1">
      <alignment horizontal="center" vertical="center"/>
    </xf>
    <xf numFmtId="0" fontId="12" fillId="7" borderId="12" xfId="0" applyFont="1" applyFill="1" applyBorder="1" applyAlignment="1" applyProtection="1">
      <alignment horizontal="center" vertical="center"/>
    </xf>
    <xf numFmtId="0" fontId="12" fillId="7" borderId="8" xfId="0" applyFont="1" applyFill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16" xfId="0" applyFont="1" applyBorder="1" applyAlignment="1" applyProtection="1">
      <alignment horizontal="center" vertical="center"/>
    </xf>
    <xf numFmtId="49" fontId="2" fillId="0" borderId="11" xfId="0" applyNumberFormat="1" applyFont="1" applyBorder="1" applyAlignment="1" applyProtection="1">
      <alignment horizontal="left" vertical="center"/>
    </xf>
    <xf numFmtId="49" fontId="2" fillId="0" borderId="8" xfId="0" applyNumberFormat="1" applyFont="1" applyBorder="1" applyAlignment="1" applyProtection="1">
      <alignment horizontal="left" vertical="center"/>
    </xf>
    <xf numFmtId="0" fontId="2" fillId="0" borderId="17" xfId="0" applyFont="1" applyBorder="1" applyAlignment="1" applyProtection="1">
      <alignment horizontal="center" vertical="center"/>
    </xf>
    <xf numFmtId="0" fontId="2" fillId="0" borderId="18" xfId="0" applyFont="1" applyBorder="1" applyAlignment="1" applyProtection="1">
      <alignment horizontal="center" vertical="center"/>
    </xf>
    <xf numFmtId="49" fontId="11" fillId="0" borderId="11" xfId="0" applyNumberFormat="1" applyFont="1" applyBorder="1" applyAlignment="1" applyProtection="1">
      <alignment horizontal="left" vertical="center"/>
    </xf>
    <xf numFmtId="49" fontId="11" fillId="0" borderId="8" xfId="0" applyNumberFormat="1" applyFont="1" applyBorder="1" applyAlignment="1" applyProtection="1">
      <alignment horizontal="left" vertical="center"/>
    </xf>
    <xf numFmtId="49" fontId="2" fillId="0" borderId="11" xfId="0" applyNumberFormat="1" applyFont="1" applyBorder="1" applyAlignment="1" applyProtection="1">
      <alignment horizontal="left" vertical="center" wrapText="1"/>
    </xf>
    <xf numFmtId="40" fontId="6" fillId="0" borderId="0" xfId="0" applyNumberFormat="1" applyFont="1" applyAlignment="1" applyProtection="1">
      <alignment vertical="center"/>
    </xf>
    <xf numFmtId="0" fontId="6" fillId="0" borderId="0" xfId="0" applyNumberFormat="1" applyFont="1" applyAlignment="1" applyProtection="1">
      <alignment vertical="center" wrapText="1"/>
    </xf>
    <xf numFmtId="0" fontId="12" fillId="7" borderId="1" xfId="0" applyFont="1" applyFill="1" applyBorder="1" applyAlignment="1" applyProtection="1">
      <alignment horizontal="center" vertical="center"/>
    </xf>
    <xf numFmtId="178" fontId="9" fillId="0" borderId="8" xfId="0" applyNumberFormat="1" applyFont="1" applyBorder="1" applyAlignment="1" applyProtection="1">
      <alignment vertical="center" wrapText="1"/>
    </xf>
    <xf numFmtId="0" fontId="5" fillId="0" borderId="1" xfId="0" applyNumberFormat="1" applyFont="1" applyBorder="1" applyAlignment="1" applyProtection="1">
      <alignment vertical="center"/>
    </xf>
    <xf numFmtId="49" fontId="11" fillId="0" borderId="11" xfId="0" applyNumberFormat="1" applyFont="1" applyBorder="1" applyAlignment="1" applyProtection="1">
      <alignment horizontal="left" vertical="center" wrapText="1"/>
    </xf>
    <xf numFmtId="49" fontId="11" fillId="0" borderId="8" xfId="0" applyNumberFormat="1" applyFont="1" applyBorder="1" applyAlignment="1" applyProtection="1">
      <alignment horizontal="left" vertical="center" wrapText="1"/>
    </xf>
    <xf numFmtId="0" fontId="2" fillId="0" borderId="19" xfId="0" applyFont="1" applyBorder="1" applyAlignment="1" applyProtection="1">
      <alignment horizontal="center" vertical="center"/>
    </xf>
    <xf numFmtId="0" fontId="2" fillId="0" borderId="20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</xf>
    <xf numFmtId="0" fontId="11" fillId="0" borderId="5" xfId="0" applyFont="1" applyBorder="1" applyAlignment="1" applyProtection="1">
      <alignment horizontal="left" vertical="center"/>
    </xf>
    <xf numFmtId="0" fontId="11" fillId="0" borderId="16" xfId="0" applyFont="1" applyBorder="1" applyAlignment="1" applyProtection="1">
      <alignment horizontal="left" vertical="center"/>
    </xf>
    <xf numFmtId="0" fontId="11" fillId="0" borderId="11" xfId="0" applyFont="1" applyBorder="1" applyAlignment="1" applyProtection="1">
      <alignment vertical="center"/>
    </xf>
    <xf numFmtId="0" fontId="11" fillId="0" borderId="12" xfId="0" applyFont="1" applyBorder="1" applyAlignment="1" applyProtection="1">
      <alignment vertical="center"/>
    </xf>
    <xf numFmtId="0" fontId="5" fillId="0" borderId="1" xfId="0" applyFont="1" applyBorder="1" applyAlignment="1" applyProtection="1">
      <alignment horizontal="right" vertical="center"/>
    </xf>
    <xf numFmtId="0" fontId="12" fillId="7" borderId="5" xfId="0" applyFont="1" applyFill="1" applyBorder="1" applyAlignment="1" applyProtection="1">
      <alignment horizontal="center" vertical="center"/>
    </xf>
    <xf numFmtId="0" fontId="12" fillId="7" borderId="16" xfId="0" applyFont="1" applyFill="1" applyBorder="1" applyAlignment="1" applyProtection="1">
      <alignment horizontal="center" vertical="center"/>
    </xf>
    <xf numFmtId="49" fontId="2" fillId="0" borderId="19" xfId="0" applyNumberFormat="1" applyFont="1" applyBorder="1" applyAlignment="1" applyProtection="1">
      <alignment horizontal="left" vertical="center"/>
    </xf>
    <xf numFmtId="49" fontId="2" fillId="0" borderId="20" xfId="0" applyNumberFormat="1" applyFont="1" applyBorder="1" applyAlignment="1" applyProtection="1">
      <alignment horizontal="left" vertical="center"/>
    </xf>
    <xf numFmtId="177" fontId="5" fillId="0" borderId="7" xfId="0" applyNumberFormat="1" applyFont="1" applyBorder="1" applyAlignment="1" applyProtection="1">
      <alignment vertical="center"/>
    </xf>
    <xf numFmtId="178" fontId="6" fillId="0" borderId="8" xfId="0" applyNumberFormat="1" applyFont="1" applyBorder="1" applyAlignment="1" applyProtection="1">
      <alignment vertical="center"/>
    </xf>
    <xf numFmtId="0" fontId="12" fillId="7" borderId="7" xfId="0" applyFont="1" applyFill="1" applyBorder="1" applyAlignment="1" applyProtection="1">
      <alignment horizontal="center" vertical="center"/>
    </xf>
    <xf numFmtId="0" fontId="5" fillId="0" borderId="2" xfId="0" applyNumberFormat="1" applyFont="1" applyBorder="1" applyAlignment="1" applyProtection="1">
      <alignment vertical="center"/>
    </xf>
    <xf numFmtId="178" fontId="9" fillId="0" borderId="8" xfId="0" applyNumberFormat="1" applyFont="1" applyBorder="1" applyAlignment="1" applyProtection="1">
      <alignment vertical="center"/>
    </xf>
    <xf numFmtId="0" fontId="6" fillId="0" borderId="0" xfId="0" applyFont="1" applyAlignment="1" applyProtection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76" fontId="3" fillId="3" borderId="2" xfId="49" applyNumberFormat="1" applyFont="1" applyBorder="1" applyAlignment="1">
      <alignment horizontal="center" vertical="center"/>
    </xf>
    <xf numFmtId="176" fontId="3" fillId="3" borderId="1" xfId="49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176" fontId="3" fillId="3" borderId="7" xfId="49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77" fontId="5" fillId="0" borderId="8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7" fillId="4" borderId="9" xfId="49" applyFont="1" applyFill="1" applyBorder="1" applyAlignment="1">
      <alignment horizontal="center" vertical="center"/>
    </xf>
    <xf numFmtId="176" fontId="7" fillId="4" borderId="10" xfId="49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vertical="center" wrapText="1"/>
    </xf>
    <xf numFmtId="0" fontId="10" fillId="6" borderId="12" xfId="0" applyFont="1" applyFill="1" applyBorder="1" applyAlignment="1">
      <alignment vertical="center" wrapText="1"/>
    </xf>
    <xf numFmtId="0" fontId="10" fillId="6" borderId="8" xfId="0" applyFont="1" applyFill="1" applyBorder="1" applyAlignment="1">
      <alignment vertical="center" wrapText="1"/>
    </xf>
    <xf numFmtId="177" fontId="5" fillId="0" borderId="1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5" fillId="0" borderId="1" xfId="0" applyFont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left" vertical="center" wrapText="1"/>
    </xf>
    <xf numFmtId="0" fontId="10" fillId="6" borderId="12" xfId="0" applyFont="1" applyFill="1" applyBorder="1" applyAlignment="1">
      <alignment horizontal="left" vertical="center" wrapText="1"/>
    </xf>
    <xf numFmtId="0" fontId="10" fillId="6" borderId="8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76" fontId="3" fillId="3" borderId="11" xfId="49" applyFont="1" applyBorder="1" applyAlignment="1">
      <alignment horizontal="center" vertical="center"/>
    </xf>
    <xf numFmtId="176" fontId="3" fillId="3" borderId="13" xfId="49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176" fontId="3" fillId="3" borderId="14" xfId="49" applyFont="1" applyBorder="1" applyAlignment="1">
      <alignment horizontal="center" vertical="center"/>
    </xf>
    <xf numFmtId="176" fontId="3" fillId="3" borderId="15" xfId="49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2" fillId="7" borderId="11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left" vertical="center"/>
    </xf>
    <xf numFmtId="49" fontId="11" fillId="0" borderId="8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 wrapText="1"/>
    </xf>
    <xf numFmtId="40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12" fillId="7" borderId="1" xfId="0" applyFont="1" applyFill="1" applyBorder="1" applyAlignment="1">
      <alignment horizontal="center" vertical="center"/>
    </xf>
    <xf numFmtId="178" fontId="9" fillId="0" borderId="8" xfId="0" applyNumberFormat="1" applyFont="1" applyBorder="1" applyAlignment="1">
      <alignment vertical="center" wrapText="1"/>
    </xf>
    <xf numFmtId="0" fontId="5" fillId="0" borderId="1" xfId="0" applyNumberFormat="1" applyFont="1" applyBorder="1" applyAlignment="1">
      <alignment vertical="center"/>
    </xf>
    <xf numFmtId="49" fontId="11" fillId="0" borderId="11" xfId="0" applyNumberFormat="1" applyFont="1" applyBorder="1" applyAlignment="1">
      <alignment horizontal="left" vertical="center" wrapText="1"/>
    </xf>
    <xf numFmtId="49" fontId="11" fillId="0" borderId="8" xfId="0" applyNumberFormat="1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177" fontId="5" fillId="0" borderId="7" xfId="0" applyNumberFormat="1" applyFont="1" applyBorder="1" applyAlignment="1">
      <alignment vertical="center"/>
    </xf>
    <xf numFmtId="178" fontId="6" fillId="0" borderId="8" xfId="0" applyNumberFormat="1" applyFont="1" applyBorder="1" applyAlignment="1">
      <alignment vertical="center"/>
    </xf>
    <xf numFmtId="0" fontId="12" fillId="7" borderId="7" xfId="0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vertical="center"/>
    </xf>
    <xf numFmtId="178" fontId="9" fillId="0" borderId="8" xfId="0" applyNumberFormat="1" applyFont="1" applyBorder="1" applyAlignment="1">
      <alignment vertical="center"/>
    </xf>
    <xf numFmtId="40" fontId="6" fillId="0" borderId="0" xfId="0" applyNumberFormat="1" applyFont="1" applyAlignment="1" applyProtection="1">
      <alignment vertical="center" wrapText="1"/>
    </xf>
    <xf numFmtId="0" fontId="6" fillId="0" borderId="0" xfId="0" applyFont="1" applyProtection="1"/>
    <xf numFmtId="0" fontId="14" fillId="8" borderId="1" xfId="0" applyFont="1" applyFill="1" applyBorder="1" applyAlignment="1" applyProtection="1">
      <alignment horizontal="center" vertical="center"/>
    </xf>
    <xf numFmtId="49" fontId="1" fillId="9" borderId="21" xfId="52" applyFont="1" applyBorder="1" applyAlignment="1" applyProtection="1">
      <alignment horizontal="center" vertical="center" wrapText="1"/>
    </xf>
    <xf numFmtId="49" fontId="1" fillId="9" borderId="0" xfId="52" applyFont="1" applyBorder="1" applyAlignment="1" applyProtection="1">
      <alignment horizontal="center" vertical="center" wrapText="1"/>
    </xf>
    <xf numFmtId="49" fontId="1" fillId="9" borderId="22" xfId="52" applyFont="1" applyBorder="1" applyAlignment="1" applyProtection="1">
      <alignment horizontal="center" vertical="center"/>
    </xf>
    <xf numFmtId="0" fontId="15" fillId="0" borderId="23" xfId="0" applyFont="1" applyBorder="1" applyAlignment="1" applyProtection="1">
      <alignment horizontal="center" vertical="center" wrapText="1"/>
    </xf>
    <xf numFmtId="49" fontId="2" fillId="3" borderId="23" xfId="50" applyFont="1" applyFill="1" applyBorder="1" applyAlignment="1" applyProtection="1">
      <alignment horizontal="center" vertical="center" wrapText="1"/>
    </xf>
    <xf numFmtId="176" fontId="3" fillId="3" borderId="23" xfId="49" applyNumberFormat="1" applyFont="1" applyBorder="1" applyProtection="1">
      <alignment horizontal="center" vertical="center"/>
    </xf>
    <xf numFmtId="176" fontId="3" fillId="3" borderId="23" xfId="49" applyFont="1" applyBorder="1" applyProtection="1">
      <alignment horizontal="center" vertical="center"/>
    </xf>
    <xf numFmtId="49" fontId="5" fillId="0" borderId="23" xfId="54" applyFont="1" applyBorder="1" applyAlignment="1" applyProtection="1">
      <alignment horizontal="right" vertical="center" wrapText="1"/>
    </xf>
    <xf numFmtId="0" fontId="6" fillId="0" borderId="1" xfId="0" applyFont="1" applyBorder="1" applyAlignment="1" applyProtection="1"/>
    <xf numFmtId="0" fontId="6" fillId="0" borderId="11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1" fillId="2" borderId="11" xfId="0" applyFont="1" applyFill="1" applyBorder="1" applyAlignment="1" applyProtection="1">
      <alignment horizontal="center" wrapText="1"/>
    </xf>
    <xf numFmtId="0" fontId="1" fillId="2" borderId="12" xfId="0" applyFont="1" applyFill="1" applyBorder="1" applyAlignment="1" applyProtection="1">
      <alignment horizontal="center" wrapText="1"/>
    </xf>
    <xf numFmtId="0" fontId="1" fillId="2" borderId="8" xfId="0" applyFont="1" applyFill="1" applyBorder="1" applyAlignment="1" applyProtection="1">
      <alignment horizontal="center" wrapText="1"/>
    </xf>
    <xf numFmtId="0" fontId="1" fillId="2" borderId="1" xfId="0" applyFont="1" applyFill="1" applyBorder="1" applyAlignment="1" applyProtection="1">
      <alignment horizontal="center" wrapText="1"/>
    </xf>
    <xf numFmtId="0" fontId="1" fillId="2" borderId="1" xfId="0" applyFont="1" applyFill="1" applyBorder="1" applyAlignment="1" applyProtection="1">
      <alignment horizontal="center"/>
    </xf>
    <xf numFmtId="0" fontId="10" fillId="6" borderId="11" xfId="0" applyFont="1" applyFill="1" applyBorder="1" applyAlignment="1" applyProtection="1">
      <alignment wrapText="1"/>
    </xf>
    <xf numFmtId="0" fontId="10" fillId="6" borderId="12" xfId="0" applyFont="1" applyFill="1" applyBorder="1" applyAlignment="1" applyProtection="1">
      <alignment wrapText="1"/>
    </xf>
    <xf numFmtId="0" fontId="10" fillId="6" borderId="8" xfId="0" applyFont="1" applyFill="1" applyBorder="1" applyAlignment="1" applyProtection="1">
      <alignment wrapText="1"/>
    </xf>
    <xf numFmtId="0" fontId="11" fillId="0" borderId="1" xfId="0" applyFont="1" applyBorder="1" applyAlignment="1" applyProtection="1">
      <alignment vertical="center" wrapText="1"/>
    </xf>
    <xf numFmtId="177" fontId="5" fillId="0" borderId="1" xfId="0" applyNumberFormat="1" applyFont="1" applyBorder="1" applyAlignment="1" applyProtection="1"/>
    <xf numFmtId="0" fontId="6" fillId="0" borderId="0" xfId="0" applyFont="1" applyAlignment="1" applyProtection="1">
      <alignment wrapText="1"/>
    </xf>
    <xf numFmtId="0" fontId="14" fillId="8" borderId="7" xfId="0" applyFont="1" applyFill="1" applyBorder="1" applyAlignment="1" applyProtection="1">
      <alignment horizontal="center" vertical="center"/>
    </xf>
    <xf numFmtId="49" fontId="1" fillId="9" borderId="11" xfId="52" applyFont="1" applyBorder="1" applyAlignment="1" applyProtection="1">
      <alignment horizontal="center" vertical="center" wrapText="1"/>
    </xf>
    <xf numFmtId="49" fontId="1" fillId="9" borderId="7" xfId="52" applyFont="1" applyBorder="1" applyAlignment="1" applyProtection="1">
      <alignment horizontal="center" vertical="center" wrapText="1"/>
    </xf>
    <xf numFmtId="179" fontId="16" fillId="0" borderId="19" xfId="0" applyNumberFormat="1" applyFont="1" applyBorder="1" applyAlignment="1" applyProtection="1">
      <alignment horizontal="center" vertical="center"/>
    </xf>
    <xf numFmtId="177" fontId="16" fillId="0" borderId="1" xfId="0" applyNumberFormat="1" applyFont="1" applyBorder="1" applyAlignment="1" applyProtection="1">
      <alignment horizontal="center" vertical="center"/>
    </xf>
    <xf numFmtId="0" fontId="16" fillId="0" borderId="11" xfId="0" applyFont="1" applyBorder="1" applyAlignment="1" applyProtection="1">
      <alignment horizontal="center" vertical="center"/>
    </xf>
    <xf numFmtId="0" fontId="16" fillId="0" borderId="11" xfId="0" applyFont="1" applyBorder="1" applyAlignment="1" applyProtection="1">
      <alignment horizontal="center" vertical="center" wrapText="1"/>
    </xf>
    <xf numFmtId="0" fontId="16" fillId="0" borderId="5" xfId="0" applyFont="1" applyBorder="1" applyAlignment="1" applyProtection="1">
      <alignment horizontal="center" vertical="center"/>
    </xf>
    <xf numFmtId="177" fontId="16" fillId="0" borderId="7" xfId="0" applyNumberFormat="1" applyFont="1" applyBorder="1" applyAlignment="1" applyProtection="1">
      <alignment horizontal="center" vertical="center"/>
    </xf>
    <xf numFmtId="0" fontId="16" fillId="0" borderId="1" xfId="0" applyFont="1" applyBorder="1" applyAlignment="1" applyProtection="1">
      <alignment horizontal="center" vertical="center"/>
    </xf>
    <xf numFmtId="177" fontId="16" fillId="0" borderId="22" xfId="0" applyNumberFormat="1" applyFont="1" applyBorder="1" applyAlignment="1" applyProtection="1">
      <alignment horizontal="center" vertical="center"/>
    </xf>
    <xf numFmtId="49" fontId="1" fillId="9" borderId="5" xfId="52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/>
    </xf>
    <xf numFmtId="0" fontId="16" fillId="0" borderId="2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/>
    <xf numFmtId="0" fontId="5" fillId="0" borderId="1" xfId="0" applyFont="1" applyBorder="1" applyAlignment="1" applyProtection="1">
      <alignment horizontal="right" wrapText="1"/>
    </xf>
    <xf numFmtId="0" fontId="6" fillId="0" borderId="0" xfId="0" applyFont="1" applyAlignment="1" applyProtection="1"/>
    <xf numFmtId="0" fontId="13" fillId="0" borderId="1" xfId="0" applyFont="1" applyBorder="1" applyAlignment="1" applyProtection="1"/>
    <xf numFmtId="0" fontId="9" fillId="0" borderId="0" xfId="0" applyFont="1"/>
    <xf numFmtId="0" fontId="17" fillId="10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7" fillId="10" borderId="22" xfId="0" applyFont="1" applyFill="1" applyBorder="1" applyAlignment="1">
      <alignment horizontal="center" vertical="center" wrapText="1"/>
    </xf>
    <xf numFmtId="180" fontId="9" fillId="0" borderId="22" xfId="0" applyNumberFormat="1" applyFont="1" applyBorder="1" applyAlignment="1">
      <alignment horizontal="center" vertical="center" wrapText="1"/>
    </xf>
    <xf numFmtId="180" fontId="9" fillId="0" borderId="7" xfId="0" applyNumberFormat="1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9" fillId="10" borderId="0" xfId="0" applyFont="1" applyFill="1" applyBorder="1" applyAlignment="1">
      <alignment horizontal="center"/>
    </xf>
    <xf numFmtId="0" fontId="20" fillId="10" borderId="0" xfId="0" applyFont="1" applyFill="1" applyBorder="1" applyAlignment="1">
      <alignment horizontal="center" vertical="top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Value" xfId="49"/>
    <cellStyle name="Item Label" xfId="50"/>
    <cellStyle name="Item Text" xfId="51"/>
    <cellStyle name="Legend Sub Header" xfId="52"/>
    <cellStyle name="Revenue Header Font" xfId="53"/>
    <cellStyle name="Total Label" xfId="54"/>
  </cellStyles>
  <dxfs count="7">
    <dxf>
      <font>
        <color theme="3" tint="0.5"/>
      </font>
    </dxf>
    <dxf>
      <font>
        <color theme="3" tint="0.499984740745262"/>
      </font>
      <fill>
        <patternFill patternType="solid">
          <bgColor theme="0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b val="1"/>
        <i val="0"/>
        <color rgb="FF5B9BD5"/>
      </font>
      <fill>
        <patternFill patternType="solid">
          <bgColor theme="0"/>
        </patternFill>
      </fill>
    </dxf>
    <dxf>
      <font>
        <b val="1"/>
        <i val="0"/>
        <color rgb="FFFF0000"/>
      </font>
      <fill>
        <patternFill patternType="solid">
          <bgColor theme="0"/>
        </patternFill>
      </fill>
    </dxf>
    <dxf>
      <font>
        <color rgb="FF5B9BD5"/>
      </font>
      <fill>
        <patternFill patternType="solid">
          <bgColor theme="0"/>
        </patternFill>
      </fill>
    </dxf>
    <dxf>
      <font>
        <color theme="3" tint="0.5"/>
      </font>
      <fill>
        <patternFill patternType="solid">
          <bgColor theme="0"/>
        </patternFill>
      </fill>
    </dxf>
  </dxfs>
  <tableStyles count="0" defaultTableStyle="TableStyleMedium2" defaultPivotStyle="PivotStyleMedium9"/>
  <colors>
    <mruColors>
      <color rgb="005B9B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eetMetadata" Target="metadata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2"/>
  <sheetViews>
    <sheetView tabSelected="1" workbookViewId="0">
      <selection activeCell="AD26" sqref="AD26"/>
    </sheetView>
  </sheetViews>
  <sheetFormatPr defaultColWidth="8.88888888888889" defaultRowHeight="17.6"/>
  <sheetData>
    <row r="1" spans="1:26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</row>
    <row r="2" spans="1:26">
      <c r="A2" s="2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</row>
    <row r="3" spans="1:26">
      <c r="A3" s="240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</row>
    <row r="4" spans="1:26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</row>
    <row r="5" spans="1:26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</row>
    <row r="6" spans="1:26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</row>
    <row r="7" spans="1:26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</row>
    <row r="8" spans="1:26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</row>
    <row r="9" spans="1:26">
      <c r="A9" s="240"/>
      <c r="B9" s="240"/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</row>
    <row r="10" spans="1:26">
      <c r="A10" s="240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</row>
    <row r="11" spans="1:26">
      <c r="A11" s="240"/>
      <c r="B11" s="240"/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</row>
    <row r="12" spans="1:26">
      <c r="A12" s="240"/>
      <c r="B12" s="240"/>
      <c r="C12" s="240"/>
      <c r="D12" s="240"/>
      <c r="E12" s="240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</row>
    <row r="13" spans="1:26">
      <c r="A13" s="240"/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</row>
    <row r="14" spans="1:26">
      <c r="A14" s="240"/>
      <c r="B14" s="240"/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</row>
    <row r="15" spans="1:26">
      <c r="A15" s="240"/>
      <c r="B15" s="240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</row>
    <row r="16" spans="1:26">
      <c r="A16" s="240"/>
      <c r="B16" s="240"/>
      <c r="C16" s="240"/>
      <c r="D16" s="240"/>
      <c r="E16" s="240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</row>
    <row r="17" spans="1:26">
      <c r="A17" s="240"/>
      <c r="B17" s="240"/>
      <c r="C17" s="240"/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</row>
    <row r="18" spans="1:26">
      <c r="A18" s="240"/>
      <c r="B18" s="240"/>
      <c r="C18" s="240"/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</row>
    <row r="19" spans="1:26">
      <c r="A19" s="240"/>
      <c r="B19" s="240"/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</row>
    <row r="20" spans="1:26">
      <c r="A20" s="240"/>
      <c r="B20" s="240"/>
      <c r="C20" s="240"/>
      <c r="D20" s="240"/>
      <c r="E20" s="240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</row>
    <row r="21" spans="1:26">
      <c r="A21" s="240"/>
      <c r="B21" s="240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</row>
    <row r="22" spans="1:26">
      <c r="A22" s="240"/>
      <c r="B22" s="240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</row>
    <row r="23" spans="1:26">
      <c r="A23" s="240"/>
      <c r="B23" s="240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</row>
    <row r="24" spans="1:26">
      <c r="A24" s="240"/>
      <c r="B24" s="240"/>
      <c r="C24" s="240"/>
      <c r="D24" s="240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</row>
    <row r="25" spans="1:26">
      <c r="A25" s="240"/>
      <c r="B25" s="240"/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</row>
    <row r="26" spans="1:26">
      <c r="A26" s="240"/>
      <c r="B26" s="240"/>
      <c r="C26" s="24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</row>
    <row r="27" spans="1:26">
      <c r="A27" s="240"/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</row>
    <row r="28" spans="1:26">
      <c r="A28" s="240"/>
      <c r="B28" s="240"/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</row>
    <row r="29" spans="1:26">
      <c r="A29" s="240"/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</row>
    <row r="30" spans="1:26">
      <c r="A30" s="240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</row>
    <row r="31" spans="1:26">
      <c r="A31" s="240"/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</row>
    <row r="32" spans="1:26">
      <c r="A32" s="241" t="s">
        <v>1</v>
      </c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</row>
    <row r="33" spans="1:26">
      <c r="A33" s="241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</row>
    <row r="34" spans="1:26">
      <c r="A34" s="241"/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</row>
    <row r="35" spans="1:26">
      <c r="A35" s="241"/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</row>
    <row r="36" spans="1:26">
      <c r="A36" s="241"/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</row>
    <row r="37" spans="1:26">
      <c r="A37" s="241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</row>
    <row r="38" spans="1:26">
      <c r="A38" s="241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</row>
    <row r="39" spans="1:26">
      <c r="A39" s="241"/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</row>
    <row r="40" spans="1:26">
      <c r="A40" s="241"/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</row>
    <row r="41" spans="1:26">
      <c r="A41" s="241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</row>
    <row r="42" spans="1:26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</row>
    <row r="43" spans="1:26">
      <c r="A43" s="241"/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  <c r="Z43" s="241"/>
    </row>
    <row r="44" spans="1:26">
      <c r="A44" s="241"/>
      <c r="B44" s="241"/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</row>
    <row r="45" spans="1:26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241"/>
    </row>
    <row r="46" spans="1:26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241"/>
    </row>
    <row r="47" spans="1:26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Y47" s="241"/>
      <c r="Z47" s="241"/>
    </row>
    <row r="48" spans="1:26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</row>
    <row r="49" spans="1:26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1"/>
    </row>
    <row r="50" spans="1:26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</row>
    <row r="51" spans="1:26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</row>
    <row r="52" spans="1:26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</row>
    <row r="53" spans="1:26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</row>
    <row r="54" spans="1:26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</row>
    <row r="55" spans="1:26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</row>
    <row r="56" spans="1:26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</row>
    <row r="57" spans="1:26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</row>
    <row r="58" spans="1:26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Y58" s="241"/>
      <c r="Z58" s="241"/>
    </row>
    <row r="59" spans="1:26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41"/>
      <c r="Z59" s="241"/>
    </row>
    <row r="60" spans="1:26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</row>
    <row r="61" spans="1:26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Y61" s="241"/>
      <c r="Z61" s="241"/>
    </row>
    <row r="62" spans="1:26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</row>
  </sheetData>
  <sheetProtection sheet="1" objects="1"/>
  <mergeCells count="2">
    <mergeCell ref="A1:Z31"/>
    <mergeCell ref="A32:Z6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workbookViewId="0">
      <selection activeCell="B12" sqref="B12:B14"/>
    </sheetView>
  </sheetViews>
  <sheetFormatPr defaultColWidth="9" defaultRowHeight="16.8" outlineLevelCol="1"/>
  <cols>
    <col min="1" max="1" width="43.25" style="219" customWidth="1"/>
    <col min="2" max="2" width="34.125" style="219" customWidth="1"/>
    <col min="3" max="16384" width="9" style="219"/>
  </cols>
  <sheetData>
    <row r="1" ht="45" customHeight="1" spans="1:2">
      <c r="A1" s="220" t="s">
        <v>2</v>
      </c>
      <c r="B1" s="221" t="s">
        <v>3</v>
      </c>
    </row>
    <row r="2" ht="45" customHeight="1" spans="1:2">
      <c r="A2" s="222" t="s">
        <v>4</v>
      </c>
      <c r="B2" s="223" t="b">
        <v>1</v>
      </c>
    </row>
    <row r="3" ht="36" customHeight="1" spans="1:2">
      <c r="A3" s="224" t="s">
        <v>5</v>
      </c>
      <c r="B3" s="225">
        <v>45758</v>
      </c>
    </row>
    <row r="4" ht="45" customHeight="1" spans="1:2">
      <c r="A4" s="220" t="s">
        <v>6</v>
      </c>
      <c r="B4" s="226" t="str">
        <f>IF(B2,TEXT(EDATE(B3,1)-1,"dd-mmm-yyyy"),B4)</f>
        <v>10-May-2025</v>
      </c>
    </row>
    <row r="5" ht="45" customHeight="1" spans="1:2">
      <c r="A5" s="222" t="s">
        <v>7</v>
      </c>
      <c r="B5" s="227">
        <v>45761</v>
      </c>
    </row>
    <row r="6" ht="45" customHeight="1" spans="1:2">
      <c r="A6" s="222"/>
      <c r="B6" s="227"/>
    </row>
    <row r="7" ht="24.75" customHeight="1" spans="1:2">
      <c r="A7" s="228"/>
      <c r="B7" s="229"/>
    </row>
    <row r="8" ht="40" customHeight="1" spans="1:2">
      <c r="A8" s="230" t="s">
        <v>8</v>
      </c>
      <c r="B8" s="230"/>
    </row>
    <row r="9" ht="20.25" customHeight="1" spans="1:2">
      <c r="A9" s="231" t="str">
        <f>TEXT(B3,"dd mmmm yyyy")&amp;" - "&amp;IF(B2,TEXT(EDATE(B3,1)-1,"dd mmmm yyyy"),TEXT(B3+B5-B3,"dd mmmm yyyy"))</f>
        <v>11 April 2025 - 10 May 2025</v>
      </c>
      <c r="B9" s="232" t="s">
        <v>9</v>
      </c>
    </row>
    <row r="10" ht="20.25" customHeight="1" spans="1:2">
      <c r="A10" s="223" t="str">
        <f>IF(B2,TEXT(EDATE(B3,1),"dd mmmm yyyy"),TEXT(B3+(B5-B3)+1,"dd mmmm yyyy"))&amp;" - "&amp;IF(B2,TEXT(EDATE(B3,2)-1,"dd mmmm yyyy"),TEXT(B3+(B5-B3)*2+1,"dd mmmm yyyy"))</f>
        <v>11 May 2025 - 10 June 2025</v>
      </c>
      <c r="B10" s="232"/>
    </row>
    <row r="11" ht="20.25" customHeight="1" spans="1:2">
      <c r="A11" s="223" t="str">
        <f>IF(B2,TEXT(EDATE(B3,2),"dd mmmm yyyy"),TEXT(B3+((B5-B3)*2)+2,"dd mmmm yyyy"))&amp;" - "&amp;IF(B2,TEXT(EDATE(B3,3)-1,"dd mmmm yyyy"),TEXT(B3+((B5-B3)*3+2),"dd mmmm yyyy"))</f>
        <v>11 June 2025 - 10 July 2025</v>
      </c>
      <c r="B11" s="233"/>
    </row>
    <row r="12" ht="20.25" customHeight="1" spans="1:2">
      <c r="A12" s="234" t="str">
        <f>IF(B2,TEXT(EDATE(B3,3),"dd mmmm yyyy"),TEXT(B3+((B5-B3)*3)+3,"dd mmmm yyyy"))&amp;" - "&amp;IF(B2,TEXT(EDATE(B3,4)-1,"dd mmmm yyyy"),TEXT(B3+(((B5-B3)*4)+3),"dd mmmm yyyy"))</f>
        <v>11 July 2025 - 10 August 2025</v>
      </c>
      <c r="B12" s="221" t="s">
        <v>10</v>
      </c>
    </row>
    <row r="13" ht="20.25" customHeight="1" spans="1:2">
      <c r="A13" s="234" t="str">
        <f>IF(B2,TEXT(EDATE(B3,4),"dd mmmm yyyy"),TEXT(B3+((B5-B3)*4)+4,"dd mmmm yyyy"))&amp;" - "&amp;IF(B2,TEXT(EDATE(B3,5)-1,"dd mmmm yyyy"),TEXT(B3+(((B5-B3)*5)+4),"dd mmmm yyyy"))</f>
        <v>11 August 2025 - 10 September 2025</v>
      </c>
      <c r="B13" s="235"/>
    </row>
    <row r="14" ht="20.25" customHeight="1" spans="1:2">
      <c r="A14" s="223" t="str">
        <f>IF(B2,TEXT(EDATE(B3,5),"dd mmmm yyyy"),TEXT(B3+((B5-B3)*5)+5,"dd mmmm yyyy"))&amp;" - "&amp;IF(B2,TEXT(EDATE(B3,6)-1,"dd mmmm yyyy"),TEXT(B3+(((B5-B3)*6)+5),"dd mmmm yyyy"))</f>
        <v>11 September 2025 - 10 October 2025</v>
      </c>
      <c r="B14" s="236"/>
    </row>
    <row r="15" ht="20.25" customHeight="1" spans="1:2">
      <c r="A15" s="223" t="str">
        <f>IF(B2,TEXT(EDATE(B3,6),"dd mmmm yyyy"),TEXT(B3+((B5-B3)*6)+6,"dd mmmm yyyy"))&amp;" - "&amp;IF(B2,TEXT(EDATE(B3,7)-1,"dd mmmm yyyy"),TEXT(B3+(((B5-B3)*7)+6),"dd mmmm yyyy"))</f>
        <v>11 October 2025 - 10 November 2025</v>
      </c>
      <c r="B15" s="221" t="s">
        <v>11</v>
      </c>
    </row>
    <row r="16" ht="20.25" customHeight="1" spans="1:2">
      <c r="A16" s="223" t="str">
        <f>IF(B2,TEXT(EDATE(B3,7),"dd mmmm yyyy"),TEXT(B3+((B5-B3)*7)+7,"dd mmmm yyyy"))&amp;" - "&amp;IF(B2,TEXT(EDATE(B3,8)-1,"dd mmmm yyyy"),TEXT(B3+(((B5-B3)*8)+7),"dd mmmm yyyy"))</f>
        <v>11 November 2025 - 10 December 2025</v>
      </c>
      <c r="B16" s="235"/>
    </row>
    <row r="17" ht="20.25" customHeight="1" spans="1:2">
      <c r="A17" s="223" t="str">
        <f>IF(B2,TEXT(EDATE(B3,8),"dd mmmm yyyy"),TEXT(B3+((B5-B3)*8)+8,"dd mmmm yyyy"))&amp;" - "&amp;IF(B2,TEXT(EDATE(B3,9)-1,"dd mmmm yyyy"),TEXT(B3+(((B5-B3)*9)+8),"dd mmmm yyyy"))</f>
        <v>11 December 2025 - 10 January 2026</v>
      </c>
      <c r="B17" s="236"/>
    </row>
    <row r="18" ht="20.25" customHeight="1" spans="1:2">
      <c r="A18" s="223" t="str">
        <f>IF(B2,TEXT(EDATE(B3,9),"dd mmmm yyyy"),TEXT(B3+((B5-B3)*9)+9,"dd mmmm yyyy"))&amp;" - "&amp;IF(B2,TEXT(EDATE(B3,10)-1,"dd mmmm yyyy"),TEXT(B3+(((B5-B3)*10)+9),"dd mmmm yyyy"))</f>
        <v>11 January 2026 - 10 February 2026</v>
      </c>
      <c r="B18" s="237" t="s">
        <v>12</v>
      </c>
    </row>
    <row r="19" ht="20.25" customHeight="1" spans="1:2">
      <c r="A19" s="223" t="str">
        <f>IF(B2,TEXT(EDATE(B3,10),"dd mmmm yyyy"),TEXT(B3+((B5-B3)*10)+10,"dd mmmm yyyy"))&amp;" - "&amp;IF(B2,TEXT(EDATE(B3,11)-1,"dd mmmm yyyy"),TEXT(B3+(((B5-B3)*11)+10),"dd mmmm yyyy"))</f>
        <v>11 February 2026 - 10 March 2026</v>
      </c>
      <c r="B19" s="235"/>
    </row>
    <row r="20" ht="20.25" customHeight="1" spans="1:2">
      <c r="A20" s="238" t="str">
        <f>IF(B2,TEXT(EDATE(B3,11),"dd mmmm yyyy"),TEXT(B3+((B5-B3)*11)+11,"dd mmmm yyyy"))&amp;" - "&amp;IF(B2,TEXT(EDATE(B3,12)-1,"dd mmmm yyyy"),TEXT(B3+(((B5-B3)*12)+11),"dd mmmm yyyy"))</f>
        <v>11 March 2026 - 10 April 2026</v>
      </c>
      <c r="B20" s="235"/>
    </row>
    <row r="21" ht="20.25" customHeight="1" spans="1:2">
      <c r="A21" s="239" t="str">
        <f>IF(B2,TEXT(EDATE(B3,12),"dd mmmm yyyy"),TEXT(B3+((B5-B3)*12)+12,"dd mmmm yyyy"))&amp;" - "&amp;IF(B2,TEXT(EDATE(B3,13)-1,"dd mmmm yyyy"),TEXT(B3+(((B5-B3)*13)+12),"dd mmmm yyyy"))</f>
        <v>11 April 2026 - 10 May 2026</v>
      </c>
      <c r="B21" s="223" t="s">
        <v>13</v>
      </c>
    </row>
    <row r="22" ht="20.25" customHeight="1" spans="1:2">
      <c r="A22" s="239" t="str">
        <f>IF(B2,TEXT(EDATE(B3,13),"dd mmmm yyyy"),TEXT(B3+((B5-B3)*13)+13,"dd mmmm yyyy"))&amp;" - "&amp;IF(B2,TEXT(EDATE(B3,14)-1,"dd mmmm yyyy"),TEXT(B3+(((B5-B3)*14)+13),"dd mmmm yyyy"))</f>
        <v>11 May 2026 - 10 June 2026</v>
      </c>
      <c r="B22" s="223"/>
    </row>
    <row r="23" ht="20.25" customHeight="1" spans="1:2">
      <c r="A23" s="238" t="str">
        <f>IF(B2,TEXT(EDATE(B3,14),"dd mmmm yyyy"),TEXT(B3+((B5-B3)*14)+14,"dd mmmm yyyy"))&amp;" - "&amp;IF(B2,TEXT(EDATE(B3,15)-1,"dd mmmm yyyy"),TEXT(B3+(((B5-B3)*15)+14),"dd mmmm yyyy"))</f>
        <v>11 June 2026 - 10 July 2026</v>
      </c>
      <c r="B23" s="221"/>
    </row>
    <row r="24" ht="20.25" customHeight="1" spans="1:2">
      <c r="A24" s="223" t="str">
        <f>IF(B2,TEXT(EDATE(B3,15),"dd mmmm yyyy"),TEXT(B3+((B5-B3)*15)+15,"dd mmmm yyyy"))&amp;" - "&amp;IF(B2,TEXT(EDATE(B3,16)-1,"dd mmmm yyyy"),TEXT(B3+(((B5-B3)*16)+15),"dd mmmm yyyy"))</f>
        <v>11 July 2026 - 10 August 2026</v>
      </c>
      <c r="B24" s="223" t="s">
        <v>14</v>
      </c>
    </row>
    <row r="25" ht="20.25" customHeight="1" spans="1:2">
      <c r="A25" s="223" t="str">
        <f>IF(B2,TEXT(EDATE(B3,16),"dd mmmm yyyy"),TEXT(B3+((B5-B3)*16)+16,"dd mmmm yyyy"))&amp;" - "&amp;IF(B2,TEXT(EDATE(B3,17)-1,"dd mmmm yyyy"),TEXT(B3+(((B5-B3)*17)+16),"dd mmmm yyyy"))</f>
        <v>11 August 2026 - 10 September 2026</v>
      </c>
      <c r="B25" s="223"/>
    </row>
    <row r="26" ht="20.25" customHeight="1" spans="1:2">
      <c r="A26" s="221" t="str">
        <f>IF(B2,TEXT(EDATE(B3,17),"dd mmmm yyyy"),TEXT(B3+((B5-B3)*17)+17,"dd mmmm yyyy"))&amp;" - "&amp;IF(B2,TEXT(EDATE(B3,18)-1,"dd mmmm yyyy"),TEXT(B3+(((B5-B3)*18)+17),"dd mmmm yyyy"))</f>
        <v>11 September 2026 - 10 October 2026</v>
      </c>
      <c r="B26" s="221"/>
    </row>
    <row r="27" ht="20.25" customHeight="1" spans="1:2">
      <c r="A27" s="223" t="str">
        <f>IF(B2,TEXT(EDATE(B3,18),"dd mmmm yyyy"),TEXT(B3+((B5-B3)*18)+18,"dd mmmm yyyy"))&amp;" - "&amp;IF(B2,TEXT(EDATE(B3,19)-1,"dd mmmm yyyy"),TEXT(B3+(((B5-B3)*19)+18),"dd mmmm yyyy"))</f>
        <v>11 October 2026 - 10 November 2026</v>
      </c>
      <c r="B27" s="223" t="s">
        <v>15</v>
      </c>
    </row>
    <row r="28" ht="20.25" customHeight="1" spans="1:2">
      <c r="A28" s="223" t="str">
        <f>IF(B2,TEXT(EDATE(B3,19),"dd mmmm yyyy"),TEXT(B3+((B5-B3)*19)+19,"dd mmmm yyyy"))&amp;" - "&amp;IF(B2,TEXT(EDATE(B3,20)-1,"dd mmmm yyyy"),TEXT(B3+(((B5-B3)*20)+19),"dd mmmm yyyy"))</f>
        <v>11 November 2026 - 10 December 2026</v>
      </c>
      <c r="B28" s="223"/>
    </row>
    <row r="29" ht="20.25" customHeight="1" spans="1:2">
      <c r="A29" s="221" t="str">
        <f>IF(B2,TEXT(EDATE(B3,20),"dd mmmm yyyy"),TEXT(B3+((B5-B3)*20)+20,"dd mmmm yyyy"))&amp;" - "&amp;IF(B2,TEXT(EDATE(B3,21)-1,"dd mmmm yyyy"),TEXT(B3+(((B5-B3)*21)+20),"dd mmmm yyyy"))</f>
        <v>11 December 2026 - 10 January 2027</v>
      </c>
      <c r="B29" s="221"/>
    </row>
    <row r="30" ht="20.25" customHeight="1" spans="1:2">
      <c r="A30" s="223" t="str">
        <f>IF(B2,TEXT(EDATE(B3,21),"dd mmmm yyyy"),TEXT(B3+((B5-B3)*21)+21,"dd mmmm yyyy"))&amp;" - "&amp;IF(B2,TEXT(EDATE(B3,22)-1,"dd mmmm yyyy"),TEXT(B3+(((B5-B3)*22)+21),"dd mmmm yyyy"))</f>
        <v>11 January 2027 - 10 February 2027</v>
      </c>
      <c r="B30" s="223" t="s">
        <v>16</v>
      </c>
    </row>
    <row r="31" ht="20.25" customHeight="1" spans="1:2">
      <c r="A31" s="223" t="str">
        <f>IF(B2,TEXT(EDATE(B3,22),"dd mmmm yyyy"),TEXT(B3+((B5-B3)*22)+22,"dd mmmm yyyy"))&amp;" - "&amp;IF(B2,TEXT(EDATE(B3,23)-1,"dd mmmm yyyy"),TEXT(B3+(((B5-B3)*23)+22),"dd mmmm yyyy"))</f>
        <v>11 February 2027 - 10 March 2027</v>
      </c>
      <c r="B31" s="223"/>
    </row>
    <row r="32" ht="20.25" customHeight="1" spans="1:2">
      <c r="A32" s="221" t="str">
        <f>IF(B2,TEXT(EDATE(B3,23),"dd mmmm yyyy"),TEXT(B3+((B5-B3)*23)+23,"dd mmmm yyyy"))&amp;" - "&amp;IF(B2,TEXT(EDATE(B3,24)-1,"dd mmmm yyyy"),TEXT(B3+(((B5-B3)*24)+23),"dd mmmm yyyy"))</f>
        <v>11 March 2027 - 10 April 2027</v>
      </c>
      <c r="B32" s="221"/>
    </row>
    <row r="33" ht="20.25" customHeight="1" spans="1:2">
      <c r="A33" s="223" t="str">
        <f>IF(B2,TEXT(EDATE(B3,24),"dd mmmm yyyy"),TEXT(B3+((B5-B3)*24)+24,"dd mmmm yyyy"))&amp;" - "&amp;IF(B2,TEXT(EDATE(B3,25)-1,"dd mmmm yyyy"),TEXT(B3+(((B5-B3)*25)+24),"dd mmmm yyyy"))</f>
        <v>11 April 2027 - 10 May 2027</v>
      </c>
      <c r="B33" s="223" t="s">
        <v>17</v>
      </c>
    </row>
    <row r="34" ht="20.25" customHeight="1" spans="1:2">
      <c r="A34" s="223" t="str">
        <f>IF(B2,TEXT(EDATE(B3,25),"dd mmmm yyyy"),TEXT(B3+((B5-B3)*25)+25,"dd mmmm yyyy"))&amp;" - "&amp;IF(B2,TEXT(EDATE(B3,26)-1,"dd mmmm yyyy"),TEXT(B3+(((B5-B3)*26)+25),"dd mmmm yyyy"))</f>
        <v>11 May 2027 - 10 June 2027</v>
      </c>
      <c r="B34" s="223"/>
    </row>
    <row r="35" ht="20.25" customHeight="1" spans="1:2">
      <c r="A35" s="221" t="str">
        <f>IF(B2,TEXT(EDATE(B3,26),"dd mmmm yyyy"),TEXT(B3+((B5-B3)*26)+26,"dd mmmm yyyy"))&amp;" - "&amp;IF(B2,TEXT(EDATE(B3,27)-1,"dd mmmm yyyy"),TEXT(B3+(((B5-B3)*27)+26),"dd mmmm yyyy"))</f>
        <v>11 June 2027 - 10 July 2027</v>
      </c>
      <c r="B35" s="221"/>
    </row>
    <row r="36" ht="20.25" customHeight="1" spans="1:2">
      <c r="A36" s="223" t="str">
        <f>IF(B2,TEXT(EDATE(B3,27),"dd mmmm yyyy"),TEXT(B3+((B5-B3)*27)+27,"dd mmmm yyyy"))&amp;" - "&amp;IF(B2,TEXT(EDATE(B3,28)-1,"dd mmmm yyyy"),TEXT(B3+(((B5-B3)*28)+27),"dd mmmm yyyy"))</f>
        <v>11 July 2027 - 10 August 2027</v>
      </c>
      <c r="B36" s="223" t="s">
        <v>18</v>
      </c>
    </row>
    <row r="37" ht="20.25" customHeight="1" spans="1:2">
      <c r="A37" s="223" t="str">
        <f>IF(B2,TEXT(EDATE(B3,28),"dd mmmm yyyy"),TEXT(B3+((B5-B3)*28)+28,"dd mmmm yyyy"))&amp;" - "&amp;IF(B2,TEXT(EDATE(B3,29)-1,"dd mmmm yyyy"),TEXT(B3+(((B5-B3)*29)+28),"dd mmmm yyyy"))</f>
        <v>11 August 2027 - 10 September 2027</v>
      </c>
      <c r="B37" s="223"/>
    </row>
    <row r="38" ht="20.25" customHeight="1" spans="1:2">
      <c r="A38" s="221" t="str">
        <f>IF(B2,TEXT(EDATE(B3,29),"dd mmmm yyyy"),TEXT(B3+((B5-B3)*29)+29,"dd mmmm yyyy"))&amp;" - "&amp;IF(B2,TEXT(EDATE(B3,30)-1,"dd mmmm yyyy"),TEXT(B3+(((B5-B3)*30)+29),"dd mmmm yyyy"))</f>
        <v>11 September 2027 - 10 October 2027</v>
      </c>
      <c r="B38" s="221"/>
    </row>
    <row r="39" ht="20.25" customHeight="1" spans="1:2">
      <c r="A39" s="223" t="str">
        <f>IF(B2,TEXT(EDATE(B3,30),"dd mmmm yyyy"),TEXT(B3+((B5-B3)*30)+30,"dd mmmm yyyy"))&amp;" - "&amp;IF(B2,TEXT(EDATE(B3,31)-1,"dd mmmm yyyy"),TEXT(B3+(((B5-B3)*31)+30),"dd mmmm yyyy"))</f>
        <v>11 October 2027 - 10 November 2027</v>
      </c>
      <c r="B39" s="223" t="s">
        <v>19</v>
      </c>
    </row>
    <row r="40" ht="20.25" customHeight="1" spans="1:2">
      <c r="A40" s="223" t="str">
        <f>IF(B2,TEXT(EDATE(B3,31),"dd mmmm yyyy"),TEXT(B3+((B5-B3)*31)+31,"dd mmmm yyyy"))&amp;" - "&amp;IF(B2,TEXT(EDATE(B3,32)-1,"dd mmmm yyyy"),TEXT(B3+(((B5-B3)*32)+31),"dd mmmm yyyy"))</f>
        <v>11 November 2027 - 10 December 2027</v>
      </c>
      <c r="B40" s="223"/>
    </row>
    <row r="41" ht="20.25" customHeight="1" spans="1:2">
      <c r="A41" s="221" t="str">
        <f>IF(B2,TEXT(EDATE(B3,32),"dd mmmm yyyy"),TEXT(B3+((B5-B3)*32)+32,"dd mmmm yyyy"))&amp;" - "&amp;IF(B2,TEXT(EDATE(B3,33)-1,"dd mmmm yyyy"),TEXT(B3+(((B5-B3)*33)+32),"dd mmmm yyyy"))</f>
        <v>11 December 2027 - 10 January 2028</v>
      </c>
      <c r="B41" s="221"/>
    </row>
    <row r="42" ht="20.25" customHeight="1" spans="1:2">
      <c r="A42" s="223" t="str">
        <f>IF(B2,TEXT(EDATE(B3,33),"dd mmmm yyyy"),TEXT(B3+((B5-B3)*33)+33,"dd mmmm yyyy"))&amp;" - "&amp;IF(B2,TEXT(EDATE(B3,34)-1,"dd mmmm yyyy"),TEXT(B3+(((B5-B3)*34)+33),"dd mmmm yyyy"))</f>
        <v>11 January 2028 - 10 February 2028</v>
      </c>
      <c r="B42" s="223" t="s">
        <v>20</v>
      </c>
    </row>
    <row r="43" ht="20.25" customHeight="1" spans="1:2">
      <c r="A43" s="223" t="str">
        <f>IF(B2,TEXT(EDATE(B3,34),"dd mmmm yyyy"),TEXT(B3+((B5-B3)*34)+34,"dd mmmm yyyy"))&amp;" - "&amp;IF(B2,TEXT(EDATE(B3,35)-1,"dd mmmm yyyy"),TEXT(B3+(((B5-B3)*35)+34),"dd mmmm yyyy"))</f>
        <v>11 February 2028 - 10 March 2028</v>
      </c>
      <c r="B43" s="223"/>
    </row>
    <row r="44" ht="20.25" customHeight="1" spans="1:2">
      <c r="A44" s="221" t="str">
        <f>IF(B2,TEXT(EDATE(B3,35),"dd mmmm yyyy"),TEXT(B3+((B5-B3)*35)+35,"dd mmmm yyyy"))&amp;" - "&amp;IF(B2,TEXT(EDATE(B3,36)-1,"dd mmmm yyyy"),TEXT(B3+(((B5-B3)*36)+35),"dd mmmm yyyy"))</f>
        <v>11 March 2028 - 10 April 2028</v>
      </c>
      <c r="B44" s="221"/>
    </row>
    <row r="45" ht="20.25" customHeight="1" spans="1:2">
      <c r="A45" s="223" t="str">
        <f>IF(B2,TEXT(EDATE(B3,36),"dd mmmm yyyy"),TEXT(B3+((B5-B3)*36)+36,"dd mmmm yyyy"))&amp;" - "&amp;IF(B2,TEXT(EDATE(B3,37)-1,"dd mmmm yyyy"),TEXT(B3+(((B5-B3)*37)+36),"dd mmmm yyyy"))</f>
        <v>11 April 2028 - 10 May 2028</v>
      </c>
      <c r="B45" s="223" t="s">
        <v>21</v>
      </c>
    </row>
    <row r="46" ht="20.25" customHeight="1" spans="1:2">
      <c r="A46" s="223" t="str">
        <f>IF(B2,TEXT(EDATE(B3,37),"dd mmmm yyyy"),TEXT(B3+((B5-B3)*37)+37,"dd mmmm yyyy"))&amp;" - "&amp;IF(B2,TEXT(EDATE(B3,38)-1,"dd mmmm yyyy"),TEXT(B3+(((B5-B3)*38)+37),"dd mmmm yyyy"))</f>
        <v>11 May 2028 - 10 June 2028</v>
      </c>
      <c r="B46" s="223"/>
    </row>
    <row r="47" ht="20.25" customHeight="1" spans="1:2">
      <c r="A47" s="221" t="str">
        <f>IF(B2,TEXT(EDATE(B3,38),"dd mmmm yyyy"),TEXT(B3+((B5-B3)*38)+38,"dd mmmm yyyy"))&amp;" - "&amp;IF(B2,TEXT(EDATE(B3,39)-1,"dd mmmm yyyy"),TEXT(B3+(((B5-B3)*39)+38),"dd mmmm yyyy"))</f>
        <v>11 June 2028 - 10 July 2028</v>
      </c>
      <c r="B47" s="221"/>
    </row>
    <row r="48" ht="20.25" customHeight="1" spans="1:2">
      <c r="A48" s="223" t="str">
        <f>IF(B2,TEXT(EDATE(B3,39),"dd mmmm yyyy"),TEXT(B3+((B5-B3)*39)+39,"dd mmmm yyyy"))&amp;" - "&amp;IF(B2,TEXT(EDATE(B3,40)-1,"dd mmmm yyyy"),TEXT(B3+(((B5-B3)*40)+39),"dd mmmm yyyy"))</f>
        <v>11 July 2028 - 10 August 2028</v>
      </c>
      <c r="B48" s="223" t="s">
        <v>22</v>
      </c>
    </row>
    <row r="49" ht="20.25" customHeight="1" spans="1:2">
      <c r="A49" s="223" t="str">
        <f>IF(B2,TEXT(EDATE(B3,40),"dd mmmm yyyy"),TEXT(B3+((B5-B3)*40)+40,"dd mmmm yyyy"))&amp;" - "&amp;IF(B2,TEXT(EDATE(B3,41)-1,"dd mmmm yyyy"),TEXT(B3+(((B5-B3)*41)+40),"dd mmmm yyyy"))</f>
        <v>11 August 2028 - 10 September 2028</v>
      </c>
      <c r="B49" s="223"/>
    </row>
    <row r="50" ht="20.25" customHeight="1" spans="1:2">
      <c r="A50" s="221" t="str">
        <f>IF(B2,TEXT(EDATE(B3,41),"dd mmmm yyyy"),TEXT(B3+((B5-B3)*41)+41,"dd mmmm yyyy"))&amp;" - "&amp;IF(B2,TEXT(EDATE(B3,42)-1,"dd mmmm yyyy"),TEXT(B3+(((B5-B3)*42)+41),"dd mmmm yyyy"))</f>
        <v>11 September 2028 - 10 October 2028</v>
      </c>
      <c r="B50" s="221"/>
    </row>
    <row r="51" ht="20.25" customHeight="1" spans="1:2">
      <c r="A51" s="223" t="str">
        <f>IF(B2,TEXT(EDATE(B3,42),"dd mmmm yyyy"),TEXT(B3+((B5-B3)*42)+42,"dd mmmm yyyy"))&amp;" - "&amp;IF(B2,TEXT(EDATE(B3,43)-1,"dd mmmm yyyy"),TEXT(B3+(((B5-B3)*43)+42),"dd mmmm yyyy"))</f>
        <v>11 October 2028 - 10 November 2028</v>
      </c>
      <c r="B51" s="223" t="s">
        <v>23</v>
      </c>
    </row>
    <row r="52" ht="20.25" customHeight="1" spans="1:2">
      <c r="A52" s="223" t="str">
        <f>IF(B2,TEXT(EDATE(B3,43),"dd mmmm yyyy"),TEXT(B3+((B5-B3)*43)+43,"dd mmmm yyyy"))&amp;" - "&amp;IF(B2,TEXT(EDATE(B3,44)-1,"dd mmmm yyyy"),TEXT(B3+(((B5-B3)*44)+43),"dd mmmm yyyy"))</f>
        <v>11 November 2028 - 10 December 2028</v>
      </c>
      <c r="B52" s="223"/>
    </row>
    <row r="53" ht="20.25" customHeight="1" spans="1:2">
      <c r="A53" s="221" t="str">
        <f>IF(B2,TEXT(EDATE(B3,44),"dd mmmm yyyy"),TEXT(B3+((B5-B3)*44)+44,"dd mmmm yyyy"))&amp;" - "&amp;IF(B2,TEXT(EDATE(B3,45)-1,"dd mmmm yyyy"),TEXT(B3+(((B5-B3)*45)+44),"dd mmmm yyyy"))</f>
        <v>11 December 2028 - 10 January 2029</v>
      </c>
      <c r="B53" s="221"/>
    </row>
    <row r="54" ht="20.25" customHeight="1" spans="1:2">
      <c r="A54" s="223" t="str">
        <f>IF(B2,TEXT(EDATE(B3,45),"dd mmmm yyyy"),TEXT(B3+((B5-B3)*45)+45,"dd mmmm yyyy"))&amp;" - "&amp;IF(B2,TEXT(EDATE(B3,46)-1,"dd mmmm yyyy"),TEXT(B3+(((B5-B3)*46)+45),"dd mmmm yyyy"))</f>
        <v>11 January 2029 - 10 February 2029</v>
      </c>
      <c r="B54" s="223" t="s">
        <v>24</v>
      </c>
    </row>
    <row r="55" ht="20.25" customHeight="1" spans="1:2">
      <c r="A55" s="223" t="str">
        <f>IF(B2,TEXT(EDATE(B3,46),"dd mmmm yyyy"),TEXT(B3+((B5-B3)*46)+46,"dd mmmm yyyy"))&amp;" - "&amp;IF(B2,TEXT(EDATE(B3,47)-1,"dd mmmm yyyy"),TEXT(B3+(((B5-B3)*47)+46),"dd mmmm yyyy"))</f>
        <v>11 February 2029 - 10 March 2029</v>
      </c>
      <c r="B55" s="223"/>
    </row>
    <row r="56" ht="20.25" customHeight="1" spans="1:2">
      <c r="A56" s="223" t="str">
        <f>IF(B2,TEXT(EDATE(B3,47),"dd mmmm yyyy"),TEXT(B3+((B5-B3)*47)+47,"dd mmmm yyyy"))&amp;" - "&amp;IF(B2,TEXT(EDATE(B3,48)-1,"dd mmmm yyyy"),TEXT(B3+(((B5-B3)*48)+47),"dd mmmm yyyy"))</f>
        <v>11 March 2029 - 10 April 2029</v>
      </c>
      <c r="B56" s="223"/>
    </row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s="219" customFormat="1" ht="20.25" customHeight="1"/>
    <row r="66" s="219" customFormat="1" ht="20.25" customHeight="1"/>
    <row r="67" s="219" customFormat="1" ht="20.25" customHeight="1"/>
    <row r="68" s="219" customFormat="1" ht="20.25" customHeight="1"/>
    <row r="69" s="219" customFormat="1" ht="20.25" customHeight="1"/>
    <row r="70" s="219" customFormat="1" ht="20.25" customHeight="1"/>
    <row r="71" s="219" customFormat="1" ht="20.25" customHeight="1"/>
    <row r="72" s="219" customFormat="1" ht="20.25" customHeight="1"/>
    <row r="73" s="219" customFormat="1" ht="20.25" customHeight="1"/>
    <row r="74" s="219" customFormat="1" ht="20.25" customHeight="1"/>
    <row r="75" s="219" customFormat="1" ht="20.25" customHeight="1"/>
    <row r="76" s="219" customFormat="1" ht="20.25" customHeight="1"/>
    <row r="77" s="219" customFormat="1" ht="20.25" customHeight="1"/>
    <row r="78" s="219" customFormat="1" ht="20.25" customHeight="1"/>
    <row r="79" s="219" customFormat="1" ht="20.25" customHeight="1"/>
    <row r="80" s="219" customFormat="1" ht="20.25" customHeight="1"/>
    <row r="81" s="219" customFormat="1" ht="20.25" customHeight="1"/>
    <row r="82" s="219" customFormat="1" ht="20.25" customHeight="1"/>
    <row r="83" s="219" customFormat="1" ht="20.25" customHeight="1"/>
    <row r="84" s="219" customFormat="1" ht="20.25" customHeight="1"/>
    <row r="85" s="219" customFormat="1" ht="20.25" customHeight="1"/>
    <row r="86" s="219" customFormat="1" ht="20.25" customHeight="1"/>
    <row r="87" s="219" customFormat="1" ht="20.25" customHeight="1"/>
    <row r="88" s="219" customFormat="1" ht="20.25" customHeight="1"/>
    <row r="89" s="219" customFormat="1" ht="20.25" customHeight="1"/>
    <row r="90" s="219" customFormat="1" ht="20.25" customHeight="1"/>
    <row r="91" s="219" customFormat="1" ht="20.25" customHeight="1"/>
    <row r="92" s="219" customFormat="1" ht="20.25" customHeight="1"/>
    <row r="93" s="219" customFormat="1" ht="20.25" customHeight="1"/>
    <row r="94" s="219" customFormat="1" ht="20.25" customHeight="1"/>
    <row r="95" s="219" customFormat="1" ht="20.25" customHeight="1"/>
    <row r="96" s="219" customFormat="1" ht="20.25" customHeight="1"/>
    <row r="97" s="219" customFormat="1" ht="20.25" customHeight="1"/>
    <row r="98" s="219" customFormat="1" ht="20.25" customHeight="1"/>
    <row r="99" s="219" customFormat="1" ht="20.25" customHeight="1"/>
    <row r="100" s="219" customFormat="1" ht="20.25" customHeight="1"/>
    <row r="101" s="219" customFormat="1" ht="20.25" customHeight="1"/>
    <row r="102" s="219" customFormat="1" ht="20.25" customHeight="1"/>
    <row r="103" s="219" customFormat="1" ht="20.25" customHeight="1"/>
    <row r="104" s="219" customFormat="1" ht="20.25" customHeight="1"/>
    <row r="105" s="219" customFormat="1" ht="20.25" customHeight="1"/>
    <row r="106" s="219" customFormat="1" ht="20.25" customHeight="1"/>
    <row r="107" s="219" customFormat="1" ht="20.25" customHeight="1"/>
    <row r="108" s="219" customFormat="1" ht="20.25" customHeight="1"/>
    <row r="109" s="219" customFormat="1" ht="20.25" customHeight="1"/>
    <row r="110" s="219" customFormat="1" ht="20.25" customHeight="1"/>
    <row r="111" s="219" customFormat="1" ht="20.25" customHeight="1"/>
    <row r="112" s="219" customFormat="1" ht="20.25" customHeight="1"/>
    <row r="113" s="219" customFormat="1" ht="20.25" customHeight="1"/>
    <row r="114" s="219" customFormat="1" ht="20.25" customHeight="1"/>
    <row r="115" s="219" customFormat="1" ht="20.25" customHeight="1"/>
    <row r="116" s="219" customFormat="1" ht="20.25" customHeight="1"/>
    <row r="117" s="219" customFormat="1" ht="20.25" customHeight="1"/>
    <row r="118" s="219" customFormat="1" ht="20.25" customHeight="1"/>
    <row r="119" s="219" customFormat="1" ht="20.25" customHeight="1"/>
    <row r="120" s="219" customFormat="1" ht="20.25" customHeight="1"/>
    <row r="121" s="219" customFormat="1" ht="20.25" customHeight="1"/>
    <row r="122" s="219" customFormat="1" ht="20.25" customHeight="1"/>
    <row r="123" s="219" customFormat="1" ht="20.25" customHeight="1"/>
    <row r="124" s="219" customFormat="1" ht="20.25" customHeight="1"/>
    <row r="125" s="219" customFormat="1" ht="20.25" customHeight="1"/>
    <row r="126" s="219" customFormat="1" ht="20.25" customHeight="1"/>
    <row r="127" s="219" customFormat="1" ht="20.25" customHeight="1"/>
    <row r="129" s="219" customFormat="1" ht="20.25" customHeight="1"/>
    <row r="130" s="219" customFormat="1" ht="20.25" customHeight="1"/>
    <row r="131" s="219" customFormat="1" ht="20.25" customHeight="1"/>
    <row r="132" s="219" customFormat="1" ht="20.25" customHeight="1"/>
    <row r="133" s="219" customFormat="1" ht="20.25" customHeight="1"/>
    <row r="134" s="219" customFormat="1" ht="20.25" customHeight="1"/>
  </sheetData>
  <sheetProtection sheet="1" formatCells="0" objects="1"/>
  <protectedRanges>
    <protectedRange sqref="B1:B6" name="Settings"/>
    <protectedRange sqref="B9:B56" name="NameOfWorkSheet"/>
  </protectedRanges>
  <mergeCells count="19">
    <mergeCell ref="A8:B8"/>
    <mergeCell ref="A5:A6"/>
    <mergeCell ref="B5:B6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4"/>
  <sheetViews>
    <sheetView workbookViewId="0">
      <selection activeCell="C17" sqref="C17"/>
    </sheetView>
  </sheetViews>
  <sheetFormatPr defaultColWidth="9" defaultRowHeight="17.6"/>
  <cols>
    <col min="1" max="1" width="18.875" style="177" customWidth="1"/>
    <col min="2" max="2" width="25.625" style="177" customWidth="1"/>
    <col min="3" max="4" width="20.625" style="177" customWidth="1"/>
    <col min="5" max="5" width="25.625" style="177" customWidth="1"/>
    <col min="6" max="6" width="20.625" style="177" customWidth="1"/>
    <col min="7" max="7" width="9" style="177"/>
    <col min="8" max="8" width="23" style="177" customWidth="1"/>
    <col min="9" max="9" width="40.75" style="51" customWidth="1"/>
    <col min="10" max="10" width="28.625" style="177" customWidth="1"/>
    <col min="11" max="12" width="9" style="177"/>
    <col min="13" max="13" width="36.625" style="177" customWidth="1"/>
    <col min="14" max="14" width="21.125" style="177" customWidth="1"/>
    <col min="15" max="16384" width="9" style="177"/>
  </cols>
  <sheetData>
    <row r="1" ht="36.75" customHeight="1" spans="1:14">
      <c r="A1" s="178" t="str">
        <f>"Forecasts For the Year "&amp;TEXT(Main!B3,"mmmm yyyy")&amp;" to "&amp;IF(Main!B2,TEXT(EDATE(Main!B3,3)-1,"mmmm yyyy"),TEXT(Main!B3+((Main!B5-Main!B3)*3+2),"mmmm yyyy"))</f>
        <v>Forecasts For the Year April 2025 to July 2025</v>
      </c>
      <c r="B1" s="178"/>
      <c r="C1" s="178"/>
      <c r="D1" s="178"/>
      <c r="E1" s="178"/>
      <c r="F1" s="178"/>
      <c r="I1" s="201" t="s">
        <v>25</v>
      </c>
      <c r="J1" s="201"/>
      <c r="M1" s="201" t="s">
        <v>26</v>
      </c>
      <c r="N1" s="201"/>
    </row>
    <row r="2" ht="36" customHeight="1" spans="1:14">
      <c r="A2" s="179" t="s">
        <v>27</v>
      </c>
      <c r="B2" s="180"/>
      <c r="C2" s="180"/>
      <c r="D2" s="181" t="s">
        <v>28</v>
      </c>
      <c r="E2" s="181"/>
      <c r="F2" s="181"/>
      <c r="I2" s="202" t="s">
        <v>29</v>
      </c>
      <c r="J2" s="203" t="s">
        <v>30</v>
      </c>
      <c r="M2" s="212" t="s">
        <v>31</v>
      </c>
      <c r="N2" s="203" t="s">
        <v>32</v>
      </c>
    </row>
    <row r="3" ht="35.25" customHeight="1" spans="1:14">
      <c r="A3" s="182" t="s">
        <v>33</v>
      </c>
      <c r="B3" s="183" t="s">
        <v>34</v>
      </c>
      <c r="C3" s="184">
        <v>0</v>
      </c>
      <c r="D3" s="183" t="s">
        <v>33</v>
      </c>
      <c r="E3" s="183" t="s">
        <v>34</v>
      </c>
      <c r="F3" s="184">
        <v>0</v>
      </c>
      <c r="I3" s="204" t="str">
        <f>TEXT(Main!B3,"dd mmmm yyyy")&amp;" - "&amp;IF(Main!B2,TEXT(EDATE(Main!B3,1)-1,"dd mmmm yyyy"),TEXT(Main!B3+(Main!B5-Main!B3)*1,"dd mmmm yyyy"))</f>
        <v>11 April 2025 - 10 May 2025</v>
      </c>
      <c r="J3" s="205">
        <f>E149</f>
        <v>0</v>
      </c>
      <c r="M3" s="210" t="str">
        <f>TEXT(Main!B3,"dd mmmm yyyy")&amp;" - "&amp;IF(Main!B2,TEXT(EDATE(Main!B3,3)-1,"dd mmmm yyyy"),TEXT(Main!B3+((Main!B5-Main!B3)*3+2),"dd mmmm yyyy"))</f>
        <v>11 April 2025 - 10 July 2025</v>
      </c>
      <c r="N3" s="205">
        <f>-D17</f>
        <v>0</v>
      </c>
    </row>
    <row r="4" ht="35.25" customHeight="1" spans="1:14">
      <c r="A4" s="182"/>
      <c r="B4" s="183" t="s">
        <v>35</v>
      </c>
      <c r="C4" s="184">
        <v>0</v>
      </c>
      <c r="D4" s="183"/>
      <c r="E4" s="183" t="s">
        <v>35</v>
      </c>
      <c r="F4" s="184">
        <v>0</v>
      </c>
      <c r="I4" s="206" t="str">
        <f>IF(Main!B2,TEXT(EDATE(Main!B3,1),"dd mmmm yyyy"),TEXT(Main!B3+(Main!B5-Main!B3)+1,"dd mmmm yyyy"))&amp;" - "&amp;IF(Main!B2,TEXT(EDATE(Main!B3,2)-1,"dd mmmm yyyy"),TEXT(Main!B3+(Main!B5-Main!B3)*2+1,"dd mmmm yyyy"))</f>
        <v>11 May 2025 - 10 June 2025</v>
      </c>
      <c r="J4" s="205">
        <f>E176</f>
        <v>0</v>
      </c>
      <c r="M4" s="210" t="str">
        <f>IF(Main!B2,TEXT(EDATE(Main!B3,3),"dd mmmm yyyy"),TEXT(Main!B3+((Main!B5-Main!B3)*3+3),"dd mmmm yyyy"))&amp;" - "&amp;IF(Main!B2,TEXT(EDATE(Main!B3,6)-1,"dd mmmm yyyy"),TEXT(Main!B3+((Main!B5-Main!B3)*6+5),"dd mmmm yyyy"))</f>
        <v>11 July 2025 - 10 October 2025</v>
      </c>
      <c r="N4" s="205" cm="1">
        <f ca="1" t="array" ref="N4">(INDIRECT("'"&amp;INDIRECT("Main!B12")&amp;"'!C5"))</f>
        <v>0</v>
      </c>
    </row>
    <row r="5" ht="35.25" customHeight="1" spans="1:14">
      <c r="A5" s="182"/>
      <c r="B5" s="183" t="s">
        <v>36</v>
      </c>
      <c r="C5" s="184">
        <v>0</v>
      </c>
      <c r="D5" s="183"/>
      <c r="E5" s="183" t="s">
        <v>36</v>
      </c>
      <c r="F5" s="184">
        <v>0</v>
      </c>
      <c r="I5" s="206" t="str">
        <f>IF(Main!B2,TEXT(EDATE(Main!B3,2),"dd mmmm yyyy"),TEXT(Main!B3+((Main!B5-Main!B3)*2)+2,"dd mmmm yyyy"))&amp;" - "&amp;IF(Main!B2,TEXT(EDATE(Main!B3,3)-1,"dd mmmm yyyy"),TEXT(Main!B3+((Main!B5-Main!B3)*3+2),"dd mmmm yyyy"))</f>
        <v>11 June 2025 - 10 July 2025</v>
      </c>
      <c r="J5" s="205">
        <f>E203</f>
        <v>0</v>
      </c>
      <c r="M5" s="210" t="str">
        <f>IF(Main!B2,TEXT(EDATE(Main!B3,6),"dd mmmm yyyy"),TEXT(Main!B3+((Main!B5-Main!B3)*6+6),"dd mmmm yyyy"))&amp;" - "&amp;IF(Main!B2,TEXT(EDATE(Main!B3,9)-1,"dd mmmm yyyy"),TEXT(Main!B3+((Main!B5-Main!B3)*9+8),"dd mmmm yyyy"))</f>
        <v>11 October 2025 - 10 January 2026</v>
      </c>
      <c r="N5" s="205" cm="1">
        <f ca="1" t="array" ref="N5">(INDIRECT("'"&amp;INDIRECT("Main!B15")&amp;"'!C5"))</f>
        <v>0</v>
      </c>
    </row>
    <row r="6" ht="35.25" customHeight="1" spans="1:14">
      <c r="A6" s="182"/>
      <c r="B6" s="183" t="s">
        <v>37</v>
      </c>
      <c r="C6" s="184">
        <v>0</v>
      </c>
      <c r="D6" s="183"/>
      <c r="E6" s="183" t="s">
        <v>37</v>
      </c>
      <c r="F6" s="184">
        <v>0</v>
      </c>
      <c r="I6" s="207" t="str">
        <f>IF(Main!B2,TEXT(EDATE(Main!B3,3),"dd mmmm yyyy"),TEXT(Main!B3+((Main!B5-Main!B3)*3)+3,"dd mmmm yyyy"))&amp;" - "&amp;IF(Main!B2,TEXT(EDATE(Main!B3,4)-1,"dd mmmm yyyy"),TEXT(Main!B3+((Main!B5-Main!B3)*4+3),"dd mmmm yyyy"))</f>
        <v>11 July 2025 - 10 August 2025</v>
      </c>
      <c r="J6" s="205" cm="1">
        <f ca="1" t="array" ref="J6">(INDIRECT("'"&amp;INDIRECT("Main!B12")&amp;"'!E136"))</f>
        <v>0</v>
      </c>
      <c r="M6" s="210" t="str">
        <f>IF(Main!B2,TEXT(EDATE(Main!B3,9),"dd mmmm yyyy"),TEXT(Main!B3+((Main!B5-Main!B3)*9+9),"dd mmmm yyyy"))&amp;" - "&amp;IF(Main!B2,TEXT(EDATE(Main!B3,12)-1,"dd mmmm yyyy"),TEXT(Main!B3+((Main!B5-Main!B3)*12+11),"dd mmmm yyyy"))</f>
        <v>11 January 2026 - 10 April 2026</v>
      </c>
      <c r="N6" s="205" cm="1">
        <f ca="1" t="array" ref="N6">(INDIRECT("'"&amp;INDIRECT("Main!B18")&amp;"'!C5"))</f>
        <v>0</v>
      </c>
    </row>
    <row r="7" ht="35.25" customHeight="1" spans="1:14">
      <c r="A7" s="182"/>
      <c r="B7" s="183" t="s">
        <v>38</v>
      </c>
      <c r="C7" s="185">
        <v>0</v>
      </c>
      <c r="D7" s="183"/>
      <c r="E7" s="183" t="s">
        <v>38</v>
      </c>
      <c r="F7" s="184">
        <v>0</v>
      </c>
      <c r="I7" s="207" t="str">
        <f>IF(Main!B2,TEXT(EDATE(Main!B3,4),"dd mmmm yyyy"),TEXT(Main!B3+((Main!B5-Main!B3)*4)+4,"dd mmmm yyyy"))&amp;" - "&amp;IF(Main!B2,TEXT(EDATE(Main!B3,5)-1,"dd mmmm yyyy"),TEXT(Main!B3+((Main!B5-Main!B3)*5+4),"dd mmmm yyyy"))</f>
        <v>11 August 2025 - 10 September 2025</v>
      </c>
      <c r="J7" s="205" cm="1">
        <f ca="1" t="array" ref="J7">(INDIRECT("'"&amp;INDIRECT("Main!B12")&amp;"'!E163"))</f>
        <v>0</v>
      </c>
      <c r="M7" s="210" t="str">
        <f>IF(Main!B2,TEXT(EDATE(Main!B3,12),"dd mmmm yyyy"),TEXT(Main!B3+((Main!B5-Main!B3)*12+12),"dd mmmm yyyy"))&amp;" - "&amp;IF(Main!B2,TEXT(EDATE(Main!B3,15)-1,"dd mmmm yyyy"),TEXT(Main!B3+((Main!B5-Main!B3)*15+14),"dd mmmm yyyy"))</f>
        <v>11 April 2026 - 10 July 2026</v>
      </c>
      <c r="N7" s="205" cm="1">
        <f ca="1" t="array" ref="N7">(INDIRECT("'"&amp;INDIRECT("Main!B21")&amp;"'!C5"))</f>
        <v>0</v>
      </c>
    </row>
    <row r="8" ht="45" customHeight="1" spans="1:14">
      <c r="A8" s="182"/>
      <c r="B8" s="183" t="s">
        <v>39</v>
      </c>
      <c r="C8" s="184">
        <v>0</v>
      </c>
      <c r="D8" s="183"/>
      <c r="E8" s="183" t="s">
        <v>39</v>
      </c>
      <c r="F8" s="184">
        <v>0</v>
      </c>
      <c r="H8" s="200"/>
      <c r="I8" s="206" t="str">
        <f>IF(Main!B2,TEXT(EDATE(Main!B3,5),"dd mmmm yyyy"),TEXT(Main!B3+((Main!B5-Main!B3)*5)+5,"dd mmmm yyyy"))&amp;" - "&amp;IF(Main!B2,TEXT(EDATE(Main!B3,6)-1,"dd mmmm yyyy"),TEXT(Main!B3+((Main!B5-Main!B3)*6+5),"dd mmmm yyyy"))</f>
        <v>11 September 2025 - 10 October 2025</v>
      </c>
      <c r="J8" s="205" cm="1">
        <f ca="1" t="array" ref="J8">(INDIRECT("'"&amp;INDIRECT("Main!B12")&amp;"'!E190"))</f>
        <v>0</v>
      </c>
      <c r="M8" s="213" t="str">
        <f>IF(Main!B2,TEXT(EDATE(Main!B3,15),"dd mmmm yyyy"),TEXT(Main!B3+((Main!B5-Main!B3)*15+15),"dd mmmm yyyy"))&amp;" - "&amp;IF(Main!B2,TEXT(EDATE(Main!B3,18)-1,"dd mmmm yyyy"),TEXT(Main!B3+((Main!B5-Main!B3)*18+17),"dd mmmm yyyy"))</f>
        <v>11 July 2026 - 10 October 2026</v>
      </c>
      <c r="N8" s="205" cm="1">
        <f ca="1" t="array" ref="N8">(INDIRECT("'"&amp;INDIRECT("Main!B24")&amp;"'!C5"))</f>
        <v>0</v>
      </c>
    </row>
    <row r="9" ht="39.75" customHeight="1" spans="1:14">
      <c r="A9" s="182"/>
      <c r="B9" s="183" t="s">
        <v>40</v>
      </c>
      <c r="C9" s="184">
        <v>0</v>
      </c>
      <c r="D9" s="183"/>
      <c r="E9" s="183" t="s">
        <v>40</v>
      </c>
      <c r="F9" s="185">
        <v>0</v>
      </c>
      <c r="I9" s="206" t="str">
        <f>IF(Main!B2,TEXT(EDATE(Main!B3,6),"dd mmmm yyyy"),TEXT(Main!B3+((Main!B5-Main!B3)*6)+6,"dd mmmm yyyy"))&amp;" - "&amp;IF(Main!B2,TEXT(EDATE(Main!B3,7)-1,"dd mmmm yyyy"),TEXT(Main!B3+((Main!B5-Main!B3)*7+6),"dd mmmm yyyy"))</f>
        <v>11 October 2025 - 10 November 2025</v>
      </c>
      <c r="J9" s="205" cm="1">
        <f ca="1" t="array" ref="J9">(INDIRECT("'"&amp;INDIRECT("Main!B15")&amp;"'!E136"))</f>
        <v>0</v>
      </c>
      <c r="M9" s="210" t="str">
        <f>IF(Main!B2,TEXT(EDATE(Main!B3,18),"dd mmmm yyyy"),TEXT(Main!B3+((Main!B5-Main!B3)*18+18),"dd mmmm yyyy"))&amp;" - "&amp;IF(Main!B2,TEXT(EDATE(Main!B3,21)-1,"dd mmmm yyyy"),TEXT(Main!B3+((Main!B5-Main!B3)*21+20),"dd mmmm yyyy"))</f>
        <v>11 October 2026 - 10 January 2027</v>
      </c>
      <c r="N9" s="205" cm="1">
        <f ca="1" t="array" ref="N9">(INDIRECT("'"&amp;INDIRECT("Main!B27")&amp;"'!C5"))</f>
        <v>0</v>
      </c>
    </row>
    <row r="10" ht="35.25" customHeight="1" spans="1:14">
      <c r="A10" s="182"/>
      <c r="B10" s="183" t="s">
        <v>41</v>
      </c>
      <c r="C10" s="184">
        <v>0</v>
      </c>
      <c r="D10" s="183"/>
      <c r="E10" s="183" t="s">
        <v>41</v>
      </c>
      <c r="F10" s="184">
        <v>0</v>
      </c>
      <c r="I10" s="206" t="str">
        <f>IF(Main!B2,TEXT(EDATE(Main!B3,7),"dd mmmm yyyy"),TEXT(Main!B3+((Main!B5-Main!B3)*7)+7,"dd mmmm yyyy"))&amp;" - "&amp;IF(Main!B2,TEXT(EDATE(Main!B3,8)-1,"dd mmmm yyyy"),TEXT(Main!B3+((Main!B5-Main!B3)*8+7),"dd mmmm yyyy"))</f>
        <v>11 November 2025 - 10 December 2025</v>
      </c>
      <c r="J10" s="205" cm="1">
        <f ca="1" t="array" ref="J10">(INDIRECT("'"&amp;INDIRECT("Main!B15")&amp;"'!E163"))</f>
        <v>0</v>
      </c>
      <c r="M10" s="214" t="str">
        <f>IF(Main!B2,TEXT(EDATE(Main!B3,21),"dd mmmm yyyy"),TEXT(Main!B3+((Main!B5-Main!B3)*21+21),"dd mmmm yyyy"))&amp;" - "&amp;IF(Main!B2,TEXT(EDATE(Main!B3,24)-1,"dd mmmm yyyy"),TEXT(Main!B3+((Main!B5-Main!B3)*24+23),"dd mmmm yyyy"))</f>
        <v>11 January 2027 - 10 April 2027</v>
      </c>
      <c r="N10" s="205" cm="1">
        <f ca="1" t="array" ref="N10">(INDIRECT("'"&amp;INDIRECT("Main!B30")&amp;"'!C5"))</f>
        <v>0</v>
      </c>
    </row>
    <row r="11" ht="35.25" customHeight="1" spans="1:14">
      <c r="A11" s="182"/>
      <c r="B11" s="183"/>
      <c r="C11" s="184">
        <v>0</v>
      </c>
      <c r="D11" s="183"/>
      <c r="E11" s="183"/>
      <c r="F11" s="184">
        <v>0</v>
      </c>
      <c r="H11" s="200"/>
      <c r="I11" s="206" t="str">
        <f>IF(Main!B2,TEXT(EDATE(Main!B3,8),"dd mmmm yyyy"),TEXT(Main!B3+((Main!B5-Main!B3)*8)+8,"dd mmmm yyyy"))&amp;" - "&amp;IF(Main!B2,TEXT(EDATE(Main!B3,9)-1,"dd mmmm yyyy"),TEXT(Main!B3+((Main!B5-Main!B3)*9+8),"dd mmmm yyyy"))</f>
        <v>11 December 2025 - 10 January 2026</v>
      </c>
      <c r="J11" s="205" cm="1">
        <f ca="1" t="array" ref="J11">(INDIRECT("'"&amp;INDIRECT("Main!B15")&amp;"'!E190"))</f>
        <v>0</v>
      </c>
      <c r="M11" s="210" t="str">
        <f>IF(Main!B2,TEXT(EDATE(Main!B3,24),"dd mmmm yyyy"),TEXT(Main!B3+((Main!B5-Main!B3)*24+24),"dd mmmm yyyy"))&amp;" - "&amp;IF(Main!B2,TEXT(EDATE(Main!B3,27)-1,"dd mmmm yyyy"),TEXT(Main!B3+((Main!B5-Main!B3)*27+26),"dd mmmm yyyy"))</f>
        <v>11 April 2027 - 10 July 2027</v>
      </c>
      <c r="N11" s="205" cm="1">
        <f ca="1" t="array" ref="N11">(INDIRECT("'"&amp;INDIRECT("Main!B33")&amp;"'!C5"))</f>
        <v>0</v>
      </c>
    </row>
    <row r="12" ht="35.25" customHeight="1" spans="1:14">
      <c r="A12" s="182"/>
      <c r="B12" s="183"/>
      <c r="C12" s="184">
        <v>0</v>
      </c>
      <c r="D12" s="183"/>
      <c r="E12" s="183"/>
      <c r="F12" s="184">
        <v>0</v>
      </c>
      <c r="I12" s="206" t="str">
        <f>IF(Main!B2,TEXT(EDATE(Main!B3,9),"dd mmmm yyyy"),TEXT(Main!B3+((Main!B5-Main!B3)*9)+9,"dd mmmm yyyy"))&amp;" - "&amp;IF(Main!B2,TEXT(EDATE(Main!B3,10)-1,"dd mmmm yyyy"),TEXT(Main!B3+((Main!B5-Main!B3)*10+9),"dd mmmm yyyy"))</f>
        <v>11 January 2026 - 10 February 2026</v>
      </c>
      <c r="J12" s="205" cm="1">
        <f ca="1" t="array" ref="J12">(INDIRECT("'"&amp;INDIRECT("Main!B18")&amp;"'!E136"))</f>
        <v>0</v>
      </c>
      <c r="M12" s="206" t="str">
        <f>IF(Main!B2,TEXT(EDATE(Main!B3,27),"dd mmmm yyyy"),TEXT(Main!B3+((Main!B5-Main!B3)*27+27),"dd mmmm yyyy"))&amp;" - "&amp;IF(Main!B2,TEXT(EDATE(Main!B3,30)-1,"dd mmmm yyyy"),TEXT(Main!B3+((Main!B5-Main!B3)*30+29),"dd mmmm yyyy"))</f>
        <v>11 July 2027 - 10 October 2027</v>
      </c>
      <c r="N12" s="205" cm="1">
        <f ca="1" t="array" ref="N12">(INDIRECT("'"&amp;INDIRECT("Main!B36")&amp;"'!C5"))</f>
        <v>0</v>
      </c>
    </row>
    <row r="13" ht="35.25" customHeight="1" spans="1:14">
      <c r="A13" s="182"/>
      <c r="B13" s="183"/>
      <c r="C13" s="184">
        <v>0</v>
      </c>
      <c r="D13" s="183"/>
      <c r="E13" s="183"/>
      <c r="F13" s="184">
        <v>0</v>
      </c>
      <c r="I13" s="208" t="str">
        <f>IF(Main!B2,TEXT(EDATE(Main!B3,10),"dd mmmm yyyy"),TEXT(Main!B3+((Main!B5-Main!B3)*10)+10,"dd mmmm yyyy"))&amp;" - "&amp;IF(Main!B2,TEXT(EDATE(Main!B3,11)-1,"dd mmmm yyyy"),TEXT(Main!B3+((Main!B5-Main!B3)*11+10),"dd mmmm yyyy"))</f>
        <v>11 February 2026 - 10 March 2026</v>
      </c>
      <c r="J13" s="205" cm="1">
        <f ca="1" t="array" ref="J13">(INDIRECT("'"&amp;INDIRECT("Main!B18")&amp;"'!E163"))</f>
        <v>0</v>
      </c>
      <c r="M13" s="206" t="str">
        <f>IF(Main!B2,TEXT(EDATE(Main!B3,30),"dd mmmm yyyy"),TEXT(Main!B3+((Main!B5-Main!B3)*30+30),"dd mmmm yyyy"))&amp;" - "&amp;IF(Main!B2,TEXT(EDATE(Main!B3,33)-1,"dd mmmm yyyy"),TEXT(Main!B3+((Main!B5-Main!B3)*33+32),"dd mmmm yyyy"))</f>
        <v>11 October 2027 - 10 January 2028</v>
      </c>
      <c r="N13" s="205" cm="1">
        <f ca="1" t="array" ref="N13">(INDIRECT("'"&amp;INDIRECT("Main!B39")&amp;"'!C5"))</f>
        <v>0</v>
      </c>
    </row>
    <row r="14" ht="35.25" customHeight="1" spans="1:14">
      <c r="A14" s="182"/>
      <c r="B14" s="183"/>
      <c r="C14" s="184">
        <v>0</v>
      </c>
      <c r="D14" s="183"/>
      <c r="E14" s="183"/>
      <c r="F14" s="184">
        <v>0</v>
      </c>
      <c r="I14" s="208" t="str">
        <f>IF(Main!B2,TEXT(EDATE(Main!B3,11),"dd mmmm yyyy"),TEXT(Main!B3+((Main!B5-Main!B3)*11)+11,"dd mmmm yyyy"))&amp;" - "&amp;IF(Main!B2,TEXT(EDATE(Main!B3,12)-1,"dd mmmm yyyy"),TEXT(Main!B3+((Main!B5-Main!B3)*12+11),"dd mmmm yyyy"))</f>
        <v>11 March 2026 - 10 April 2026</v>
      </c>
      <c r="J14" s="209" cm="1">
        <f ca="1" t="array" ref="J14">(INDIRECT("'"&amp;INDIRECT("Main!B18")&amp;"'!E190"))</f>
        <v>0</v>
      </c>
      <c r="M14" s="206" t="str">
        <f>IF(Main!B2,TEXT(EDATE(Main!B3,33),"dd mmmm yyyy"),TEXT(Main!B3+((Main!B5-Main!B3)*33+33),"dd mmmm yyyy"))&amp;" - "&amp;IF(Main!B2,TEXT(EDATE(Main!B3,36)-1,"dd mmmm yyyy"),TEXT(Main!B3+((Main!B5-Main!B3)*36+35),"dd mmmm yyyy"))</f>
        <v>11 January 2028 - 10 April 2028</v>
      </c>
      <c r="N14" s="205" cm="1">
        <f ca="1" t="array" ref="N14">(INDIRECT("'"&amp;INDIRECT("Main!B42")&amp;"'!C5"))</f>
        <v>0</v>
      </c>
    </row>
    <row r="15" ht="35.25" customHeight="1" spans="1:14">
      <c r="A15" s="182"/>
      <c r="B15" s="183"/>
      <c r="C15" s="184">
        <v>0</v>
      </c>
      <c r="D15" s="183"/>
      <c r="E15" s="183"/>
      <c r="F15" s="184">
        <v>0</v>
      </c>
      <c r="I15" s="210" t="str">
        <f>IF(Main!B2,TEXT(EDATE(Main!B3,12),"dd mmmm yyyy"),TEXT(Main!B3+((Main!B5-Main!B3)*12)+12,"dd mmmm yyyy"))&amp;" - "&amp;IF(Main!B2,TEXT(EDATE(Main!B3,13)-1,"dd mmmm yyyy"),TEXT(Main!B3+((Main!B5-Main!B3)*13+12),"dd mmmm yyyy"))</f>
        <v>11 April 2026 - 10 May 2026</v>
      </c>
      <c r="J15" s="209" cm="1">
        <f ca="1" t="array" ref="J15">(INDIRECT("'"&amp;INDIRECT("Main!B21")&amp;"'!E136"))</f>
        <v>0</v>
      </c>
      <c r="M15" s="206" t="str">
        <f>IF(Main!B2,TEXT(EDATE(Main!B3,36),"dd mmmm yyyy"),TEXT(Main!B3+((Main!B5-Main!B3)*36+36),"dd mmmm yyyy"))&amp;" - "&amp;IF(Main!B2,TEXT(EDATE(Main!B3,39)-1,"dd mmmm yyyy"),TEXT(Main!B3+((Main!B5-Main!B3)*39+38),"dd mmmm yyyy"))</f>
        <v>11 April 2028 - 10 July 2028</v>
      </c>
      <c r="N15" s="205" cm="1">
        <f ca="1" t="array" ref="N15">(INDIRECT("'"&amp;INDIRECT("Main!B45")&amp;"'!C5"))</f>
        <v>0</v>
      </c>
    </row>
    <row r="16" ht="35.25" customHeight="1" spans="1:14">
      <c r="A16" s="182"/>
      <c r="B16" s="186" t="s">
        <v>42</v>
      </c>
      <c r="C16" s="184">
        <f>SUM(C3:C15)</f>
        <v>0</v>
      </c>
      <c r="D16" s="183"/>
      <c r="E16" s="186" t="s">
        <v>42</v>
      </c>
      <c r="F16" s="184">
        <f>SUM(F3:F15)</f>
        <v>0</v>
      </c>
      <c r="I16" s="210" t="str">
        <f>IF(Main!B2,TEXT(EDATE(Main!B3,13),"dd mmmm yyyy"),TEXT(Main!B3+((Main!B5-Main!B3)*13)+13,"dd mmmm yyyy"))&amp;" - "&amp;IF(Main!B2,TEXT(EDATE(Main!B3,14)-1,"dd mmmm yyyy"),TEXT(Main!B3+((Main!B5-Main!B3)*14+13),"dd mmmm yyyy"))</f>
        <v>11 May 2026 - 10 June 2026</v>
      </c>
      <c r="J16" s="209" cm="1">
        <f ca="1" t="array" ref="J16">(INDIRECT("'"&amp;INDIRECT("Main!B21")&amp;"'!E163"))</f>
        <v>0</v>
      </c>
      <c r="M16" s="206" t="str">
        <f>IF(Main!B2,TEXT(EDATE(Main!B3,39),"dd mmmm yyyy"),TEXT(Main!B3+((Main!B5-Main!B3)*39+39),"dd mmmm yyyy"))&amp;" - "&amp;IF(Main!B2,TEXT(EDATE(Main!B3,42)-1,"dd mmmm yyyy"),TEXT(Main!B3+((Main!B5-Main!B3)*42+41),"dd mmmm yyyy"))</f>
        <v>11 July 2028 - 10 October 2028</v>
      </c>
      <c r="N16" s="205" cm="1">
        <f ca="1" t="array" ref="N16">(INDIRECT("'"&amp;INDIRECT("Main!B48")&amp;"'!C5"))</f>
        <v>0</v>
      </c>
    </row>
    <row r="17" ht="35.25" customHeight="1" spans="9:14">
      <c r="I17" s="210" t="str">
        <f>IF(Main!B2,TEXT(EDATE(Main!B3,14),"dd mmmm yyyy"),TEXT(Main!B3+((Main!B5-Main!B3)*14)+14,"dd mmmm yyyy"))&amp;" - "&amp;IF(Main!B2,TEXT(EDATE(Main!B3,15)-1,"dd mmmm yyyy"),TEXT(Main!B3+((Main!B5-Main!B3)*15+14),"dd mmmm yyyy"))</f>
        <v>11 June 2026 - 10 July 2026</v>
      </c>
      <c r="J17" s="209" cm="1">
        <f ca="1" t="array" ref="J17">(INDIRECT("'"&amp;INDIRECT("Main!B21")&amp;"'!E190"))</f>
        <v>0</v>
      </c>
      <c r="M17" s="206" t="str">
        <f>IF(Main!B2,TEXT(EDATE(Main!B3,42),"dd mmmm yyyy"),TEXT(Main!B3+((Main!B5-Main!B3)*42+42),"dd mmmm yyyy"))&amp;" - "&amp;IF(Main!B2,TEXT(EDATE(Main!B3,45)-1,"dd mmmm yyyy"),TEXT(Main!B3+((Main!B5-Main!B3)*45+44),"dd mmmm yyyy"))</f>
        <v>11 October 2028 - 10 January 2029</v>
      </c>
      <c r="N17" s="205" cm="1">
        <f ca="1" t="array" ref="N17">(INDIRECT("'"&amp;INDIRECT("Main!B51")&amp;"'!C5"))</f>
        <v>0</v>
      </c>
    </row>
    <row r="18" ht="35.25" customHeight="1" spans="9:14">
      <c r="I18" s="210" t="str">
        <f>IF(Main!B2,TEXT(EDATE(Main!B3,15),"dd mmmm yyyy"),TEXT(Main!B3+((Main!B5-Main!B3)*15)+15,"dd mmmm yyyy"))&amp;" - "&amp;IF(Main!B2,TEXT(EDATE(Main!B3,16)-1,"dd mmmm yyyy"),TEXT(Main!B3+((Main!B5-Main!B3)*16+15),"dd mmmm yyyy"))</f>
        <v>11 July 2026 - 10 August 2026</v>
      </c>
      <c r="J18" s="209" cm="1">
        <f ca="1" t="array" ref="J18">(INDIRECT("'"&amp;INDIRECT("Main!B24")&amp;"'!E136"))</f>
        <v>0</v>
      </c>
      <c r="M18" s="206" t="str">
        <f>IF(Main!B2,TEXT(EDATE(Main!B3,45),"dd mmmm yyyy"),TEXT(Main!B3+((Main!B5-Main!B3)*45+45),"dd mmmm yyyy"))&amp;" - "&amp;IF(Main!B2,TEXT(EDATE(Main!B3,48)-1,"dd mmmm yyyy"),TEXT(Main!B3+((Main!B5-Main!B3)*48+47),"dd mmmm yyyy"))</f>
        <v>11 January 2029 - 10 April 2029</v>
      </c>
      <c r="N18" s="205" cm="1">
        <f ca="1" t="array" ref="N18">(INDIRECT("'"&amp;INDIRECT("Main!B54")&amp;"'!C5"))</f>
        <v>0</v>
      </c>
    </row>
    <row r="19" ht="33" customHeight="1" spans="9:10">
      <c r="I19" s="210" t="str">
        <f>IF(Main!B2,TEXT(EDATE(Main!B3,16),"dd mmmm yyyy"),TEXT(Main!B3+((Main!B5-Main!B3)*16)+16,"dd mmmm yyyy"))&amp;" - "&amp;IF(Main!B2,TEXT(EDATE(Main!B3,17)-1,"dd mmmm yyyy"),TEXT(Main!B3+((Main!B5-Main!B3)*17+16),"dd mmmm yyyy"))</f>
        <v>11 August 2026 - 10 September 2026</v>
      </c>
      <c r="J19" s="209" cm="1">
        <f ca="1" t="array" ref="J19">(INDIRECT("'"&amp;INDIRECT("Main!B24")&amp;"'!E163"))</f>
        <v>0</v>
      </c>
    </row>
    <row r="20" ht="35.25" customHeight="1" spans="9:10">
      <c r="I20" s="210" t="str">
        <f>IF(Main!B2,TEXT(EDATE(Main!B3,17),"dd mmmm yyyy"),TEXT(Main!B3+((Main!B5-Main!B3)*17)+17,"dd mmmm yyyy"))&amp;" - "&amp;IF(Main!B2,TEXT(EDATE(Main!B3,18)-1,"dd mmmm yyyy"),TEXT(Main!B3+((Main!B5-Main!B3)*18+17),"dd mmmm yyyy"))</f>
        <v>11 September 2026 - 10 October 2026</v>
      </c>
      <c r="J20" s="209" cm="1">
        <f ca="1" t="array" ref="J20">(INDIRECT("'"&amp;INDIRECT("Main!B24")&amp;"'!E190"))</f>
        <v>0</v>
      </c>
    </row>
    <row r="21" ht="35.25" customHeight="1" spans="9:10">
      <c r="I21" s="210" t="str">
        <f>IF(Main!B2,TEXT(EDATE(Main!B3,18),"dd mmmm yyyy"),TEXT(Main!B3+((Main!B5-Main!B3)*18)+18,"dd mmmm yyyy"))&amp;" - "&amp;IF(Main!B2,TEXT(EDATE(Main!B3,19)-1,"dd mmmm yyyy"),TEXT(Main!B3+((Main!B5-Main!B3)*19+18),"dd mmmm yyyy"))</f>
        <v>11 October 2026 - 10 November 2026</v>
      </c>
      <c r="J21" s="209" cm="1">
        <f ca="1" t="array" ref="J21">(INDIRECT("'"&amp;INDIRECT("Main!B27")&amp;"'!E136"))</f>
        <v>0</v>
      </c>
    </row>
    <row r="22" ht="24.75" customHeight="1" spans="1:10">
      <c r="A22" s="16" t="str">
        <f>TEXT(Main!B3,"dd mmmm yyyy")&amp;" - "&amp;IF(Main!B2,TEXT(EDATE(Main!B3,1)-1,"dd mmmm yyyy"),TEXT(Main!B3+Main!B5-Main!B3,"dd mmmm yyyy"))&amp;" / "&amp;" (Revenue / Deferred Debts Or Expenses)"</f>
        <v>11 April 2025 - 10 May 2025 /  (Revenue / Deferred Debts Or Expenses)</v>
      </c>
      <c r="B22" s="17"/>
      <c r="C22" s="17"/>
      <c r="D22" s="17"/>
      <c r="E22" s="17"/>
      <c r="F22" s="17"/>
      <c r="G22" s="17"/>
      <c r="I22" s="210" t="str">
        <f>IF(Main!B2,TEXT(EDATE(Main!B3,19),"dd mmmm yyyy"),TEXT(Main!B3+((Main!B5-Main!B3)*19)+19,"dd mmmm yyyy"))&amp;" - "&amp;IF(Main!B2,TEXT(EDATE(Main!B3,20)-1,"dd mmmm yyyy"),TEXT(Main!B3+((Main!B5-Main!B3)*20+19),"dd mmmm yyyy"))</f>
        <v>11 November 2026 - 10 December 2026</v>
      </c>
      <c r="J22" s="209" cm="1">
        <f ca="1" t="array" ref="J22">(INDIRECT("'"&amp;INDIRECT("Main!B27")&amp;"'!E163"))</f>
        <v>0</v>
      </c>
    </row>
    <row r="23" ht="24.75" customHeight="1" spans="1:10">
      <c r="A23" s="18" t="s">
        <v>29</v>
      </c>
      <c r="B23" s="18" t="s">
        <v>43</v>
      </c>
      <c r="C23" s="18"/>
      <c r="D23" s="19" t="s">
        <v>44</v>
      </c>
      <c r="E23" s="19"/>
      <c r="F23" s="19" t="s">
        <v>45</v>
      </c>
      <c r="G23" s="19"/>
      <c r="I23" s="210" t="str">
        <f>IF(Main!B2,TEXT(EDATE(Main!B3,20),"dd mmmm yyyy"),TEXT(Main!B3+((Main!B5-Main!B3)*20)+20,"dd mmmm yyyy"))&amp;" - "&amp;IF(Main!B2,TEXT(EDATE(Main!B3,21)-1,"dd mmmm yyyy"),TEXT(Main!B3+((Main!B5-Main!B3)*21+20),"dd mmmm yyyy"))</f>
        <v>11 December 2026 - 10 January 2027</v>
      </c>
      <c r="J23" s="209" cm="1">
        <f ca="1" t="array" ref="J23">(INDIRECT("'"&amp;INDIRECT("Main!B27")&amp;"'!E190"))</f>
        <v>0</v>
      </c>
    </row>
    <row r="24" ht="52.5" customHeight="1" spans="1:10">
      <c r="A24" s="20"/>
      <c r="B24" s="21"/>
      <c r="C24" s="21"/>
      <c r="D24" s="21"/>
      <c r="E24" s="21"/>
      <c r="F24" s="45">
        <v>0</v>
      </c>
      <c r="G24" s="46"/>
      <c r="I24" s="210" t="str">
        <f>IF(Main!B2,TEXT(EDATE(Main!B3,21),"dd mmmm yyyy"),TEXT(Main!B3+((Main!B5-Main!B3)*21)+21,"dd mmmm yyyy"))&amp;" - "&amp;IF(Main!B2,TEXT(EDATE(Main!B3,22)-1,"dd mmmm yyyy"),TEXT(Main!B3+((Main!B5-Main!B3)*22+21),"dd mmmm yyyy"))</f>
        <v>11 January 2027 - 10 February 2027</v>
      </c>
      <c r="J24" s="209" cm="1">
        <f ca="1" t="array" ref="J24">(INDIRECT("'"&amp;INDIRECT("Main!B30")&amp;"'!E136"))</f>
        <v>0</v>
      </c>
    </row>
    <row r="25" ht="30" customHeight="1" spans="1:10">
      <c r="A25" s="20"/>
      <c r="B25" s="22"/>
      <c r="C25" s="23"/>
      <c r="D25" s="24"/>
      <c r="E25" s="47"/>
      <c r="F25" s="45">
        <v>0</v>
      </c>
      <c r="G25" s="46"/>
      <c r="I25" s="210" t="str">
        <f>IF(Main!B2,TEXT(EDATE(Main!B3,22),"dd mmmm yyyy"),TEXT(Main!B3+((Main!B5-Main!B3)*22)+22,"dd mmmm yyyy"))&amp;" - "&amp;IF(Main!B2,TEXT(EDATE(Main!B3,23)-1,"dd mmmm yyyy"),TEXT(Main!B3+((Main!B5-Main!B3)*23+22),"dd mmmm yyyy"))</f>
        <v>11 February 2027 - 10 March 2027</v>
      </c>
      <c r="J25" s="209" cm="1">
        <f ca="1" t="array" ref="J25">(INDIRECT("'"&amp;INDIRECT("Main!B30")&amp;"'!E163"))</f>
        <v>0</v>
      </c>
    </row>
    <row r="26" ht="30" customHeight="1" spans="1:10">
      <c r="A26" s="20"/>
      <c r="B26" s="22"/>
      <c r="C26" s="23"/>
      <c r="D26" s="24"/>
      <c r="E26" s="47"/>
      <c r="F26" s="45">
        <v>0</v>
      </c>
      <c r="G26" s="46"/>
      <c r="I26" s="208" t="str">
        <f>IF(Main!B2,TEXT(EDATE(Main!B3,23),"dd mmmm yyyy"),TEXT(Main!B3+((Main!B5-Main!B3)*23)+23,"dd mmmm yyyy"))&amp;" - "&amp;IF(Main!B2,TEXT(EDATE(Main!B3,24)-1,"dd mmmm yyyy"),TEXT(Main!B3+((Main!B5-Main!B3)*24+23),"dd mmmm yyyy"))</f>
        <v>11 March 2027 - 10 April 2027</v>
      </c>
      <c r="J26" s="209" cm="1">
        <f ca="1" t="array" ref="J26">(INDIRECT("'"&amp;INDIRECT("Main!B30")&amp;"'!E190"))</f>
        <v>0</v>
      </c>
    </row>
    <row r="27" ht="30" customHeight="1" spans="1:10">
      <c r="A27" s="20"/>
      <c r="B27" s="22"/>
      <c r="C27" s="23"/>
      <c r="D27" s="24"/>
      <c r="E27" s="47"/>
      <c r="F27" s="45">
        <v>0</v>
      </c>
      <c r="G27" s="46"/>
      <c r="I27" s="210" t="str">
        <f>IF(Main!B2,TEXT(EDATE(Main!B3,24),"dd mmmm yyyy"),TEXT(Main!B3+((Main!B5-Main!B3)*24)+24,"dd mmmm yyyy"))&amp;" - "&amp;IF(Main!B2,TEXT(EDATE(Main!B3,25)-1,"dd mmmm yyyy"),TEXT(Main!B3+((Main!B5-Main!B3)*25+24),"dd mmmm yyyy"))</f>
        <v>11 April 2027 - 10 May 2027</v>
      </c>
      <c r="J27" s="209" cm="1">
        <f ca="1" t="array" ref="J27">(INDIRECT("'"&amp;INDIRECT("Main!B33")&amp;"'!E136"))</f>
        <v>0</v>
      </c>
    </row>
    <row r="28" ht="30" customHeight="1" spans="1:10">
      <c r="A28" s="20"/>
      <c r="B28" s="22"/>
      <c r="C28" s="23"/>
      <c r="D28" s="24"/>
      <c r="E28" s="47"/>
      <c r="F28" s="45">
        <v>0</v>
      </c>
      <c r="G28" s="46"/>
      <c r="I28" s="210" t="str">
        <f>IF(Main!B2,TEXT(EDATE(Main!B3,25),"dd mmmm yyyy"),TEXT(Main!B3+((Main!B5-Main!B3)*25)+25,"dd mmmm yyyy"))&amp;" - "&amp;IF(Main!B2,TEXT(EDATE(Main!B3,26)-1,"dd mmmm yyyy"),TEXT(Main!B3+((Main!B5-Main!B3)*26+25),"dd mmmm yyyy"))</f>
        <v>11 May 2027 - 10 June 2027</v>
      </c>
      <c r="J28" s="209" cm="1">
        <f ca="1" t="array" ref="J28">(INDIRECT("'"&amp;INDIRECT("Main!B33")&amp;"'!E163"))</f>
        <v>0</v>
      </c>
    </row>
    <row r="29" ht="30" customHeight="1" spans="1:10">
      <c r="A29" s="20"/>
      <c r="B29" s="22"/>
      <c r="C29" s="23"/>
      <c r="D29" s="24"/>
      <c r="E29" s="47"/>
      <c r="F29" s="45">
        <v>0</v>
      </c>
      <c r="G29" s="46"/>
      <c r="I29" s="206" t="str">
        <f>IF(Main!B2,TEXT(EDATE(Main!B3,26),"dd mmmm yyyy"),TEXT(Main!B3+((Main!B5-Main!B3)*26)+26,"dd mmmm yyyy"))&amp;" - "&amp;IF(Main!B2,TEXT(EDATE(Main!B3,27)-1,"dd mmmm yyyy"),TEXT(Main!B3+((Main!B5-Main!B3)*27+26),"dd mmmm yyyy"))</f>
        <v>11 June 2027 - 10 July 2027</v>
      </c>
      <c r="J29" s="205" cm="1">
        <f ca="1" t="array" ref="J29">(INDIRECT("'"&amp;INDIRECT("Main!B33")&amp;"'!E190"))</f>
        <v>0</v>
      </c>
    </row>
    <row r="30" ht="30" customHeight="1" spans="1:10">
      <c r="A30" s="187"/>
      <c r="B30" s="188"/>
      <c r="C30" s="189"/>
      <c r="D30" s="28" t="s">
        <v>46</v>
      </c>
      <c r="E30" s="48"/>
      <c r="F30" s="49">
        <f>SUM(F24:G29)</f>
        <v>0</v>
      </c>
      <c r="G30" s="50"/>
      <c r="I30" s="210" t="str">
        <f>IF(Main!B2,TEXT(EDATE(Main!B3,27),"dd mmmm yyyy"),TEXT(Main!B3+((Main!B5-Main!B3)*27)+27,"dd mmmm yyyy"))&amp;" - "&amp;IF(Main!B2,TEXT(EDATE(Main!B3,28)-1,"dd mmmm yyyy"),TEXT(Main!B3+((Main!B5-Main!B3)*28+27),"dd mmmm yyyy"))</f>
        <v>11 July 2027 - 10 August 2027</v>
      </c>
      <c r="J30" s="211" cm="1">
        <f ca="1" t="array" ref="J30">(INDIRECT("'"&amp;INDIRECT("Main!B36")&amp;"'!E136"))</f>
        <v>0</v>
      </c>
    </row>
    <row r="31" ht="30" customHeight="1" spans="9:10">
      <c r="I31" s="210" t="str">
        <f>IF(Main!B2,TEXT(EDATE(Main!B3,28),"dd mmmm yyyy"),TEXT(Main!B3+((Main!B5-Main!B3)*28)+28,"dd mmmm yyyy"))&amp;" - "&amp;IF(Main!B2,TEXT(EDATE(Main!B3,29)-1,"dd mmmm yyyy"),TEXT(Main!B3+((Main!B5-Main!B3)*29+28),"dd mmmm yyyy"))</f>
        <v>11 August 2027 - 10 September 2027</v>
      </c>
      <c r="J31" s="209" cm="1">
        <f ca="1" t="array" ref="J31">(INDIRECT("'"&amp;INDIRECT("Main!B36")&amp;"'!E163"))</f>
        <v>0</v>
      </c>
    </row>
    <row r="32" ht="27.75" customHeight="1" spans="9:10">
      <c r="I32" s="210" t="str">
        <f>IF(Main!B2,TEXT(EDATE(Main!B3,29),"dd mmmm yyyy"),TEXT(Main!B3+((Main!B5-Main!B3)*29)+29,"dd mmmm yyyy"))&amp;" - "&amp;IF(Main!B2,TEXT(EDATE(Main!B3,30)-1,"dd mmmm yyyy"),TEXT(Main!B3+((Main!B5-Main!B3)*30+29),"dd mmmm yyyy"))</f>
        <v>11 September 2027 - 10 October 2027</v>
      </c>
      <c r="J32" s="209" cm="1">
        <f ca="1" t="array" ref="J32">(INDIRECT("'"&amp;INDIRECT("Main!B36")&amp;"'!E190"))</f>
        <v>0</v>
      </c>
    </row>
    <row r="33" ht="30" customHeight="1" spans="9:10">
      <c r="I33" s="210" t="str">
        <f>IF(Main!B2,TEXT(EDATE(Main!B3,30),"dd mmmm yyyy"),TEXT(Main!B3+((Main!B5-Main!B3)*30)+30,"dd mmmm yyyy"))&amp;" - "&amp;IF(Main!B2,TEXT(EDATE(Main!B3,31)-1,"dd mmmm yyyy"),TEXT(Main!B3+((Main!B5-Main!B3)*31+30),"dd mmmm yyyy"))</f>
        <v>11 October 2027 - 10 November 2027</v>
      </c>
      <c r="J33" s="209" cm="1">
        <f ca="1" t="array" ref="J33">(INDIRECT("'"&amp;INDIRECT("Main!B39")&amp;"'!E136"))</f>
        <v>0</v>
      </c>
    </row>
    <row r="34" ht="30" customHeight="1" spans="1:10">
      <c r="A34" s="16" t="str">
        <f>IF(Main!B2,TEXT(EDATE(Main!B3,1),"dd mmmm yyyy"),TEXT(Main!B3+(Main!B5-Main!B3)+1,"dd mmmm yyyy"))&amp;" - "&amp;IF(Main!B2,TEXT(EDATE(Main!B3,2)-1,"dd mmmm yyyy"),TEXT(Main!B3+(Main!B5-Main!B3)*2+1,"dd mmmm yyyy"))&amp;" (Revenue / Deferred Debts Or Expenses)"</f>
        <v>11 May 2025 - 10 June 2025 (Revenue / Deferred Debts Or Expenses)</v>
      </c>
      <c r="B34" s="17"/>
      <c r="C34" s="17"/>
      <c r="D34" s="17"/>
      <c r="E34" s="17"/>
      <c r="F34" s="17"/>
      <c r="G34" s="17"/>
      <c r="I34" s="210" t="str">
        <f>IF(Main!B2,TEXT(EDATE(Main!B3,31),"dd mmmm yyyy"),TEXT(Main!B3+((Main!B5-Main!B3)*31)+31,"dd mmmm yyyy"))&amp;" - "&amp;IF(Main!B2,TEXT(EDATE(Main!B3,32)-1,"dd mmmm yyyy"),TEXT(Main!B3+((Main!B5-Main!B3)*32+31),"dd mmmm yyyy"))</f>
        <v>11 November 2027 - 10 December 2027</v>
      </c>
      <c r="J34" s="209" cm="1">
        <f ca="1" t="array" ref="J34">(INDIRECT("'"&amp;INDIRECT("Main!B39")&amp;"'!E163"))</f>
        <v>0</v>
      </c>
    </row>
    <row r="35" ht="24.75" customHeight="1" spans="1:10">
      <c r="A35" s="18" t="s">
        <v>29</v>
      </c>
      <c r="B35" s="18" t="s">
        <v>43</v>
      </c>
      <c r="C35" s="18"/>
      <c r="D35" s="19" t="s">
        <v>44</v>
      </c>
      <c r="E35" s="19"/>
      <c r="F35" s="19" t="s">
        <v>45</v>
      </c>
      <c r="G35" s="19"/>
      <c r="I35" s="210" t="str">
        <f>IF(Main!B2,TEXT(EDATE(Main!B3,32),"dd mmmm yyyy"),TEXT(Main!B3+((Main!B5-Main!B3)*32)+32,"dd mmmm yyyy"))&amp;" - "&amp;IF(Main!B2,TEXT(EDATE(Main!B3,33)-1,"dd mmmm yyyy"),TEXT(Main!B3+((Main!B5-Main!B3)*33+32),"dd mmmm yyyy"))</f>
        <v>11 December 2027 - 10 January 2028</v>
      </c>
      <c r="J35" s="209" cm="1">
        <f ca="1" t="array" ref="J35">(INDIRECT("'"&amp;INDIRECT("Main!B39")&amp;"'!E190"))</f>
        <v>0</v>
      </c>
    </row>
    <row r="36" ht="54.75" customHeight="1" spans="1:10">
      <c r="A36" s="20"/>
      <c r="B36" s="21"/>
      <c r="C36" s="21"/>
      <c r="D36" s="21"/>
      <c r="E36" s="21"/>
      <c r="F36" s="45">
        <v>0</v>
      </c>
      <c r="G36" s="46"/>
      <c r="I36" s="210" t="str">
        <f>IF(Main!B2,TEXT(EDATE(Main!B3,33),"dd mmmm yyyy"),TEXT(Main!B3+((Main!B5-Main!B3)*33)+33,"dd mmmm yyyy"))&amp;" - "&amp;IF(Main!B2,TEXT(EDATE(Main!B3,34)-1,"dd mmmm yyyy"),TEXT(Main!B3+((Main!B5-Main!B3)*34+33),"dd mmmm yyyy"))</f>
        <v>11 January 2028 - 10 February 2028</v>
      </c>
      <c r="J36" s="209" cm="1">
        <f ca="1" t="array" ref="J36">(INDIRECT("'"&amp;INDIRECT("Main!B42")&amp;"'!E136"))</f>
        <v>0</v>
      </c>
    </row>
    <row r="37" ht="24.75" customHeight="1" spans="1:10">
      <c r="A37" s="20"/>
      <c r="B37" s="22"/>
      <c r="C37" s="23"/>
      <c r="D37" s="24"/>
      <c r="E37" s="47"/>
      <c r="F37" s="45">
        <v>0</v>
      </c>
      <c r="G37" s="46"/>
      <c r="I37" s="210" t="str">
        <f>IF(Main!B2,TEXT(EDATE(Main!B3,34),"dd mmmm yyyy"),TEXT(Main!B3+((Main!B5-Main!B3)*34)+34,"dd mmmm yyyy"))&amp;" - "&amp;IF(Main!B2,TEXT(EDATE(Main!B3,35)-1,"dd mmmm yyyy"),TEXT(Main!B3+((Main!B5-Main!B3)*35+34),"dd mmmm yyyy"))</f>
        <v>11 February 2028 - 10 March 2028</v>
      </c>
      <c r="J37" s="209" cm="1">
        <f ca="1" t="array" ref="J37">(INDIRECT("'"&amp;INDIRECT("Main!B42")&amp;"'!E163"))</f>
        <v>0</v>
      </c>
    </row>
    <row r="38" ht="20.25" customHeight="1" spans="1:10">
      <c r="A38" s="20"/>
      <c r="B38" s="22"/>
      <c r="C38" s="23"/>
      <c r="D38" s="24"/>
      <c r="E38" s="47"/>
      <c r="F38" s="45">
        <v>0</v>
      </c>
      <c r="G38" s="46"/>
      <c r="I38" s="210" t="str">
        <f>IF(Main!B2,TEXT(EDATE(Main!B3,35),"dd mmmm yyyy"),TEXT(Main!B3+((Main!B5-Main!B3)*35)+35,"dd mmmm yyyy"))&amp;" - "&amp;IF(Main!B2,TEXT(EDATE(Main!B3,36)-1,"dd mmmm yyyy"),TEXT(Main!B3+((Main!B5-Main!B3)*36+35),"dd mmmm yyyy"))</f>
        <v>11 March 2028 - 10 April 2028</v>
      </c>
      <c r="J38" s="209" cm="1">
        <f ca="1" t="array" ref="J38">(INDIRECT("'"&amp;INDIRECT("Main!B42")&amp;"'!E190"))</f>
        <v>0</v>
      </c>
    </row>
    <row r="39" ht="24.75" customHeight="1" spans="1:10">
      <c r="A39" s="20"/>
      <c r="B39" s="22"/>
      <c r="C39" s="23"/>
      <c r="D39" s="24"/>
      <c r="E39" s="47"/>
      <c r="F39" s="45">
        <v>0</v>
      </c>
      <c r="G39" s="46"/>
      <c r="I39" s="210" t="str">
        <f>IF(Main!B2,TEXT(EDATE(Main!B3,36),"dd mmmm yyyy"),TEXT(Main!B3+((Main!B5-Main!B3)*36)+36,"dd mmmm yyyy"))&amp;" - "&amp;IF(Main!B2,TEXT(EDATE(Main!B3,37)-1,"dd mmmm yyyy"),TEXT(Main!B3+((Main!B5-Main!B3)*37+36),"dd mmmm yyyy"))</f>
        <v>11 April 2028 - 10 May 2028</v>
      </c>
      <c r="J39" s="209" cm="1">
        <f ca="1" t="array" ref="J39">(INDIRECT("'"&amp;INDIRECT("Main!B45")&amp;"'!E136"))</f>
        <v>0</v>
      </c>
    </row>
    <row r="40" ht="24.75" customHeight="1" spans="1:10">
      <c r="A40" s="20"/>
      <c r="B40" s="22"/>
      <c r="C40" s="23"/>
      <c r="D40" s="24"/>
      <c r="E40" s="47"/>
      <c r="F40" s="45">
        <v>0</v>
      </c>
      <c r="G40" s="46"/>
      <c r="I40" s="210" t="str">
        <f>IF(Main!B2,TEXT(EDATE(Main!B3,37),"dd mmmm yyyy"),TEXT(Main!B3+((Main!B5-Main!B3)*37)+37,"dd mmmm yyyy"))&amp;" - "&amp;IF(Main!B2,TEXT(EDATE(Main!B3,38)-1,"dd mmmm yyyy"),TEXT(Main!B3+((Main!B5-Main!B3)*38+37),"dd mmmm yyyy"))</f>
        <v>11 May 2028 - 10 June 2028</v>
      </c>
      <c r="J40" s="209" cm="1">
        <f ca="1" t="array" ref="J40">(INDIRECT("'"&amp;INDIRECT("Main!B45")&amp;"'!E163"))</f>
        <v>0</v>
      </c>
    </row>
    <row r="41" ht="24.75" customHeight="1" spans="1:10">
      <c r="A41" s="20"/>
      <c r="B41" s="22"/>
      <c r="C41" s="23"/>
      <c r="D41" s="24"/>
      <c r="E41" s="47"/>
      <c r="F41" s="45">
        <v>0</v>
      </c>
      <c r="G41" s="46"/>
      <c r="I41" s="206" t="str">
        <f>IF(Main!B2,TEXT(EDATE(Main!B3,38),"dd mmmm yyyy"),TEXT(Main!B3+((Main!B5-Main!B3)*38)+38,"dd mmmm yyyy"))&amp;" - "&amp;IF(Main!B2,TEXT(EDATE(Main!B3,39)-1,"dd mmmm yyyy"),TEXT(Main!B3+((Main!B5-Main!B3)*39+38),"dd mmmm yyyy"))</f>
        <v>11 June 2028 - 10 July 2028</v>
      </c>
      <c r="J41" s="209" cm="1">
        <f ca="1" t="array" ref="J41">(INDIRECT("'"&amp;INDIRECT("Main!B45")&amp;"'!E190"))</f>
        <v>0</v>
      </c>
    </row>
    <row r="42" ht="24.75" customHeight="1" spans="1:10">
      <c r="A42" s="187"/>
      <c r="B42" s="188"/>
      <c r="C42" s="189"/>
      <c r="D42" s="28" t="s">
        <v>46</v>
      </c>
      <c r="E42" s="48"/>
      <c r="F42" s="49">
        <f>SUM(F36:G41)</f>
        <v>0</v>
      </c>
      <c r="G42" s="50"/>
      <c r="I42" s="206" t="str">
        <f>IF(Main!B2,TEXT(EDATE(Main!B3,39),"dd mmmm yyyy"),TEXT(Main!B3+((Main!B5-Main!B3)*39)+39,"dd mmmm yyyy"))&amp;" - "&amp;IF(Main!B2,TEXT(EDATE(Main!B3,40)-1,"dd mmmm yyyy"),TEXT(Main!B3+((Main!B5-Main!B3)*40+39),"dd mmmm yyyy"))</f>
        <v>11 July 2028 - 10 August 2028</v>
      </c>
      <c r="J42" s="209" cm="1">
        <f ca="1" t="array" ref="J42">(INDIRECT("'"&amp;INDIRECT("Main!B48")&amp;"'!E136"))</f>
        <v>0</v>
      </c>
    </row>
    <row r="43" ht="24.75" customHeight="1" spans="9:10">
      <c r="I43" s="206" t="str">
        <f>IF(Main!B2,TEXT(EDATE(Main!B3,40),"dd mmmm yyyy"),TEXT(Main!B3+((Main!B5-Main!B3)*40)+40,"dd mmmm yyyy"))&amp;" - "&amp;IF(Main!B2,TEXT(EDATE(Main!B3,41)-1,"dd mmmm yyyy"),TEXT(Main!B3+((Main!B5-Main!B3)*41+40),"dd mmmm yyyy"))</f>
        <v>11 August 2028 - 10 September 2028</v>
      </c>
      <c r="J43" s="209" cm="1">
        <f ca="1" t="array" ref="J43">(INDIRECT("'"&amp;INDIRECT("Main!B48")&amp;"'!E163"))</f>
        <v>0</v>
      </c>
    </row>
    <row r="44" ht="24.75" customHeight="1" spans="9:10">
      <c r="I44" s="206" t="str">
        <f>IF(Main!B2,TEXT(EDATE(Main!B3,41),"dd mmmm yyyy"),TEXT(Main!B3+((Main!B5-Main!B3)*41)+41,"dd mmmm yyyy"))&amp;" - "&amp;IF(Main!B2,TEXT(EDATE(Main!B3,42)-1,"dd mmmm yyyy"),TEXT(Main!B3+((Main!B5-Main!B3)*42+41),"dd mmmm yyyy"))</f>
        <v>11 September 2028 - 10 October 2028</v>
      </c>
      <c r="J44" s="209" cm="1">
        <f ca="1" t="array" ref="J44">(INDIRECT("'"&amp;INDIRECT("Main!B48")&amp;"'!E190"))</f>
        <v>0</v>
      </c>
    </row>
    <row r="45" ht="24.75" customHeight="1" spans="9:10">
      <c r="I45" s="206" t="str">
        <f>IF(Main!B2,TEXT(EDATE(Main!B3,42),"dd mmmm yyyy"),TEXT(Main!B3+((Main!B5-Main!B3)*42)+42,"dd mmmm yyyy"))&amp;" - "&amp;IF(Main!B2,TEXT(EDATE(Main!B3,43)-1,"dd mmmm yyyy"),TEXT(Main!B3+((Main!B5-Main!B3)*43+42),"dd mmmm yyyy"))</f>
        <v>11 October 2028 - 10 November 2028</v>
      </c>
      <c r="J45" s="209" cm="1">
        <f ca="1" t="array" ref="J45">(INDIRECT("'"&amp;INDIRECT("Main!B51")&amp;"'!E136"))</f>
        <v>0</v>
      </c>
    </row>
    <row r="46" ht="24.75" customHeight="1" spans="1:10">
      <c r="A46" s="16" t="str">
        <f>IF(Main!B2,TEXT(EDATE(Main!B3,2),"dd mmmm yyyy"),TEXT(Main!B3+((Main!B5-Main!B3)*2)+2,"dd mmmm yyyy"))&amp;" - "&amp;IF(Main!B2,TEXT(EDATE(Main!B3,3)-1,"dd mmmm yyyy"),TEXT(Main!B3+((Main!B5-Main!B3)*3+2),"dd mmmm yyyy"))&amp;" (Revenue / Deferred Debts Or Expenses)"</f>
        <v>11 June 2025 - 10 July 2025 (Revenue / Deferred Debts Or Expenses)</v>
      </c>
      <c r="B46" s="17"/>
      <c r="C46" s="17"/>
      <c r="D46" s="17"/>
      <c r="E46" s="17"/>
      <c r="F46" s="17"/>
      <c r="G46" s="17"/>
      <c r="I46" s="206" t="str">
        <f>IF(Main!B2,TEXT(EDATE(Main!B3,43),"dd mmmm yyyy"),TEXT(Main!B3+((Main!B5-Main!B3)*43)+43,"dd mmmm yyyy"))&amp;" - "&amp;IF(Main!B2,TEXT(EDATE(Main!B3,44)-1,"dd mmmm yyyy"),TEXT(Main!B3+((Main!B5-Main!B3)*44+43),"dd mmmm yyyy"))</f>
        <v>11 November 2028 - 10 December 2028</v>
      </c>
      <c r="J46" s="209" cm="1">
        <f ca="1" t="array" ref="J46">(INDIRECT("'"&amp;INDIRECT("Main!B51")&amp;"'!E163"))</f>
        <v>0</v>
      </c>
    </row>
    <row r="47" ht="24.75" customHeight="1" spans="1:10">
      <c r="A47" s="18" t="s">
        <v>29</v>
      </c>
      <c r="B47" s="18" t="s">
        <v>43</v>
      </c>
      <c r="C47" s="18"/>
      <c r="D47" s="19" t="s">
        <v>44</v>
      </c>
      <c r="E47" s="19"/>
      <c r="F47" s="19" t="s">
        <v>45</v>
      </c>
      <c r="G47" s="19"/>
      <c r="I47" s="206" t="str">
        <f>IF(Main!B2,TEXT(EDATE(Main!B3,44),"dd mmmm yyyy"),TEXT(Main!B3+((Main!B5-Main!B3)*44)+44,"dd mmmm yyyy"))&amp;" - "&amp;IF(Main!B2,TEXT(EDATE(Main!B3,45)-1,"dd mmmm yyyy"),TEXT(Main!B3+((Main!B5-Main!B3)*45+44),"dd mmmm yyyy"))</f>
        <v>11 December 2028 - 10 January 2029</v>
      </c>
      <c r="J47" s="209" cm="1">
        <f ca="1" t="array" ref="J47">(INDIRECT("'"&amp;INDIRECT("Main!B51")&amp;"'!E190"))</f>
        <v>0</v>
      </c>
    </row>
    <row r="48" ht="24.75" customHeight="1" spans="1:10">
      <c r="A48" s="20"/>
      <c r="B48" s="21"/>
      <c r="C48" s="21"/>
      <c r="D48" s="21"/>
      <c r="E48" s="21"/>
      <c r="F48" s="45">
        <v>0</v>
      </c>
      <c r="G48" s="46"/>
      <c r="I48" s="206" t="str">
        <f>IF(Main!B2,TEXT(EDATE(Main!B3,45),"dd mmmm yyyy"),TEXT(Main!B3+((Main!B5-Main!B3)*45)+45,"dd mmmm yyyy"))&amp;" - "&amp;IF(Main!B2,TEXT(EDATE(Main!B3,46)-1,"dd mmmm yyyy"),TEXT(Main!B3+((Main!B5-Main!B3)*46+45),"dd mmmm yyyy"))</f>
        <v>11 January 2029 - 10 February 2029</v>
      </c>
      <c r="J48" s="209" cm="1">
        <f ca="1" t="array" ref="J48">(INDIRECT("'"&amp;INDIRECT("Main!B54")&amp;"'!E136"))</f>
        <v>0</v>
      </c>
    </row>
    <row r="49" ht="24.75" customHeight="1" spans="1:10">
      <c r="A49" s="20"/>
      <c r="B49" s="22"/>
      <c r="C49" s="23"/>
      <c r="D49" s="24"/>
      <c r="E49" s="47"/>
      <c r="F49" s="45">
        <v>0</v>
      </c>
      <c r="G49" s="46"/>
      <c r="I49" s="206" t="str">
        <f>IF(Main!B2,TEXT(EDATE(Main!B3,46),"dd mmmm yyyy"),TEXT(Main!B3+((Main!B5-Main!B3)*46)+46,"dd mmmm yyyy"))&amp;" - "&amp;IF(Main!B2,TEXT(EDATE(Main!B3,47)-1,"dd mmmm yyyy"),TEXT(Main!B3+((Main!B5-Main!B3)*47+46),"dd mmmm yyyy"))</f>
        <v>11 February 2029 - 10 March 2029</v>
      </c>
      <c r="J49" s="209" cm="1">
        <f ca="1" t="array" ref="J49">(INDIRECT("'"&amp;INDIRECT("Main!B54")&amp;"'!E163"))</f>
        <v>0</v>
      </c>
    </row>
    <row r="50" ht="24.75" customHeight="1" spans="1:10">
      <c r="A50" s="20"/>
      <c r="B50" s="22"/>
      <c r="C50" s="23"/>
      <c r="D50" s="24"/>
      <c r="E50" s="47"/>
      <c r="F50" s="45">
        <v>0</v>
      </c>
      <c r="G50" s="46"/>
      <c r="I50" s="206" t="str">
        <f>IF(Main!B2,TEXT(EDATE(Main!B3,47),"dd mmmm yyyy"),TEXT(Main!B3+((Main!B5-Main!B3)*47)+47,"dd mmmm yyyy"))&amp;" - "&amp;IF(Main!B2,TEXT(EDATE(Main!B3,48)-1,"dd mmmm yyyy"),TEXT(Main!B3+((Main!B5-Main!B3)*48+47),"dd mmmm yyyy"))</f>
        <v>11 March 2029 - 10 April 2029</v>
      </c>
      <c r="J50" s="205" cm="1">
        <f ca="1" t="array" ref="J50">(INDIRECT("'"&amp;INDIRECT("Main!B54")&amp;"'!E190"))</f>
        <v>0</v>
      </c>
    </row>
    <row r="51" ht="24.75" customHeight="1" spans="1:7">
      <c r="A51" s="20"/>
      <c r="B51" s="22"/>
      <c r="C51" s="23"/>
      <c r="D51" s="24"/>
      <c r="E51" s="47"/>
      <c r="F51" s="45">
        <v>0</v>
      </c>
      <c r="G51" s="46"/>
    </row>
    <row r="52" ht="24.75" customHeight="1" spans="1:7">
      <c r="A52" s="20"/>
      <c r="B52" s="22"/>
      <c r="C52" s="23"/>
      <c r="D52" s="24"/>
      <c r="E52" s="47"/>
      <c r="F52" s="45">
        <v>0</v>
      </c>
      <c r="G52" s="46"/>
    </row>
    <row r="53" ht="24.75" customHeight="1" spans="1:7">
      <c r="A53" s="20"/>
      <c r="B53" s="22"/>
      <c r="C53" s="23"/>
      <c r="D53" s="24"/>
      <c r="E53" s="47"/>
      <c r="F53" s="45">
        <v>0</v>
      </c>
      <c r="G53" s="46"/>
    </row>
    <row r="54" ht="24.75" customHeight="1" spans="1:7">
      <c r="A54" s="187"/>
      <c r="B54" s="188"/>
      <c r="C54" s="189"/>
      <c r="D54" s="28" t="s">
        <v>46</v>
      </c>
      <c r="E54" s="48"/>
      <c r="F54" s="49">
        <f>SUM(F48:G53)</f>
        <v>0</v>
      </c>
      <c r="G54" s="50"/>
    </row>
    <row r="55" ht="24.75" customHeight="1"/>
    <row r="58" ht="20.4" spans="1:3">
      <c r="A58" s="190" t="str">
        <f>"Fixed Expense For the Year "&amp;TEXT(Main!B3,"mmmm yyyy")&amp;" - "&amp;IF(Main!B2,TEXT(EDATE(Main!B3,3)-1,"mmmm yyyy"),TEXT(Main!B3+((Main!B5-Main!B3)*3+2),"mmmm yyyy"))</f>
        <v>Fixed Expense For the Year April 2025 - July 2025</v>
      </c>
      <c r="B58" s="191"/>
      <c r="C58" s="192"/>
    </row>
    <row r="59" ht="21" spans="1:3">
      <c r="A59" s="193" t="s">
        <v>43</v>
      </c>
      <c r="B59" s="193" t="s">
        <v>44</v>
      </c>
      <c r="C59" s="194" t="s">
        <v>45</v>
      </c>
    </row>
    <row r="60" spans="1:3">
      <c r="A60" s="195" t="s">
        <v>47</v>
      </c>
      <c r="B60" s="196"/>
      <c r="C60" s="197"/>
    </row>
    <row r="61" spans="1:3">
      <c r="A61" s="36"/>
      <c r="B61" s="198"/>
      <c r="C61" s="199">
        <v>0</v>
      </c>
    </row>
    <row r="62" spans="1:3">
      <c r="A62" s="36"/>
      <c r="B62" s="198"/>
      <c r="C62" s="199">
        <v>0</v>
      </c>
    </row>
    <row r="63" ht="21" customHeight="1" spans="1:3">
      <c r="A63" s="36"/>
      <c r="B63" s="198"/>
      <c r="C63" s="199">
        <v>0</v>
      </c>
    </row>
    <row r="64" spans="1:3">
      <c r="A64" s="38"/>
      <c r="B64" s="198"/>
      <c r="C64" s="199">
        <v>0</v>
      </c>
    </row>
    <row r="65" spans="1:3">
      <c r="A65" s="38"/>
      <c r="B65" s="198"/>
      <c r="C65" s="199">
        <v>0</v>
      </c>
    </row>
    <row r="66" spans="1:3">
      <c r="A66" s="38"/>
      <c r="B66" s="198"/>
      <c r="C66" s="199">
        <v>0</v>
      </c>
    </row>
    <row r="67" spans="1:3">
      <c r="A67" s="38"/>
      <c r="B67" s="198"/>
      <c r="C67" s="199">
        <v>0</v>
      </c>
    </row>
    <row r="68" spans="1:3">
      <c r="A68" s="38"/>
      <c r="B68" s="198"/>
      <c r="C68" s="199">
        <v>0</v>
      </c>
    </row>
    <row r="69" spans="1:3">
      <c r="A69" s="39"/>
      <c r="B69" s="40" t="s">
        <v>48</v>
      </c>
      <c r="C69" s="199">
        <f>SUM(C61:C68)</f>
        <v>0</v>
      </c>
    </row>
    <row r="70" spans="1:3">
      <c r="A70" s="195" t="s">
        <v>49</v>
      </c>
      <c r="B70" s="196"/>
      <c r="C70" s="197"/>
    </row>
    <row r="71" spans="1:3">
      <c r="A71" s="36"/>
      <c r="B71" s="198"/>
      <c r="C71" s="199">
        <v>0</v>
      </c>
    </row>
    <row r="72" spans="1:3">
      <c r="A72" s="36"/>
      <c r="B72" s="198"/>
      <c r="C72" s="199">
        <v>0</v>
      </c>
    </row>
    <row r="73" spans="1:3">
      <c r="A73" s="36"/>
      <c r="B73" s="198"/>
      <c r="C73" s="199">
        <v>0</v>
      </c>
    </row>
    <row r="74" spans="1:3">
      <c r="A74" s="38"/>
      <c r="B74" s="198"/>
      <c r="C74" s="199">
        <v>0</v>
      </c>
    </row>
    <row r="75" spans="1:3">
      <c r="A75" s="38"/>
      <c r="B75" s="198"/>
      <c r="C75" s="199">
        <v>0</v>
      </c>
    </row>
    <row r="76" spans="1:3">
      <c r="A76" s="38"/>
      <c r="B76" s="198"/>
      <c r="C76" s="199">
        <v>0</v>
      </c>
    </row>
    <row r="77" spans="1:3">
      <c r="A77" s="38"/>
      <c r="B77" s="198"/>
      <c r="C77" s="199">
        <v>0</v>
      </c>
    </row>
    <row r="78" spans="1:3">
      <c r="A78" s="38"/>
      <c r="B78" s="198"/>
      <c r="C78" s="199">
        <v>0</v>
      </c>
    </row>
    <row r="79" spans="1:3">
      <c r="A79" s="38"/>
      <c r="B79" s="198"/>
      <c r="C79" s="199">
        <v>0</v>
      </c>
    </row>
    <row r="80" spans="1:3">
      <c r="A80" s="215"/>
      <c r="B80" s="216" t="s">
        <v>48</v>
      </c>
      <c r="C80" s="199">
        <f>SUM(C71:C79)</f>
        <v>0</v>
      </c>
    </row>
    <row r="81" spans="1:3">
      <c r="A81" s="195" t="s">
        <v>50</v>
      </c>
      <c r="B81" s="196"/>
      <c r="C81" s="197"/>
    </row>
    <row r="82" spans="1:3">
      <c r="A82" s="36"/>
      <c r="B82" s="198"/>
      <c r="C82" s="37">
        <v>0</v>
      </c>
    </row>
    <row r="83" spans="1:3">
      <c r="A83" s="36"/>
      <c r="B83" s="198"/>
      <c r="C83" s="37">
        <v>0</v>
      </c>
    </row>
    <row r="84" spans="1:3">
      <c r="A84" s="36"/>
      <c r="B84" s="198"/>
      <c r="C84" s="37">
        <v>0</v>
      </c>
    </row>
    <row r="85" spans="1:3">
      <c r="A85" s="38"/>
      <c r="B85" s="198"/>
      <c r="C85" s="37">
        <v>0</v>
      </c>
    </row>
    <row r="86" spans="1:3">
      <c r="A86" s="38"/>
      <c r="B86" s="198"/>
      <c r="C86" s="37">
        <v>0</v>
      </c>
    </row>
    <row r="87" spans="1:3">
      <c r="A87" s="38"/>
      <c r="B87" s="198"/>
      <c r="C87" s="37">
        <v>0</v>
      </c>
    </row>
    <row r="88" spans="1:3">
      <c r="A88" s="38"/>
      <c r="B88" s="198"/>
      <c r="C88" s="37">
        <v>0</v>
      </c>
    </row>
    <row r="89" spans="1:3">
      <c r="A89" s="215"/>
      <c r="B89" s="216" t="s">
        <v>48</v>
      </c>
      <c r="C89" s="37">
        <f>SUM(C82:C88)</f>
        <v>0</v>
      </c>
    </row>
    <row r="90" spans="1:3">
      <c r="A90" s="195" t="s">
        <v>51</v>
      </c>
      <c r="B90" s="196"/>
      <c r="C90" s="197"/>
    </row>
    <row r="91" spans="1:3">
      <c r="A91" s="36"/>
      <c r="B91" s="198"/>
      <c r="C91" s="199">
        <v>0</v>
      </c>
    </row>
    <row r="92" spans="1:3">
      <c r="A92" s="36"/>
      <c r="B92" s="198"/>
      <c r="C92" s="199">
        <v>0</v>
      </c>
    </row>
    <row r="93" ht="20.25" customHeight="1" spans="1:3">
      <c r="A93" s="36"/>
      <c r="B93" s="198"/>
      <c r="C93" s="199">
        <v>0</v>
      </c>
    </row>
    <row r="94" ht="15.75" customHeight="1" spans="1:3">
      <c r="A94" s="38"/>
      <c r="B94" s="198"/>
      <c r="C94" s="199">
        <v>0</v>
      </c>
    </row>
    <row r="95" spans="1:3">
      <c r="A95" s="38"/>
      <c r="B95" s="198"/>
      <c r="C95" s="199">
        <v>0</v>
      </c>
    </row>
    <row r="96" spans="1:3">
      <c r="A96" s="38"/>
      <c r="B96" s="198"/>
      <c r="C96" s="199">
        <v>0</v>
      </c>
    </row>
    <row r="97" spans="1:3">
      <c r="A97" s="38"/>
      <c r="B97" s="198"/>
      <c r="C97" s="199">
        <v>0</v>
      </c>
    </row>
    <row r="98" spans="1:3">
      <c r="A98" s="38"/>
      <c r="B98" s="198"/>
      <c r="C98" s="199">
        <v>0</v>
      </c>
    </row>
    <row r="99" spans="1:3">
      <c r="A99" s="53"/>
      <c r="B99" s="40" t="s">
        <v>48</v>
      </c>
      <c r="C99" s="37">
        <f>SUM(C91:C98)</f>
        <v>0</v>
      </c>
    </row>
    <row r="100" spans="1:3">
      <c r="A100" s="195" t="s">
        <v>52</v>
      </c>
      <c r="B100" s="196"/>
      <c r="C100" s="197"/>
    </row>
    <row r="101" spans="1:3">
      <c r="A101" s="36"/>
      <c r="B101" s="198"/>
      <c r="C101" s="199">
        <v>0</v>
      </c>
    </row>
    <row r="102" spans="1:3">
      <c r="A102" s="36"/>
      <c r="B102" s="198"/>
      <c r="C102" s="199">
        <v>0</v>
      </c>
    </row>
    <row r="103" spans="1:3">
      <c r="A103" s="36"/>
      <c r="B103" s="198"/>
      <c r="C103" s="199">
        <v>0</v>
      </c>
    </row>
    <row r="104" spans="1:3">
      <c r="A104" s="38"/>
      <c r="B104" s="198"/>
      <c r="C104" s="199">
        <v>0</v>
      </c>
    </row>
    <row r="105" spans="1:3">
      <c r="A105" s="38"/>
      <c r="B105" s="198"/>
      <c r="C105" s="199">
        <v>0</v>
      </c>
    </row>
    <row r="106" spans="1:3">
      <c r="A106" s="38"/>
      <c r="B106" s="198"/>
      <c r="C106" s="199">
        <v>0</v>
      </c>
    </row>
    <row r="107" spans="1:3">
      <c r="A107" s="38"/>
      <c r="B107" s="198"/>
      <c r="C107" s="199">
        <v>0</v>
      </c>
    </row>
    <row r="108" spans="1:3">
      <c r="A108" s="38"/>
      <c r="B108" s="198"/>
      <c r="C108" s="199">
        <v>0</v>
      </c>
    </row>
    <row r="109" spans="1:3">
      <c r="A109" s="36"/>
      <c r="B109" s="40" t="s">
        <v>48</v>
      </c>
      <c r="C109" s="199">
        <f>SUM(C101:C108)</f>
        <v>0</v>
      </c>
    </row>
    <row r="110" spans="1:3">
      <c r="A110" s="53"/>
      <c r="B110" s="40" t="s">
        <v>53</v>
      </c>
      <c r="C110" s="199">
        <f>C69+C80+C89+C99+C109</f>
        <v>0</v>
      </c>
    </row>
    <row r="111" spans="1:3">
      <c r="A111" s="195" t="s">
        <v>54</v>
      </c>
      <c r="B111" s="196"/>
      <c r="C111" s="197"/>
    </row>
    <row r="112" spans="1:8">
      <c r="A112" s="36"/>
      <c r="B112" s="198"/>
      <c r="C112" s="37">
        <v>0</v>
      </c>
      <c r="D112" s="15"/>
      <c r="E112" s="93"/>
      <c r="F112" s="15"/>
      <c r="G112" s="15"/>
      <c r="H112" s="15"/>
    </row>
    <row r="113" spans="1:8">
      <c r="A113" s="36"/>
      <c r="B113" s="198"/>
      <c r="C113" s="37">
        <v>0</v>
      </c>
      <c r="D113" s="15"/>
      <c r="E113" s="15"/>
      <c r="F113" s="15"/>
      <c r="G113" s="15"/>
      <c r="H113" s="15"/>
    </row>
    <row r="114" spans="1:8">
      <c r="A114" s="36"/>
      <c r="B114" s="198"/>
      <c r="C114" s="37">
        <v>0</v>
      </c>
      <c r="D114" s="15"/>
      <c r="E114" s="15"/>
      <c r="F114" s="15"/>
      <c r="G114" s="15"/>
      <c r="H114" s="15"/>
    </row>
    <row r="115" spans="1:8">
      <c r="A115" s="38"/>
      <c r="B115" s="198"/>
      <c r="C115" s="37">
        <v>0</v>
      </c>
      <c r="D115" s="15"/>
      <c r="E115" s="15"/>
      <c r="F115" s="15"/>
      <c r="G115" s="15"/>
      <c r="H115" s="15"/>
    </row>
    <row r="116" spans="1:8">
      <c r="A116" s="38"/>
      <c r="B116" s="198"/>
      <c r="C116" s="37">
        <v>0</v>
      </c>
      <c r="D116" s="15"/>
      <c r="E116" s="15"/>
      <c r="F116" s="15"/>
      <c r="G116" s="15"/>
      <c r="H116" s="15"/>
    </row>
    <row r="117" spans="1:8">
      <c r="A117" s="38"/>
      <c r="B117" s="198"/>
      <c r="C117" s="37">
        <v>0</v>
      </c>
      <c r="D117" s="15"/>
      <c r="E117" s="15"/>
      <c r="F117" s="15"/>
      <c r="G117" s="15"/>
      <c r="H117" s="15"/>
    </row>
    <row r="118" spans="1:8">
      <c r="A118" s="38"/>
      <c r="B118" s="198"/>
      <c r="C118" s="37">
        <v>0</v>
      </c>
      <c r="D118" s="15"/>
      <c r="E118" s="15"/>
      <c r="F118" s="15"/>
      <c r="G118" s="15"/>
      <c r="H118" s="15"/>
    </row>
    <row r="119" spans="1:8">
      <c r="A119" s="38"/>
      <c r="B119" s="198"/>
      <c r="C119" s="37">
        <v>0</v>
      </c>
      <c r="D119" s="15"/>
      <c r="E119" s="15"/>
      <c r="F119" s="15"/>
      <c r="G119" s="15"/>
      <c r="H119" s="15"/>
    </row>
    <row r="120" spans="1:8">
      <c r="A120" s="38"/>
      <c r="B120" s="198"/>
      <c r="C120" s="37">
        <v>0</v>
      </c>
      <c r="D120" s="15"/>
      <c r="E120" s="15"/>
      <c r="F120" s="15"/>
      <c r="G120" s="15"/>
      <c r="H120" s="15"/>
    </row>
    <row r="121" spans="1:8">
      <c r="A121" s="38"/>
      <c r="B121" s="198"/>
      <c r="C121" s="37">
        <v>0</v>
      </c>
      <c r="D121" s="15"/>
      <c r="E121" s="15"/>
      <c r="F121" s="15"/>
      <c r="G121" s="15"/>
      <c r="H121" s="15"/>
    </row>
    <row r="122" spans="1:3">
      <c r="A122" s="215"/>
      <c r="B122" s="216" t="s">
        <v>55</v>
      </c>
      <c r="C122" s="37">
        <f>SUM(C112:C121)</f>
        <v>0</v>
      </c>
    </row>
    <row r="123" spans="1:3">
      <c r="A123" s="215"/>
      <c r="B123" s="216" t="s">
        <v>56</v>
      </c>
      <c r="C123" s="37">
        <f>C122+C110</f>
        <v>0</v>
      </c>
    </row>
    <row r="124" spans="5:5">
      <c r="E124" s="217"/>
    </row>
    <row r="125" spans="5:5">
      <c r="E125" s="217"/>
    </row>
    <row r="127" ht="45" customHeight="1"/>
    <row r="128" ht="45" customHeight="1" spans="1:5">
      <c r="A128" s="54" t="str">
        <f>"Debts Or Credits For the Comming "&amp;TEXT(Main!B3,"mmmm dd yyyy")&amp;" to "&amp;IF(Main!B2,TEXT(EDATE(Main!B3,1)-1,"mmmm dd yyyy"),TEXT(Main!B3+Main!B5-Main!B3,"dd mmmm yyyy"))</f>
        <v>Debts Or Credits For the Comming April 11 2025 to May 10 2025</v>
      </c>
      <c r="B128" s="55"/>
      <c r="C128" s="55"/>
      <c r="D128" s="55"/>
      <c r="E128" s="56"/>
    </row>
    <row r="129" ht="45" customHeight="1" spans="1:5">
      <c r="A129" s="54" t="s">
        <v>57</v>
      </c>
      <c r="B129" s="56"/>
      <c r="C129" s="54" t="s">
        <v>44</v>
      </c>
      <c r="D129" s="56"/>
      <c r="E129" s="71" t="s">
        <v>45</v>
      </c>
    </row>
    <row r="130" ht="24.75" customHeight="1" spans="1:5">
      <c r="A130" s="60" t="s">
        <v>52</v>
      </c>
      <c r="B130" s="61"/>
      <c r="C130" s="62" t="s">
        <v>58</v>
      </c>
      <c r="D130" s="63"/>
      <c r="E130" s="73"/>
    </row>
    <row r="131" ht="24.75" customHeight="1" spans="1:8">
      <c r="A131" s="64"/>
      <c r="B131" s="65"/>
      <c r="C131" s="66"/>
      <c r="D131" s="67"/>
      <c r="E131" s="37">
        <v>0</v>
      </c>
      <c r="F131" s="15"/>
      <c r="G131" s="15"/>
      <c r="H131" s="15"/>
    </row>
    <row r="132" ht="24.75" customHeight="1" spans="1:8">
      <c r="A132" s="64"/>
      <c r="B132" s="65"/>
      <c r="C132" s="66"/>
      <c r="D132" s="67"/>
      <c r="E132" s="37">
        <v>0</v>
      </c>
      <c r="F132" s="15"/>
      <c r="G132" s="15"/>
      <c r="H132" s="15"/>
    </row>
    <row r="133" ht="24.75" customHeight="1" spans="1:8">
      <c r="A133" s="64"/>
      <c r="B133" s="65"/>
      <c r="C133" s="66"/>
      <c r="D133" s="67"/>
      <c r="E133" s="37">
        <v>0</v>
      </c>
      <c r="F133" s="15"/>
      <c r="G133" s="15"/>
      <c r="H133" s="15"/>
    </row>
    <row r="134" ht="24.75" customHeight="1" spans="1:8">
      <c r="A134" s="64"/>
      <c r="B134" s="65"/>
      <c r="C134" s="66"/>
      <c r="D134" s="67"/>
      <c r="E134" s="37">
        <v>0</v>
      </c>
      <c r="F134" s="15"/>
      <c r="G134" s="15"/>
      <c r="H134" s="15"/>
    </row>
    <row r="135" ht="24.75" customHeight="1" spans="1:8">
      <c r="A135" s="64"/>
      <c r="B135" s="65"/>
      <c r="C135" s="66"/>
      <c r="D135" s="67"/>
      <c r="E135" s="37">
        <v>0</v>
      </c>
      <c r="F135" s="15"/>
      <c r="G135" s="15"/>
      <c r="H135" s="15"/>
    </row>
    <row r="136" ht="24.75" customHeight="1" spans="1:8">
      <c r="A136" s="64"/>
      <c r="B136" s="65"/>
      <c r="C136" s="66"/>
      <c r="D136" s="67"/>
      <c r="E136" s="37">
        <v>0</v>
      </c>
      <c r="F136" s="15"/>
      <c r="G136" s="15"/>
      <c r="H136" s="15"/>
    </row>
    <row r="137" ht="24.75" customHeight="1" spans="1:8">
      <c r="A137" s="64"/>
      <c r="B137" s="65"/>
      <c r="C137" s="66"/>
      <c r="D137" s="67"/>
      <c r="E137" s="37">
        <v>0</v>
      </c>
      <c r="F137" s="15"/>
      <c r="G137" s="15"/>
      <c r="H137" s="15"/>
    </row>
    <row r="138" ht="24.75" customHeight="1" spans="1:8">
      <c r="A138" s="64"/>
      <c r="B138" s="65"/>
      <c r="C138" s="66"/>
      <c r="D138" s="67"/>
      <c r="E138" s="37">
        <v>0</v>
      </c>
      <c r="F138" s="15"/>
      <c r="G138" s="15"/>
      <c r="H138" s="15"/>
    </row>
    <row r="139" ht="24.75" customHeight="1" spans="1:8">
      <c r="A139" s="64"/>
      <c r="B139" s="65"/>
      <c r="C139" s="66"/>
      <c r="D139" s="67"/>
      <c r="E139" s="37">
        <v>0</v>
      </c>
      <c r="F139" s="15"/>
      <c r="G139" s="15"/>
      <c r="H139" s="15"/>
    </row>
    <row r="140" ht="24.75" customHeight="1" spans="1:8">
      <c r="A140" s="64"/>
      <c r="B140" s="65"/>
      <c r="C140" s="66"/>
      <c r="D140" s="67"/>
      <c r="E140" s="37">
        <v>0</v>
      </c>
      <c r="F140" s="15"/>
      <c r="G140" s="15"/>
      <c r="H140" s="15"/>
    </row>
    <row r="141" ht="24.75" customHeight="1" spans="1:5">
      <c r="A141" s="64"/>
      <c r="B141" s="65"/>
      <c r="C141" s="68" t="s">
        <v>59</v>
      </c>
      <c r="D141" s="63"/>
      <c r="E141" s="73"/>
    </row>
    <row r="142" ht="45" customHeight="1" spans="1:5">
      <c r="A142" s="64"/>
      <c r="B142" s="65"/>
      <c r="C142" s="74"/>
      <c r="D142" s="75"/>
      <c r="E142" s="88">
        <v>0</v>
      </c>
    </row>
    <row r="143" ht="24.75" customHeight="1" spans="1:5">
      <c r="A143" s="64"/>
      <c r="B143" s="65"/>
      <c r="C143" s="66"/>
      <c r="D143" s="67"/>
      <c r="E143" s="88">
        <v>0</v>
      </c>
    </row>
    <row r="144" ht="24.75" customHeight="1" spans="1:5">
      <c r="A144" s="64"/>
      <c r="B144" s="65"/>
      <c r="C144" s="66"/>
      <c r="D144" s="67"/>
      <c r="E144" s="88">
        <v>0</v>
      </c>
    </row>
    <row r="145" ht="24" customHeight="1" spans="1:5">
      <c r="A145" s="64"/>
      <c r="B145" s="65"/>
      <c r="C145" s="66"/>
      <c r="D145" s="67"/>
      <c r="E145" s="88">
        <v>0</v>
      </c>
    </row>
    <row r="146" ht="24.75" customHeight="1" spans="1:5">
      <c r="A146" s="64"/>
      <c r="B146" s="65"/>
      <c r="C146" s="66"/>
      <c r="D146" s="67"/>
      <c r="E146" s="88">
        <v>0</v>
      </c>
    </row>
    <row r="147" ht="24.75" customHeight="1" spans="1:5">
      <c r="A147" s="76"/>
      <c r="B147" s="77"/>
      <c r="C147" s="66"/>
      <c r="D147" s="67"/>
      <c r="E147" s="88">
        <v>0</v>
      </c>
    </row>
    <row r="148" ht="24.75" customHeight="1" spans="1:5">
      <c r="A148" s="57" t="s">
        <v>60</v>
      </c>
      <c r="B148" s="78"/>
      <c r="C148" s="79"/>
      <c r="D148" s="80"/>
      <c r="E148" s="88">
        <f>C110</f>
        <v>0</v>
      </c>
    </row>
    <row r="149" ht="45" customHeight="1" spans="1:5">
      <c r="A149" s="81"/>
      <c r="B149" s="82"/>
      <c r="C149" s="83" t="s">
        <v>61</v>
      </c>
      <c r="D149" s="83"/>
      <c r="E149" s="89">
        <f>F30-(SUM(E131:E140)+SUM(E142:E148))</f>
        <v>0</v>
      </c>
    </row>
    <row r="150" ht="21.75" customHeight="1"/>
    <row r="154" ht="24.75" customHeight="1" spans="1:5">
      <c r="A154" s="54" t="str">
        <f>"Debts Or Credits For the Comming "&amp;IF(Main!B2,TEXT(EDATE(Main!B3,1),"mmmm dd yyyy"),TEXT(Main!B3+(Main!B5-Main!B3)+1,"mmmm dd yyyy"))&amp;" to "&amp;IF(Main!B2,TEXT(EDATE(Main!B3,2)-1,"dd mmmm yyyy"),TEXT(Main!B3+(Main!B5-Main!B3)*2+1,"dd mmmm yyyy"))</f>
        <v>Debts Or Credits For the Comming May 11 2025 to 10 June 2025</v>
      </c>
      <c r="B154" s="55"/>
      <c r="C154" s="55"/>
      <c r="D154" s="55"/>
      <c r="E154" s="56"/>
    </row>
    <row r="155" ht="24.75" customHeight="1" spans="1:5">
      <c r="A155" s="54" t="s">
        <v>57</v>
      </c>
      <c r="B155" s="56"/>
      <c r="C155" s="84" t="s">
        <v>44</v>
      </c>
      <c r="D155" s="85"/>
      <c r="E155" s="90" t="s">
        <v>45</v>
      </c>
    </row>
    <row r="156" ht="24.75" customHeight="1" spans="1:5">
      <c r="A156" s="57" t="str">
        <f>"Balance Brought Forward From "&amp;IF(Main!B2,TEXT(EDATE(Main!B3,1)-1,"mmmm yyyy"),TEXT(Main!B3+Main!B5-Main!B3,"mmmm yyyy"))</f>
        <v>Balance Brought Forward From May 2025</v>
      </c>
      <c r="B156" s="58"/>
      <c r="C156" s="218"/>
      <c r="D156" s="218"/>
      <c r="E156" s="89">
        <f>E149</f>
        <v>0</v>
      </c>
    </row>
    <row r="157" ht="24.75" customHeight="1" spans="1:5">
      <c r="A157" s="60" t="s">
        <v>52</v>
      </c>
      <c r="B157" s="61"/>
      <c r="C157" s="86" t="s">
        <v>58</v>
      </c>
      <c r="D157" s="87"/>
      <c r="E157" s="91"/>
    </row>
    <row r="158" ht="24.75" customHeight="1" spans="1:8">
      <c r="A158" s="64"/>
      <c r="B158" s="65"/>
      <c r="C158" s="66"/>
      <c r="D158" s="67"/>
      <c r="E158" s="37">
        <v>0</v>
      </c>
      <c r="F158" s="15"/>
      <c r="G158" s="15"/>
      <c r="H158" s="15"/>
    </row>
    <row r="159" ht="24.75" customHeight="1" spans="1:8">
      <c r="A159" s="64"/>
      <c r="B159" s="65"/>
      <c r="C159" s="66"/>
      <c r="D159" s="67"/>
      <c r="E159" s="37">
        <v>0</v>
      </c>
      <c r="F159" s="15"/>
      <c r="G159" s="15"/>
      <c r="H159" s="15"/>
    </row>
    <row r="160" ht="24.75" customHeight="1" spans="1:8">
      <c r="A160" s="64"/>
      <c r="B160" s="65"/>
      <c r="C160" s="66"/>
      <c r="D160" s="67"/>
      <c r="E160" s="37">
        <v>0</v>
      </c>
      <c r="F160" s="15"/>
      <c r="G160" s="15"/>
      <c r="H160" s="15"/>
    </row>
    <row r="161" ht="24.75" customHeight="1" spans="1:8">
      <c r="A161" s="64"/>
      <c r="B161" s="65"/>
      <c r="C161" s="66"/>
      <c r="D161" s="67"/>
      <c r="E161" s="37">
        <v>0</v>
      </c>
      <c r="F161" s="15"/>
      <c r="G161" s="15"/>
      <c r="H161" s="15"/>
    </row>
    <row r="162" ht="24.75" customHeight="1" spans="1:8">
      <c r="A162" s="64"/>
      <c r="B162" s="65"/>
      <c r="C162" s="66"/>
      <c r="D162" s="67"/>
      <c r="E162" s="37">
        <v>0</v>
      </c>
      <c r="F162" s="15"/>
      <c r="G162" s="15"/>
      <c r="H162" s="15"/>
    </row>
    <row r="163" ht="24.75" customHeight="1" spans="1:8">
      <c r="A163" s="64"/>
      <c r="B163" s="65"/>
      <c r="C163" s="66"/>
      <c r="D163" s="67"/>
      <c r="E163" s="37">
        <v>0</v>
      </c>
      <c r="F163" s="15"/>
      <c r="G163" s="15"/>
      <c r="H163" s="15"/>
    </row>
    <row r="164" ht="22.5" customHeight="1" spans="1:8">
      <c r="A164" s="64"/>
      <c r="B164" s="65"/>
      <c r="C164" s="66"/>
      <c r="D164" s="67"/>
      <c r="E164" s="37">
        <v>0</v>
      </c>
      <c r="F164" s="15"/>
      <c r="G164" s="15"/>
      <c r="H164" s="15"/>
    </row>
    <row r="165" ht="24.75" customHeight="1" spans="1:8">
      <c r="A165" s="64"/>
      <c r="B165" s="65"/>
      <c r="C165" s="66"/>
      <c r="D165" s="67"/>
      <c r="E165" s="37">
        <v>0</v>
      </c>
      <c r="F165" s="15"/>
      <c r="G165" s="15"/>
      <c r="H165" s="15"/>
    </row>
    <row r="166" ht="24.75" customHeight="1" spans="1:8">
      <c r="A166" s="64"/>
      <c r="B166" s="65"/>
      <c r="C166" s="66"/>
      <c r="D166" s="67"/>
      <c r="E166" s="37">
        <v>0</v>
      </c>
      <c r="F166" s="15"/>
      <c r="G166" s="15"/>
      <c r="H166" s="15"/>
    </row>
    <row r="167" ht="24.75" customHeight="1" spans="1:8">
      <c r="A167" s="64"/>
      <c r="B167" s="65"/>
      <c r="C167" s="66"/>
      <c r="D167" s="67"/>
      <c r="E167" s="37">
        <v>0</v>
      </c>
      <c r="F167" s="15"/>
      <c r="G167" s="15"/>
      <c r="H167" s="15"/>
    </row>
    <row r="168" ht="24.75" customHeight="1" spans="1:5">
      <c r="A168" s="64"/>
      <c r="B168" s="65"/>
      <c r="C168" s="68" t="s">
        <v>59</v>
      </c>
      <c r="D168" s="63"/>
      <c r="E168" s="73"/>
    </row>
    <row r="169" ht="24.75" customHeight="1" spans="1:5">
      <c r="A169" s="64"/>
      <c r="B169" s="65"/>
      <c r="C169" s="74"/>
      <c r="D169" s="75"/>
      <c r="E169" s="88">
        <v>0</v>
      </c>
    </row>
    <row r="170" ht="24.75" customHeight="1" spans="1:5">
      <c r="A170" s="64"/>
      <c r="B170" s="65"/>
      <c r="C170" s="66"/>
      <c r="D170" s="67"/>
      <c r="E170" s="88">
        <v>0</v>
      </c>
    </row>
    <row r="171" ht="24.75" customHeight="1" spans="1:5">
      <c r="A171" s="64"/>
      <c r="B171" s="65"/>
      <c r="C171" s="66"/>
      <c r="D171" s="67"/>
      <c r="E171" s="88">
        <v>0</v>
      </c>
    </row>
    <row r="172" ht="24.75" customHeight="1" spans="1:5">
      <c r="A172" s="64"/>
      <c r="B172" s="65"/>
      <c r="C172" s="66"/>
      <c r="D172" s="67"/>
      <c r="E172" s="88">
        <v>0</v>
      </c>
    </row>
    <row r="173" ht="24.75" customHeight="1" spans="1:5">
      <c r="A173" s="64"/>
      <c r="B173" s="65"/>
      <c r="C173" s="66"/>
      <c r="D173" s="67"/>
      <c r="E173" s="88">
        <v>0</v>
      </c>
    </row>
    <row r="174" ht="24.75" customHeight="1" spans="1:5">
      <c r="A174" s="76"/>
      <c r="B174" s="77"/>
      <c r="C174" s="66"/>
      <c r="D174" s="67"/>
      <c r="E174" s="88">
        <v>0</v>
      </c>
    </row>
    <row r="175" ht="24.75" customHeight="1" spans="1:5">
      <c r="A175" s="57" t="s">
        <v>60</v>
      </c>
      <c r="B175" s="78"/>
      <c r="C175" s="79"/>
      <c r="D175" s="80"/>
      <c r="E175" s="88">
        <f>C110</f>
        <v>0</v>
      </c>
    </row>
    <row r="176" ht="24.75" customHeight="1" spans="1:5">
      <c r="A176" s="81"/>
      <c r="B176" s="82"/>
      <c r="C176" s="83" t="s">
        <v>61</v>
      </c>
      <c r="D176" s="83"/>
      <c r="E176" s="92">
        <f>(F42+E156)-(SUM(E158:E167)+SUM(E169:E175))</f>
        <v>0</v>
      </c>
    </row>
    <row r="180" ht="24.75" customHeight="1"/>
    <row r="181" ht="24.75" customHeight="1" spans="1:5">
      <c r="A181" s="54" t="str">
        <f>"Debts Or Credits For the Comming "&amp;IF(Main!B2,TEXT(EDATE(Main!B3,2),"dd mmmm yyyy"),TEXT(Main!B3+((Main!B5-Main!B3)*2)+2,"dd mmmm yyyy"))&amp;" to "&amp;IF(Main!B2,TEXT(EDATE(Main!B3,3)-1,"dd mmmm yyyy"),TEXT(Main!B3+((Main!B5-Main!B3)*3+2),"dd mmmm yyyy"))</f>
        <v>Debts Or Credits For the Comming 11 June 2025 to 10 July 2025</v>
      </c>
      <c r="B181" s="55"/>
      <c r="C181" s="55"/>
      <c r="D181" s="55"/>
      <c r="E181" s="56"/>
    </row>
    <row r="182" ht="24.75" customHeight="1" spans="1:5">
      <c r="A182" s="54" t="s">
        <v>57</v>
      </c>
      <c r="B182" s="56"/>
      <c r="C182" s="84" t="s">
        <v>44</v>
      </c>
      <c r="D182" s="85"/>
      <c r="E182" s="90" t="s">
        <v>45</v>
      </c>
    </row>
    <row r="183" ht="24.75" customHeight="1" spans="1:5">
      <c r="A183" s="57" t="str">
        <f>"Balance Brought Forward From "&amp;IF(Main!B2,TEXT(EDATE(Main!B3,2)-1,"mmmm yyyy"),TEXT(Main!B3+(Main!B5-Main!B3)*2+1,"mmmm yyyy"))</f>
        <v>Balance Brought Forward From June 2025</v>
      </c>
      <c r="B183" s="58"/>
      <c r="C183" s="218"/>
      <c r="D183" s="218"/>
      <c r="E183" s="92">
        <f>E176</f>
        <v>0</v>
      </c>
    </row>
    <row r="184" ht="24.75" customHeight="1" spans="1:5">
      <c r="A184" s="60" t="s">
        <v>52</v>
      </c>
      <c r="B184" s="61"/>
      <c r="C184" s="86" t="s">
        <v>58</v>
      </c>
      <c r="D184" s="87"/>
      <c r="E184" s="91"/>
    </row>
    <row r="185" ht="24.75" customHeight="1" spans="1:8">
      <c r="A185" s="64"/>
      <c r="B185" s="65"/>
      <c r="C185" s="66"/>
      <c r="D185" s="67"/>
      <c r="E185" s="37">
        <v>0</v>
      </c>
      <c r="F185" s="15"/>
      <c r="G185" s="15"/>
      <c r="H185" s="15"/>
    </row>
    <row r="186" ht="24.75" customHeight="1" spans="1:8">
      <c r="A186" s="64"/>
      <c r="B186" s="65"/>
      <c r="C186" s="66"/>
      <c r="D186" s="67"/>
      <c r="E186" s="37">
        <v>0</v>
      </c>
      <c r="F186" s="15"/>
      <c r="G186" s="15"/>
      <c r="H186" s="15"/>
    </row>
    <row r="187" ht="24.75" customHeight="1" spans="1:8">
      <c r="A187" s="64"/>
      <c r="B187" s="65"/>
      <c r="C187" s="66"/>
      <c r="D187" s="67"/>
      <c r="E187" s="37">
        <v>0</v>
      </c>
      <c r="F187" s="15"/>
      <c r="G187" s="15"/>
      <c r="H187" s="15"/>
    </row>
    <row r="188" ht="24.75" customHeight="1" spans="1:8">
      <c r="A188" s="64"/>
      <c r="B188" s="65"/>
      <c r="C188" s="66"/>
      <c r="D188" s="67"/>
      <c r="E188" s="37">
        <v>0</v>
      </c>
      <c r="F188" s="15"/>
      <c r="G188" s="15"/>
      <c r="H188" s="15"/>
    </row>
    <row r="189" ht="24.75" customHeight="1" spans="1:8">
      <c r="A189" s="64"/>
      <c r="B189" s="65"/>
      <c r="C189" s="66"/>
      <c r="D189" s="67"/>
      <c r="E189" s="37">
        <v>0</v>
      </c>
      <c r="F189" s="15"/>
      <c r="G189" s="15"/>
      <c r="H189" s="15"/>
    </row>
    <row r="190" ht="24.75" customHeight="1" spans="1:8">
      <c r="A190" s="64"/>
      <c r="B190" s="65"/>
      <c r="C190" s="66"/>
      <c r="D190" s="67"/>
      <c r="E190" s="37">
        <v>0</v>
      </c>
      <c r="F190" s="15"/>
      <c r="G190" s="15"/>
      <c r="H190" s="15"/>
    </row>
    <row r="191" ht="24.75" customHeight="1" spans="1:8">
      <c r="A191" s="64"/>
      <c r="B191" s="65"/>
      <c r="C191" s="66"/>
      <c r="D191" s="67"/>
      <c r="E191" s="37">
        <v>0</v>
      </c>
      <c r="F191" s="15"/>
      <c r="G191" s="15"/>
      <c r="H191" s="15"/>
    </row>
    <row r="192" ht="24.75" customHeight="1" spans="1:8">
      <c r="A192" s="64"/>
      <c r="B192" s="65"/>
      <c r="C192" s="66"/>
      <c r="D192" s="67"/>
      <c r="E192" s="37">
        <v>0</v>
      </c>
      <c r="F192" s="15"/>
      <c r="G192" s="15"/>
      <c r="H192" s="15"/>
    </row>
    <row r="193" ht="24.75" customHeight="1" spans="1:8">
      <c r="A193" s="64"/>
      <c r="B193" s="65"/>
      <c r="C193" s="66"/>
      <c r="D193" s="67"/>
      <c r="E193" s="37">
        <v>0</v>
      </c>
      <c r="F193" s="15"/>
      <c r="G193" s="15"/>
      <c r="H193" s="15"/>
    </row>
    <row r="194" ht="24.75" customHeight="1" spans="1:8">
      <c r="A194" s="64"/>
      <c r="B194" s="65"/>
      <c r="C194" s="66"/>
      <c r="D194" s="67"/>
      <c r="E194" s="37">
        <v>0</v>
      </c>
      <c r="F194" s="15"/>
      <c r="G194" s="15"/>
      <c r="H194" s="15"/>
    </row>
    <row r="195" ht="24.75" customHeight="1" spans="1:5">
      <c r="A195" s="64"/>
      <c r="B195" s="65"/>
      <c r="C195" s="68" t="s">
        <v>59</v>
      </c>
      <c r="D195" s="63"/>
      <c r="E195" s="73"/>
    </row>
    <row r="196" ht="24.75" customHeight="1" spans="1:5">
      <c r="A196" s="64"/>
      <c r="B196" s="65"/>
      <c r="C196" s="74"/>
      <c r="D196" s="75"/>
      <c r="E196" s="88">
        <v>0</v>
      </c>
    </row>
    <row r="197" ht="24.75" customHeight="1" spans="1:5">
      <c r="A197" s="64"/>
      <c r="B197" s="65"/>
      <c r="C197" s="66"/>
      <c r="D197" s="67"/>
      <c r="E197" s="88">
        <v>0</v>
      </c>
    </row>
    <row r="198" ht="24.75" customHeight="1" spans="1:5">
      <c r="A198" s="64"/>
      <c r="B198" s="65"/>
      <c r="C198" s="66"/>
      <c r="D198" s="67"/>
      <c r="E198" s="88">
        <v>0</v>
      </c>
    </row>
    <row r="199" ht="24.75" customHeight="1" spans="1:5">
      <c r="A199" s="64"/>
      <c r="B199" s="65"/>
      <c r="C199" s="66"/>
      <c r="D199" s="67"/>
      <c r="E199" s="88">
        <v>0</v>
      </c>
    </row>
    <row r="200" ht="24.75" customHeight="1" spans="1:5">
      <c r="A200" s="64"/>
      <c r="B200" s="65"/>
      <c r="C200" s="66"/>
      <c r="D200" s="67"/>
      <c r="E200" s="88">
        <v>0</v>
      </c>
    </row>
    <row r="201" ht="24.75" customHeight="1" spans="1:5">
      <c r="A201" s="76"/>
      <c r="B201" s="77"/>
      <c r="C201" s="66"/>
      <c r="D201" s="67"/>
      <c r="E201" s="88">
        <v>0</v>
      </c>
    </row>
    <row r="202" ht="24.75" customHeight="1" spans="1:5">
      <c r="A202" s="57" t="s">
        <v>60</v>
      </c>
      <c r="B202" s="78"/>
      <c r="C202" s="79"/>
      <c r="D202" s="80"/>
      <c r="E202" s="88">
        <f>C110</f>
        <v>0</v>
      </c>
    </row>
    <row r="203" ht="24.75" customHeight="1" spans="1:5">
      <c r="A203" s="81"/>
      <c r="B203" s="82"/>
      <c r="C203" s="83" t="s">
        <v>61</v>
      </c>
      <c r="D203" s="83"/>
      <c r="E203" s="92">
        <f>(F54+E183)-(SUM(E185:E194)+SUM(E196:E202))</f>
        <v>0</v>
      </c>
    </row>
    <row r="204" ht="24.75" customHeight="1"/>
  </sheetData>
  <sheetProtection sheet="1" formatCells="0" formatColumns="0" formatRows="0" objects="1"/>
  <protectedRanges>
    <protectedRange sqref="C3:C15 F3:F15 A24:G29 A36:G41 A48:G53 A61:C68 A71:C79 A82:C88 A91:C98 A101:C108 A112:C121 C131:E140 C142:E147 C158:E167 C185:E194 C196:E201" name="Values"/>
    <protectedRange sqref="B3:B15 E3:E15" name="Label"/>
    <protectedRange sqref="A60 A70 A81 A90 A100 A111" name="SubHeader"/>
  </protectedRanges>
  <mergeCells count="171">
    <mergeCell ref="A1:F1"/>
    <mergeCell ref="I1:J1"/>
    <mergeCell ref="M1:N1"/>
    <mergeCell ref="A2:C2"/>
    <mergeCell ref="D2:F2"/>
    <mergeCell ref="A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A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A46:G46"/>
    <mergeCell ref="B47:C47"/>
    <mergeCell ref="D47:E47"/>
    <mergeCell ref="F47:G47"/>
    <mergeCell ref="B48:C48"/>
    <mergeCell ref="D48:E48"/>
    <mergeCell ref="F48:G48"/>
    <mergeCell ref="B49:C49"/>
    <mergeCell ref="D49:E49"/>
    <mergeCell ref="F49:G49"/>
    <mergeCell ref="B50:C50"/>
    <mergeCell ref="D50:E50"/>
    <mergeCell ref="F50:G50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  <mergeCell ref="F54:G54"/>
    <mergeCell ref="A58:C58"/>
    <mergeCell ref="A60:C60"/>
    <mergeCell ref="A70:C70"/>
    <mergeCell ref="A81:C81"/>
    <mergeCell ref="A90:C90"/>
    <mergeCell ref="A100:C100"/>
    <mergeCell ref="A111:C111"/>
    <mergeCell ref="A128:E128"/>
    <mergeCell ref="A129:B129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A148:B148"/>
    <mergeCell ref="C148:D148"/>
    <mergeCell ref="A149:B149"/>
    <mergeCell ref="C149:D149"/>
    <mergeCell ref="A154:E154"/>
    <mergeCell ref="A155:B155"/>
    <mergeCell ref="C155:D155"/>
    <mergeCell ref="A156:B156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A175:B175"/>
    <mergeCell ref="C175:D175"/>
    <mergeCell ref="A176:B176"/>
    <mergeCell ref="C176:D176"/>
    <mergeCell ref="A181:E181"/>
    <mergeCell ref="A182:B182"/>
    <mergeCell ref="C182:D182"/>
    <mergeCell ref="A183:B183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A202:B202"/>
    <mergeCell ref="C202:D202"/>
    <mergeCell ref="A203:B203"/>
    <mergeCell ref="C203:D203"/>
    <mergeCell ref="A3:A16"/>
    <mergeCell ref="D3:D16"/>
    <mergeCell ref="A130:B147"/>
    <mergeCell ref="A157:B174"/>
    <mergeCell ref="A184:B201"/>
  </mergeCells>
  <conditionalFormatting sqref="N3">
    <cfRule type="cellIs" dxfId="0" priority="5" operator="greaterThanOrEqual">
      <formula>0</formula>
    </cfRule>
  </conditionalFormatting>
  <conditionalFormatting sqref="C89">
    <cfRule type="cellIs" dxfId="1" priority="78" operator="equal">
      <formula>0</formula>
    </cfRule>
    <cfRule type="cellIs" dxfId="2" priority="77" operator="greaterThan">
      <formula>0</formula>
    </cfRule>
  </conditionalFormatting>
  <conditionalFormatting sqref="C91">
    <cfRule type="cellIs" dxfId="1" priority="76" operator="equal">
      <formula>0</formula>
    </cfRule>
    <cfRule type="cellIs" dxfId="2" priority="75" operator="greaterThan">
      <formula>0</formula>
    </cfRule>
  </conditionalFormatting>
  <conditionalFormatting sqref="C112">
    <cfRule type="cellIs" dxfId="0" priority="16" operator="lessThanOrEqual">
      <formula>0</formula>
    </cfRule>
  </conditionalFormatting>
  <conditionalFormatting sqref="E149">
    <cfRule type="cellIs" dxfId="3" priority="62" operator="greaterThanOrEqual">
      <formula>0</formula>
    </cfRule>
    <cfRule type="cellIs" dxfId="4" priority="61" operator="lessThan">
      <formula>0</formula>
    </cfRule>
  </conditionalFormatting>
  <conditionalFormatting sqref="E156">
    <cfRule type="cellIs" dxfId="3" priority="41" operator="greaterThanOrEqual">
      <formula>0</formula>
    </cfRule>
    <cfRule type="cellIs" dxfId="4" priority="40" operator="lessThan">
      <formula>0</formula>
    </cfRule>
  </conditionalFormatting>
  <conditionalFormatting sqref="E176">
    <cfRule type="cellIs" dxfId="3" priority="45" operator="greaterThanOrEqual">
      <formula>0</formula>
    </cfRule>
    <cfRule type="cellIs" dxfId="4" priority="44" operator="lessThan">
      <formula>0</formula>
    </cfRule>
  </conditionalFormatting>
  <conditionalFormatting sqref="E183">
    <cfRule type="cellIs" dxfId="3" priority="35" operator="greaterThanOrEqual">
      <formula>0</formula>
    </cfRule>
    <cfRule type="cellIs" dxfId="4" priority="34" operator="lessThan">
      <formula>0</formula>
    </cfRule>
  </conditionalFormatting>
  <conditionalFormatting sqref="E203">
    <cfRule type="cellIs" dxfId="3" priority="37" operator="greaterThanOrEqual">
      <formula>0</formula>
    </cfRule>
    <cfRule type="cellIs" dxfId="4" priority="36" operator="lessThan">
      <formula>0</formula>
    </cfRule>
  </conditionalFormatting>
  <conditionalFormatting sqref="C71:C80">
    <cfRule type="cellIs" dxfId="1" priority="82" operator="equal">
      <formula>0</formula>
    </cfRule>
    <cfRule type="cellIs" dxfId="2" priority="81" operator="greaterThan">
      <formula>0</formula>
    </cfRule>
  </conditionalFormatting>
  <conditionalFormatting sqref="C82:C83">
    <cfRule type="cellIs" dxfId="1" priority="80" operator="equal">
      <formula>0</formula>
    </cfRule>
    <cfRule type="cellIs" dxfId="2" priority="79" operator="greaterThan">
      <formula>0</formula>
    </cfRule>
  </conditionalFormatting>
  <conditionalFormatting sqref="C84:C88">
    <cfRule type="cellIs" dxfId="1" priority="60" operator="equal">
      <formula>0</formula>
    </cfRule>
    <cfRule type="cellIs" dxfId="2" priority="59" operator="greaterThan">
      <formula>0</formula>
    </cfRule>
  </conditionalFormatting>
  <conditionalFormatting sqref="C94:C98">
    <cfRule type="cellIs" dxfId="1" priority="58" operator="equal">
      <formula>0</formula>
    </cfRule>
    <cfRule type="cellIs" dxfId="2" priority="57" operator="greaterThan">
      <formula>0</formula>
    </cfRule>
  </conditionalFormatting>
  <conditionalFormatting sqref="C101:C103">
    <cfRule type="cellIs" dxfId="1" priority="72" operator="equal">
      <formula>0</formula>
    </cfRule>
    <cfRule type="cellIs" dxfId="2" priority="71" operator="greaterThan">
      <formula>0</formula>
    </cfRule>
  </conditionalFormatting>
  <conditionalFormatting sqref="C104:C105">
    <cfRule type="cellIs" dxfId="1" priority="23" operator="equal">
      <formula>0</formula>
    </cfRule>
    <cfRule type="cellIs" dxfId="2" priority="22" operator="greaterThan">
      <formula>0</formula>
    </cfRule>
  </conditionalFormatting>
  <conditionalFormatting sqref="C106:C108">
    <cfRule type="cellIs" dxfId="1" priority="56" operator="equal">
      <formula>0</formula>
    </cfRule>
    <cfRule type="cellIs" dxfId="2" priority="55" operator="greaterThan">
      <formula>0</formula>
    </cfRule>
  </conditionalFormatting>
  <conditionalFormatting sqref="C112:C121">
    <cfRule type="cellIs" dxfId="2" priority="32" operator="greaterThan">
      <formula>0</formula>
    </cfRule>
  </conditionalFormatting>
  <conditionalFormatting sqref="C113:C121">
    <cfRule type="cellIs" dxfId="0" priority="6" operator="lessThanOrEqual">
      <formula>0</formula>
    </cfRule>
  </conditionalFormatting>
  <conditionalFormatting sqref="C122:C123">
    <cfRule type="cellIs" dxfId="2" priority="13" operator="greaterThan">
      <formula>0</formula>
    </cfRule>
    <cfRule type="cellIs" dxfId="0" priority="12" operator="lessThanOrEqual">
      <formula>0</formula>
    </cfRule>
  </conditionalFormatting>
  <conditionalFormatting sqref="E131:E140">
    <cfRule type="cellIs" dxfId="1" priority="31" operator="lessThanOrEqual">
      <formula>0</formula>
    </cfRule>
    <cfRule type="cellIs" dxfId="2" priority="30" operator="greaterThan">
      <formula>0</formula>
    </cfRule>
  </conditionalFormatting>
  <conditionalFormatting sqref="E158:E167">
    <cfRule type="cellIs" dxfId="1" priority="10" operator="lessThanOrEqual">
      <formula>0</formula>
    </cfRule>
    <cfRule type="cellIs" dxfId="2" priority="9" operator="greaterThan">
      <formula>0</formula>
    </cfRule>
  </conditionalFormatting>
  <conditionalFormatting sqref="E185:E194">
    <cfRule type="cellIs" dxfId="1" priority="8" operator="lessThanOrEqual">
      <formula>0</formula>
    </cfRule>
    <cfRule type="cellIs" dxfId="2" priority="7" operator="greaterThan">
      <formula>0</formula>
    </cfRule>
  </conditionalFormatting>
  <conditionalFormatting sqref="J3:J50">
    <cfRule type="cellIs" dxfId="5" priority="25" operator="greaterThanOrEqual">
      <formula>0</formula>
    </cfRule>
  </conditionalFormatting>
  <conditionalFormatting sqref="N3:N18">
    <cfRule type="cellIs" dxfId="2" priority="24" operator="lessThan">
      <formula>0</formula>
    </cfRule>
  </conditionalFormatting>
  <conditionalFormatting sqref="N4:N18">
    <cfRule type="cellIs" dxfId="0" priority="3" operator="greaterThanOrEqual">
      <formula>0</formula>
    </cfRule>
  </conditionalFormatting>
  <conditionalFormatting sqref="C61:C69 C99 C92:C93 C109:C110">
    <cfRule type="cellIs" dxfId="1" priority="84" operator="equal">
      <formula>0</formula>
    </cfRule>
    <cfRule type="cellIs" dxfId="2" priority="83" operator="greaterThan">
      <formula>0</formula>
    </cfRule>
  </conditionalFormatting>
  <conditionalFormatting sqref="E130 E141:E148">
    <cfRule type="cellIs" dxfId="1" priority="64" operator="equal">
      <formula>0</formula>
    </cfRule>
    <cfRule type="cellIs" dxfId="2" priority="63" operator="greaterThan">
      <formula>0</formula>
    </cfRule>
  </conditionalFormatting>
  <conditionalFormatting sqref="E157 E168:E175">
    <cfRule type="cellIs" dxfId="5" priority="47" operator="equal">
      <formula>0</formula>
    </cfRule>
    <cfRule type="cellIs" dxfId="2" priority="46" operator="greaterThan">
      <formula>0</formula>
    </cfRule>
  </conditionalFormatting>
  <conditionalFormatting sqref="E184 E195:E202">
    <cfRule type="cellIs" dxfId="5" priority="39" operator="equal">
      <formula>0</formula>
    </cfRule>
    <cfRule type="cellIs" dxfId="2" priority="38" operator="greaterThan">
      <formula>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3" workbookViewId="0">
      <selection activeCell="C98" sqref="C98"/>
    </sheetView>
  </sheetViews>
  <sheetFormatPr defaultColWidth="9" defaultRowHeight="17.6"/>
  <cols>
    <col min="1" max="1" width="25" style="44" customWidth="1"/>
    <col min="2" max="2" width="20.625" style="44" customWidth="1"/>
    <col min="3" max="3" width="24.875" style="44" customWidth="1"/>
    <col min="4" max="6" width="20.625" style="44" customWidth="1"/>
    <col min="7" max="7" width="9" style="44"/>
    <col min="8" max="9" width="20.625" style="44" customWidth="1"/>
    <col min="10" max="16384" width="9" style="44"/>
  </cols>
  <sheetData>
    <row r="1" ht="28.5" customHeight="1" spans="1:7">
      <c r="A1" s="2" t="str">
        <f>"Forecasts For the Year "&amp;IF(Main!B2,TEXT(EDATE(Main!B3,3),"mmmm yyyy"),TEXT(Main!B3+((Main!B5-Main!B3)*3+3),"mmmm yyyy"))&amp;" to "&amp;IF(Main!B2,TEXT(EDATE(Main!B3,6)-1,"mmmm yyyy"),TEXT(Main!B3+((Main!B5-Main!B3)*6+5),"mmmm yyyy"))</f>
        <v>Forecasts For the Year July 2025 to October 2025</v>
      </c>
      <c r="B1" s="2"/>
      <c r="C1" s="2"/>
      <c r="D1" s="2"/>
      <c r="E1" s="2"/>
      <c r="F1" s="2"/>
      <c r="G1" s="2"/>
    </row>
    <row r="2" ht="28.5" customHeight="1" spans="1:7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</row>
    <row r="3" ht="42" customHeight="1" spans="1:7">
      <c r="A3" s="6"/>
      <c r="B3" s="7" t="s">
        <v>63</v>
      </c>
      <c r="C3" s="8">
        <f ca="1">E190</f>
        <v>0</v>
      </c>
      <c r="D3" s="8"/>
      <c r="E3" s="8"/>
      <c r="F3" s="8"/>
      <c r="G3" s="8"/>
    </row>
    <row r="4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IF(Main!B2,TEXT(EDATE(Main!B3,3),"dd mmmm yyyy"),TEXT(Main!B3+((Main!B5-Main!B3)*3+3),"dd mmmm yyyy"))&amp;" - "&amp;IF(Main!B2,TEXT(EDATE(Main!B3,4)-1,"dd mmmm yyyy"),TEXT(Main!B3+((Main!B5-Main!B3)*4+3),"dd mmmm yyyy"))&amp;" / "&amp;" (Revenue / Deferred Debts Or Expenses)"</f>
        <v>11 July 2025 - 10 August 2025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IF(Main!B2,TEXT(EDATE(Main!B3,4),"dd mmmm yyyy"),TEXT(Main!B3+((Main!B5-Main!B3)*4+4),"dd mmmm yyyy"))&amp;" - "&amp;IF(Main!B2,TEXT(EDATE(Main!B3,5)-1,"dd mmmm yyyy"),TEXT(Main!B3+((Main!B5-Main!B3)*5+4),"dd mmmm yyyy"))&amp;" / "&amp;" (Revenue / Deferred Debts Or Expenses)"</f>
        <v>11 August 2025 - 10 September 2025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IF(Main!B2,TEXT(EDATE(Main!B3,5),"dd mmmm yyyy"),TEXT(Main!B3+((Main!B5-Main!B3)*5+5),"dd mmmm yyyy"))&amp;" - "&amp;IF(Main!B2,TEXT(EDATE(Main!B3,6)-1,"dd mmmm yyyy"),TEXT(Main!B3+((Main!B5-Main!B3)*6+5),"dd mmmm yyyy"))&amp;" / "&amp;" (Revenue / Deferred Debts Or Expenses)"</f>
        <v>11 September 2025 - 10 October 2025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spans="1:9">
      <c r="A42" s="15"/>
      <c r="B42" s="15"/>
      <c r="C42" s="15"/>
      <c r="D42" s="15"/>
      <c r="E42" s="15"/>
      <c r="F42" s="15"/>
      <c r="G42" s="15"/>
      <c r="H42" s="15"/>
      <c r="I42" s="51"/>
    </row>
    <row r="43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18" customHeight="1" spans="1:9">
      <c r="A44" s="29" t="str">
        <f>"Fixed Expense For the Year "&amp;IF(Main!B2,TEXT(EDATE(Main!B3,3),"mmmm yyyy"),TEXT(Main!B3+((Main!B5-Main!B3)*3+3),"mmmm yyyy"))&amp;" to "&amp;IF(Main!B2,TEXT(EDATE(Main!B3,6)-1,"mmmm yyyy"),TEXT(Main!B3+((Main!B5-Main!B3)*6+5),"mmmm yyyy"))</f>
        <v>Fixed Expense For the Year July 2025 to October 2025</v>
      </c>
      <c r="B44" s="30"/>
      <c r="C44" s="31"/>
      <c r="D44" s="15"/>
      <c r="E44" s="15"/>
      <c r="F44" s="15"/>
      <c r="G44" s="15"/>
      <c r="H44" s="15"/>
      <c r="I44" s="51"/>
    </row>
    <row r="45" ht="2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0.2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0.2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0.2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20.2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0.2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0.2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0.2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(((INDIRECT("'"&amp;INDIRECT("Main!B9")&amp;"'!E131")+INDIRECT("'"&amp;INDIRECT("Main!B9")&amp;"'!E158")+INDIRECT("'"&amp;INDIRECT("Main!B9")&amp;"'!E185")))+SUM(E118+E145+E172))-INDIRECT("'"&amp;INDIRECT("Main!B9")&amp;"'!C112")</f>
        <v>0</v>
      </c>
      <c r="D98" s="15"/>
      <c r="E98" s="93"/>
      <c r="F98" s="15"/>
      <c r="G98" s="15"/>
      <c r="H98" s="15"/>
      <c r="I98" s="51"/>
    </row>
    <row r="99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(((INDIRECT("'"&amp;INDIRECT("Main!B9")&amp;"'!E132")+INDIRECT("'"&amp;INDIRECT("Main!B9")&amp;"'!E159")+INDIRECT("'"&amp;INDIRECT("Main!B9")&amp;"'!E186")))+SUM(E119+E146+E173))-INDIRECT("'"&amp;INDIRECT("Main!B9")&amp;"'!C113")</f>
        <v>0</v>
      </c>
      <c r="D99" s="15"/>
      <c r="E99" s="15"/>
      <c r="F99" s="15"/>
      <c r="G99" s="15"/>
      <c r="H99" s="15"/>
      <c r="I99" s="51"/>
    </row>
    <row r="100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(((INDIRECT("'"&amp;INDIRECT("Main!B9")&amp;"'!E133")+INDIRECT("'"&amp;INDIRECT("Main!B9")&amp;"'!E160")+INDIRECT("'"&amp;INDIRECT("Main!B9")&amp;"'!E187")))+SUM(E120+E147+E174))-INDIRECT("'"&amp;INDIRECT("Main!B9")&amp;"'!C114")</f>
        <v>0</v>
      </c>
      <c r="D100" s="15"/>
      <c r="E100" s="15"/>
      <c r="F100" s="15"/>
      <c r="G100" s="15"/>
      <c r="H100" s="15"/>
      <c r="I100" s="51"/>
    </row>
    <row r="101" ht="21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(((INDIRECT("'"&amp;INDIRECT("Main!B9")&amp;"'!E134")+INDIRECT("'"&amp;INDIRECT("Main!B9")&amp;"'!E161")+INDIRECT("'"&amp;INDIRECT("Main!B9")&amp;"'!E188")))+SUM(E121+E148+E175))-INDIRECT("'"&amp;INDIRECT("Main!B9")&amp;"'!C115")</f>
        <v>0</v>
      </c>
      <c r="D101" s="15"/>
      <c r="E101" s="15"/>
      <c r="F101" s="15"/>
      <c r="G101" s="15"/>
      <c r="H101" s="15"/>
      <c r="I101" s="51"/>
    </row>
    <row r="102" ht="21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(((INDIRECT("'"&amp;INDIRECT("Main!B9")&amp;"'!E135")+INDIRECT("'"&amp;INDIRECT("Main!B9")&amp;"'!E162")+INDIRECT("'"&amp;INDIRECT("Main!B9")&amp;"'!E189")))+SUM(E122+E149+E176))-INDIRECT("'"&amp;INDIRECT("Main!B9")&amp;"'!C116")</f>
        <v>0</v>
      </c>
      <c r="D102" s="15"/>
      <c r="E102" s="176"/>
      <c r="F102" s="15"/>
      <c r="G102" s="15"/>
      <c r="H102" s="15"/>
      <c r="I102" s="51"/>
    </row>
    <row r="103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(((INDIRECT("'"&amp;INDIRECT("Main!B9")&amp;"'!E136")+INDIRECT("'"&amp;INDIRECT("Main!B9")&amp;"'!E163")+INDIRECT("'"&amp;INDIRECT("Main!B9")&amp;"'!E190")))+SUM(EE123+E150+E177)-INDIRECT("'"&amp;INDIRECT("Main!B9")&amp;"'!C117"))</f>
        <v>0</v>
      </c>
      <c r="D103" s="15"/>
      <c r="E103" s="15"/>
      <c r="F103" s="15"/>
      <c r="G103" s="15"/>
      <c r="H103" s="15"/>
      <c r="I103" s="51"/>
    </row>
    <row r="104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(((INDIRECT("'"&amp;INDIRECT("Main!B9")&amp;"'!E137")+INDIRECT("'"&amp;INDIRECT("Main!B9")&amp;"'!E164")+INDIRECT("'"&amp;INDIRECT("Main!B9")&amp;"'!E191")))+SUM(E124+E151+E178))-INDIRECT("'"&amp;INDIRECT("Main!B9")&amp;"'!C118")</f>
        <v>0</v>
      </c>
      <c r="D104" s="15"/>
      <c r="E104" s="15"/>
      <c r="F104" s="15"/>
      <c r="G104" s="15"/>
      <c r="H104" s="15"/>
      <c r="I104" s="51"/>
    </row>
    <row r="105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(((INDIRECT("'"&amp;INDIRECT("Main!B9")&amp;"'!E138")+INDIRECT("'"&amp;INDIRECT("Main!B9")&amp;"'!E165")+INDIRECT("'"&amp;INDIRECT("Main!B9")&amp;"'!E192")))+SUM(E125+E152+E179)-INDIRECT("'"&amp;INDIRECT("Main!B9")&amp;"'!C119"))</f>
        <v>0</v>
      </c>
      <c r="D105" s="15"/>
      <c r="E105" s="15"/>
      <c r="F105" s="15"/>
      <c r="G105" s="15"/>
      <c r="H105" s="15"/>
      <c r="I105" s="51"/>
    </row>
    <row r="106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(((INDIRECT("'"&amp;INDIRECT("Main!B9")&amp;"'!E139")+INDIRECT("'"&amp;INDIRECT("Main!B9")&amp;"'!E166")+INDIRECT("'"&amp;INDIRECT("Main!B9")&amp;"'!E193")))+SUM(E126+E153+E180))-INDIRECT("'"&amp;INDIRECT("Main!B9")&amp;"'!C120")</f>
        <v>0</v>
      </c>
      <c r="D106" s="15"/>
      <c r="E106" s="15"/>
      <c r="F106" s="15"/>
      <c r="G106" s="15"/>
      <c r="H106" s="15"/>
      <c r="I106" s="51"/>
    </row>
    <row r="107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(((INDIRECT("'"&amp;INDIRECT("Main!B9")&amp;"'!E140")+INDIRECT("'"&amp;INDIRECT("Main!B9")&amp;"'!E167")+INDIRECT("'"&amp;INDIRECT("Main!B9")&amp;"'!E194")))+SUM(E127+E154+E181))-INDIRECT("'"&amp;INDIRECT("Main!B9")&amp;"'!C121")</f>
        <v>0</v>
      </c>
      <c r="D107" s="15"/>
      <c r="E107" s="15"/>
      <c r="F107" s="15"/>
      <c r="G107" s="15"/>
      <c r="H107" s="15"/>
      <c r="I107" s="51"/>
    </row>
    <row r="108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"&amp;IF(Main!B2,TEXT(EDATE(Main!B3,3),"mmmm dd yyyy"),TEXT(Main!B3+((Main!B5-Main!B3)*3+3),"mmmm dd yyyy"))&amp;" to "&amp;IF(Main!B2,TEXT(EDATE(Main!B3,4)-1,"mmmm dd yyyy"),TEXT(Main!B3+((Main!B5-Main!B3)*4+3),"mmmm dd yyyy"))</f>
        <v>Debts Or Credits For the Comming July 11 2025 to August 10 2025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"&amp;IF(Main!B2,TEXT(EDATE(Main!B3,3)-1,"mmmm yyyy"),TEXT(Main!B3+((Main!B5-Main!B3)*3+3),"mmmm yyyy"))</f>
        <v>Balance Brought Forward From July 2025</v>
      </c>
      <c r="B116" s="58"/>
      <c r="C116" s="59"/>
      <c r="D116" s="59"/>
      <c r="E116" s="89" cm="1">
        <f ca="1" t="array" ref="E116">INDIRECT("'"&amp;INDIRECT("Main!B9")&amp;"'!E203")</f>
        <v>0</v>
      </c>
      <c r="F116" s="15"/>
      <c r="G116" s="15"/>
      <c r="H116" s="69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9.2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9.2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9.2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9.2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40.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"&amp;IF(Main!B2,TEXT(EDATE(Main!B3,4),"mmmm dd yyyy"),TEXT(Main!B3+((Main!B5-Main!B3)*4+4),"dd mmmm yyyy"))&amp;" to "&amp;IF(Main!B2,TEXT(EDATE(Main!B3,5)-1,"mmmm dd yyyy"),TEXT(Main!B3+((Main!B5-Main!B3)*5+4),"mmmm dd yyyy"))</f>
        <v>Debts Or Credits For the Comming August 11 2025 to September 10 2025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"&amp;IF(Main!B2,TEXT(EDATE(Main!B3,4)-1,"mmmm yyyy"),TEXT(Main!B3+((Main!B5-Main!B3)*4+3),"mmmm yyyy"))</f>
        <v>Balance Brought Forward From August 2025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"&amp;IF(Main!B2,TEXT(EDATE(Main!B3,5),"mmmm dd yyyy"),TEXT(Main!B3+((Main!B5-Main!B3)*5+5),"mmmm dd yyyy"))&amp;" to "&amp;IF(Main!B2,TEXT(EDATE(Main!B3,6)-1,"mmmm dd yyyy"),TEXT(Main!B3+((Main!B5-Main!B3)*6+5),"mmmm dd yyyy"))</f>
        <v>Debts Or Credits For the Comming September 11 2025 to October 10 2025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"&amp;IF(Main!B2,TEXT(EDATE(Main!B3,5)-1,"mmmm yyyy"),TEXT(Main!B3+((Main!B5-Main!B3)*5+4),"mmmm yyyy"))</f>
        <v>Balance Brought Forward From September 2025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ht="24.75" customHeight="1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24.75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24.75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ht="24.75" customHeight="1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24.75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ht="24.75" customHeight="1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ht="24.75" customHeight="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3" s="44" customFormat="1" ht="24.75" customHeight="1"/>
  </sheetData>
  <sheetProtection sheet="1" formatCells="0" formatColumns="0" formatRows="0" objects="1"/>
  <protectedRanges>
    <protectedRange sqref="A10:G15 A22:G27 A34:G39 C47:C54 C57:C65 C68:C74 C77:C84 C87:C94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2" priority="29" operator="lessThan">
      <formula>0</formula>
    </cfRule>
    <cfRule type="cellIs" dxfId="5" priority="28" operator="greaterThanOrEqual">
      <formula>0</formula>
    </cfRule>
  </conditionalFormatting>
  <conditionalFormatting sqref="C75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77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98">
    <cfRule type="cellIs" dxfId="6" priority="27" operator="greaterThanOrEqual">
      <formula>0</formula>
    </cfRule>
    <cfRule type="cellIs" dxfId="2" priority="26" operator="lessThan">
      <formula>0</formula>
    </cfRule>
  </conditionalFormatting>
  <conditionalFormatting sqref="E116">
    <cfRule type="cellIs" dxfId="3" priority="19" operator="greaterThanOrEqual">
      <formula>0</formula>
    </cfRule>
    <cfRule type="cellIs" dxfId="4" priority="18" operator="lessThan">
      <formula>0</formula>
    </cfRule>
  </conditionalFormatting>
  <conditionalFormatting sqref="E136">
    <cfRule type="cellIs" dxfId="3" priority="53" operator="greaterThanOrEqual">
      <formula>0</formula>
    </cfRule>
    <cfRule type="cellIs" dxfId="4" priority="52" operator="lessThan">
      <formula>0</formula>
    </cfRule>
  </conditionalFormatting>
  <conditionalFormatting sqref="E143">
    <cfRule type="cellIs" dxfId="3" priority="37" operator="greaterThanOrEqual">
      <formula>0</formula>
    </cfRule>
    <cfRule type="cellIs" dxfId="4" priority="36" operator="lessThan">
      <formula>0</formula>
    </cfRule>
  </conditionalFormatting>
  <conditionalFormatting sqref="E163">
    <cfRule type="cellIs" dxfId="3" priority="39" operator="greaterThanOrEqual">
      <formula>0</formula>
    </cfRule>
    <cfRule type="cellIs" dxfId="4" priority="38" operator="lessThan">
      <formula>0</formula>
    </cfRule>
  </conditionalFormatting>
  <conditionalFormatting sqref="E170">
    <cfRule type="cellIs" dxfId="3" priority="31" operator="greaterThanOrEqual">
      <formula>0</formula>
    </cfRule>
    <cfRule type="cellIs" dxfId="4" priority="30" operator="lessThan">
      <formula>0</formula>
    </cfRule>
  </conditionalFormatting>
  <conditionalFormatting sqref="E190">
    <cfRule type="cellIs" dxfId="3" priority="33" operator="greaterThanOrEqual">
      <formula>0</formula>
    </cfRule>
    <cfRule type="cellIs" dxfId="4" priority="32" operator="lessThan">
      <formula>0</formula>
    </cfRule>
  </conditionalFormatting>
  <conditionalFormatting sqref="C57:C66">
    <cfRule type="cellIs" dxfId="1" priority="65" operator="equal">
      <formula>0</formula>
    </cfRule>
    <cfRule type="cellIs" dxfId="2" priority="64" operator="greaterThan">
      <formula>0</formula>
    </cfRule>
  </conditionalFormatting>
  <conditionalFormatting sqref="C68:C69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70:C74">
    <cfRule type="cellIs" dxfId="1" priority="51" operator="equal">
      <formula>0</formula>
    </cfRule>
    <cfRule type="cellIs" dxfId="2" priority="50" operator="greaterThan">
      <formula>0</formula>
    </cfRule>
  </conditionalFormatting>
  <conditionalFormatting sqref="C80:C8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87:C89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90:C91">
    <cfRule type="cellIs" dxfId="1" priority="16" operator="equal">
      <formula>0</formula>
    </cfRule>
    <cfRule type="cellIs" dxfId="2" priority="15" operator="greaterThan">
      <formula>0</formula>
    </cfRule>
  </conditionalFormatting>
  <conditionalFormatting sqref="C92:C94">
    <cfRule type="cellIs" dxfId="1" priority="47" operator="equal">
      <formula>0</formula>
    </cfRule>
    <cfRule type="cellIs" dxfId="2" priority="46" operator="greaterThan">
      <formula>0</formula>
    </cfRule>
  </conditionalFormatting>
  <conditionalFormatting sqref="C99:C109">
    <cfRule type="cellIs" dxfId="6" priority="2" operator="greaterThanOrEqual">
      <formula>0</formula>
    </cfRule>
    <cfRule type="cellIs" dxfId="2" priority="1" operator="lessThan">
      <formula>0</formula>
    </cfRule>
  </conditionalFormatting>
  <conditionalFormatting sqref="E118:E127">
    <cfRule type="cellIs" dxfId="1" priority="25" operator="lessThanOrEqual">
      <formula>0</formula>
    </cfRule>
    <cfRule type="cellIs" dxfId="2" priority="24" operator="greaterThan">
      <formula>0</formula>
    </cfRule>
  </conditionalFormatting>
  <conditionalFormatting sqref="E145:E154">
    <cfRule type="cellIs" dxfId="1" priority="10" operator="lessThanOrEqual">
      <formula>0</formula>
    </cfRule>
    <cfRule type="cellIs" dxfId="2" priority="9" operator="greaterThan">
      <formula>0</formula>
    </cfRule>
  </conditionalFormatting>
  <conditionalFormatting sqref="E172:E181">
    <cfRule type="cellIs" dxfId="1" priority="8" operator="lessThanOrEqual">
      <formula>0</formula>
    </cfRule>
    <cfRule type="cellIs" dxfId="2" priority="7" operator="greaterThan">
      <formula>0</formula>
    </cfRule>
  </conditionalFormatting>
  <conditionalFormatting sqref="C47:C55 C85 C78:C79 C95:C96">
    <cfRule type="cellIs" dxfId="1" priority="67" operator="equal">
      <formula>0</formula>
    </cfRule>
  </conditionalFormatting>
  <conditionalFormatting sqref="C47:C55 C85 C78:C79 C95:C96 E144 E155:E162">
    <cfRule type="cellIs" dxfId="2" priority="66" operator="greaterThan">
      <formula>0</formula>
    </cfRule>
  </conditionalFormatting>
  <conditionalFormatting sqref="E117 E128:E135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E144 E155:E162">
    <cfRule type="cellIs" dxfId="5" priority="41" operator="equal">
      <formula>0</formula>
    </cfRule>
  </conditionalFormatting>
  <conditionalFormatting sqref="E171 E182:E189">
    <cfRule type="cellIs" dxfId="5" priority="35" operator="equal">
      <formula>0</formula>
    </cfRule>
    <cfRule type="cellIs" dxfId="2" priority="34" operator="greaterThan">
      <formula>0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2"/>
  <sheetViews>
    <sheetView topLeftCell="A85" workbookViewId="0">
      <selection activeCell="C98" sqref="C98"/>
    </sheetView>
  </sheetViews>
  <sheetFormatPr defaultColWidth="9" defaultRowHeight="17.6"/>
  <cols>
    <col min="1" max="2" width="20.625" style="44" customWidth="1"/>
    <col min="3" max="3" width="24.125" style="44" customWidth="1"/>
    <col min="4" max="7" width="20.625" style="44" customWidth="1"/>
    <col min="8" max="8" width="15.625" style="44" customWidth="1"/>
    <col min="9" max="16384" width="9" style="44"/>
  </cols>
  <sheetData>
    <row r="1" ht="30" customHeight="1" spans="1:7">
      <c r="A1" s="2" t="str">
        <f>"Forecasts For the Year "&amp;IF(Main!B2,TEXT(EDATE(Main!B3,6),"mmmm yyyy"),TEXT(Main!B3+((Main!B5-Main!B3)*6+6),"mmmm yyyy"))&amp;" to "&amp;IF(Main!B2,TEXT(EDATE(Main!B3,9)-1,"mmmm yyyy"),TEXT(Main!B3+((Main!B5-Main!B3)*9+8),"mmmm yyyy"))</f>
        <v>Forecasts For the Year October 2025 to January 2026</v>
      </c>
      <c r="B1" s="2"/>
      <c r="C1" s="2"/>
      <c r="D1" s="2"/>
      <c r="E1" s="2"/>
      <c r="F1" s="2"/>
      <c r="G1" s="2"/>
    </row>
    <row r="2" ht="30" customHeight="1" spans="1:7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</row>
    <row r="3" ht="30" customHeight="1" spans="1:7">
      <c r="A3" s="6"/>
      <c r="B3" s="7" t="s">
        <v>63</v>
      </c>
      <c r="C3" s="8">
        <f ca="1">E190</f>
        <v>0</v>
      </c>
      <c r="D3" s="8"/>
      <c r="E3" s="8"/>
      <c r="F3" s="8"/>
      <c r="G3" s="8"/>
    </row>
    <row r="4" ht="30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30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30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30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30" customHeight="1" spans="1:9">
      <c r="A8" s="16" t="str">
        <f>IF(Main!B2,TEXT(EDATE(Main!B3,6),"dd mmmm yyyy"),TEXT(Main!B3+((Main!B5-Main!B3)*6+6),"dd mmmm yyyy"))&amp;" - "&amp;IF(Main!B2,TEXT(EDATE(Main!B3,7)-1,"dd mmmm yyyy"),TEXT(Main!B3+((Main!B5-Main!B3)*7+6),"dd mmmm yyyy"))&amp;" / "&amp;" (Revenue / Deferred Debts Or Expenses)"</f>
        <v>11 October 2025 - 10 November 2025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30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30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30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30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30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30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30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30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30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30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30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30" customHeight="1" spans="1:9">
      <c r="A20" s="16" t="str">
        <f>IF(Main!B2,TEXT(EDATE(Main!B3,7),"dd mmmm yyyy"),TEXT(Main!B3+((Main!B5-Main!B3)*7+7),"dd mmmm yyyy"))&amp;" - "&amp;IF(Main!B2,TEXT(EDATE(Main!B3,8)-1,"dd mmmm yyyy"),TEXT(Main!B3+((Main!B5-Main!B3)*8+7),"dd mmmm yyyy"))&amp;" / "&amp;" (Revenue / Deferred Debts Or Expenses)"</f>
        <v>11 November 2025 - 10 December 2025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30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30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30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30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30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30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30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30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30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30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30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30" customHeight="1" spans="1:9">
      <c r="A32" s="16" t="str">
        <f>IF(Main!B2,TEXT(EDATE(Main!B3,8),"dd mmmm yyyy"),TEXT(Main!B3+((Main!B5-Main!B3)*8+8),"dd mmmm yyyy"))&amp;" - "&amp;IF(Main!B2,TEXT(EDATE(Main!B3,9)-1,"dd mmmm yyyy"),TEXT(Main!B3+((Main!B5-Main!B3)*9+8),"dd mmmm yyyy"))&amp;" / "&amp;" (Revenue / Deferred Debts Or Expenses)"</f>
        <v>11 December 2025 - 10 January 2026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30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30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30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30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30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30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30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30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30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30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30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30" customHeight="1" spans="1:9">
      <c r="A44" s="29" t="str">
        <f>"Fixed Expense For the Year "&amp;IF(Main!B2,TEXT(EDATE(Main!B3,6),"mmmm yyyy"),TEXT(Main!B3+((Main!B5-Main!B3)*6+6),"mmmm yyyy"))&amp;" to "&amp;IF(Main!B2,TEXT(EDATE(Main!B3,9)-1,"mmmm yyyy"),TEXT(Main!B3+((Main!B5-Main!B3)*9+8),"mmmm yyyy"))</f>
        <v>Fixed Expense For the Year October 2025 to January 2026</v>
      </c>
      <c r="B44" s="30"/>
      <c r="C44" s="31"/>
      <c r="D44" s="15"/>
      <c r="E44" s="15"/>
      <c r="F44" s="15"/>
      <c r="G44" s="15"/>
      <c r="H44" s="15"/>
      <c r="I44" s="51"/>
    </row>
    <row r="45" ht="30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30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30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30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30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30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30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30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30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30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30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30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30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30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30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30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30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30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30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30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30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30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30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50.2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30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30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30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30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30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30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30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30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30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30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30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30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30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30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30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30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30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30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30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30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30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30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30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30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30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30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30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30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30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30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INDIRECT("'"&amp;INDIRECT("Main!B12")&amp;"'!C98")+SUM(E118+E145+E172)</f>
        <v>0</v>
      </c>
      <c r="D98" s="15"/>
      <c r="E98" s="93"/>
      <c r="F98" s="15"/>
      <c r="G98" s="15"/>
      <c r="H98" s="15"/>
      <c r="I98" s="51"/>
    </row>
    <row r="99" ht="30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INDIRECT("'"&amp;INDIRECT("Main!B12")&amp;"'!C99")+SUM(E119+E146+E173)</f>
        <v>0</v>
      </c>
      <c r="D99" s="15"/>
      <c r="E99" s="15"/>
      <c r="F99" s="15"/>
      <c r="G99" s="15"/>
      <c r="H99" s="15"/>
      <c r="I99" s="51"/>
    </row>
    <row r="100" ht="30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INDIRECT("'"&amp;INDIRECT("Main!B12")&amp;"'!C100")+SUM(E120+E147+E174)</f>
        <v>0</v>
      </c>
      <c r="D100" s="15"/>
      <c r="E100" s="15"/>
      <c r="F100" s="15"/>
      <c r="G100" s="15"/>
      <c r="H100" s="15"/>
      <c r="I100" s="51"/>
    </row>
    <row r="101" ht="30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INDIRECT("'"&amp;INDIRECT("Main!B12")&amp;"'!C101")+SUM(E121+E148+E175)</f>
        <v>0</v>
      </c>
      <c r="D101" s="15"/>
      <c r="E101" s="15"/>
      <c r="F101" s="15"/>
      <c r="G101" s="15"/>
      <c r="H101" s="15"/>
      <c r="I101" s="51"/>
    </row>
    <row r="102" ht="30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INDIRECT("'"&amp;INDIRECT("Main!B12")&amp;"'!C102")+SUM(E122+E149+E176)</f>
        <v>0</v>
      </c>
      <c r="D102" s="15"/>
      <c r="E102" s="15"/>
      <c r="F102" s="15"/>
      <c r="G102" s="15"/>
      <c r="H102" s="15"/>
      <c r="I102" s="51"/>
    </row>
    <row r="103" ht="30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INDIRECT("'"&amp;INDIRECT("Main!B12")&amp;"'!C103")+SUM(E123+E150+E177)</f>
        <v>0</v>
      </c>
      <c r="D103" s="15"/>
      <c r="E103" s="15"/>
      <c r="F103" s="15"/>
      <c r="G103" s="15"/>
      <c r="H103" s="15"/>
      <c r="I103" s="51"/>
    </row>
    <row r="104" ht="30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INDIRECT("'"&amp;INDIRECT("Main!B12")&amp;"'!C104")+SUM(E124+E151+E178)</f>
        <v>0</v>
      </c>
      <c r="D104" s="15"/>
      <c r="E104" s="15"/>
      <c r="F104" s="15"/>
      <c r="G104" s="15"/>
      <c r="H104" s="15"/>
      <c r="I104" s="51"/>
    </row>
    <row r="105" ht="30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INDIRECT("'"&amp;INDIRECT("Main!B12")&amp;"'!C105")+SUM(E125+E152+E179)</f>
        <v>0</v>
      </c>
      <c r="D105" s="15"/>
      <c r="E105" s="15"/>
      <c r="F105" s="15"/>
      <c r="G105" s="15"/>
      <c r="H105" s="15"/>
      <c r="I105" s="51"/>
    </row>
    <row r="106" ht="30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INDIRECT("'"&amp;INDIRECT("Main!B12")&amp;"'!C106")+SUM(E126+E153+E180)</f>
        <v>0</v>
      </c>
      <c r="D106" s="15"/>
      <c r="E106" s="15"/>
      <c r="F106" s="15"/>
      <c r="G106" s="15"/>
      <c r="H106" s="15"/>
      <c r="I106" s="51"/>
    </row>
    <row r="107" ht="30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INDIRECT("'"&amp;INDIRECT("Main!B12")&amp;"'!C107")+SUM(E127+E154+E181)</f>
        <v>0</v>
      </c>
      <c r="D107" s="15"/>
      <c r="E107" s="15"/>
      <c r="F107" s="15"/>
      <c r="G107" s="15"/>
      <c r="H107" s="15"/>
      <c r="I107" s="51"/>
    </row>
    <row r="108" ht="30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30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30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30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30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30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30" customHeight="1" spans="1:9">
      <c r="A114" s="54" t="str">
        <f>"Debts Or Credits For the Comming "&amp;IF(Main!B2,TEXT(EDATE(Main!B3,6),"mmmm dd yyyy"),TEXT(Main!B3+((Main!B5-Main!B3)*6+6),"mmmm dd yyyy"))&amp;" to "&amp;IF(Main!B2,TEXT(EDATE(Main!B3,7)-1,"mmmm dd yyyy"),TEXT(Main!B3+((Main!B5-Main!B3)*7+6),"mmmm dd yyyy"))</f>
        <v>Debts Or Credits For the Comming October 11 2025 to November 10 2025</v>
      </c>
      <c r="B114" s="55"/>
      <c r="C114" s="55"/>
      <c r="D114" s="55"/>
      <c r="E114" s="56"/>
      <c r="F114" s="15"/>
      <c r="G114" s="15"/>
      <c r="H114" s="15"/>
      <c r="I114" s="51"/>
    </row>
    <row r="115" ht="30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30" customHeight="1" spans="1:9">
      <c r="A116" s="57" t="str">
        <f>"Balance Brought Forward From "&amp;IF(Main!B2,TEXT(EDATE(Main!B3,6)-1,"mmmm yyyy"),TEXT(Main!B3+((Main!B5-Main!B3)*6+5),"mmmm yyyy"))</f>
        <v>Balance Brought Forward From October 2025</v>
      </c>
      <c r="B116" s="58"/>
      <c r="C116" s="59"/>
      <c r="D116" s="59"/>
      <c r="E116" s="89" cm="1">
        <f ca="1" t="array" ref="E116">INDIRECT("'"&amp;INDIRECT("Main!B12")&amp;"'!E190")</f>
        <v>0</v>
      </c>
      <c r="F116" s="15"/>
      <c r="G116" s="15"/>
      <c r="H116" s="15"/>
      <c r="I116" s="51"/>
    </row>
    <row r="117" ht="30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30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30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30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30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30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30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30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30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30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30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30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30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30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30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30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30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30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30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30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30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30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30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30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30" customHeight="1" spans="1:9">
      <c r="A141" s="54" t="str">
        <f>"Debts Or Credits For the Comming "&amp;IF(Main!B2,TEXT(EDATE(Main!B3,7),"mmmm dd yyyy"),TEXT(Main!B3+((Main!B5-Main!B3)*7+7),"dd mmmm yyyy"))&amp;" to "&amp;IF(Main!B2,TEXT(EDATE(Main!B3,8)-1,"mmmm dd yyyy"),TEXT(Main!B3+((Main!B5-Main!B3)*8+7),"mmmm dd yyyy"))</f>
        <v>Debts Or Credits For the Comming November 11 2025 to December 10 2025</v>
      </c>
      <c r="B141" s="55"/>
      <c r="C141" s="55"/>
      <c r="D141" s="55"/>
      <c r="E141" s="56"/>
      <c r="F141" s="15"/>
      <c r="G141" s="15"/>
      <c r="H141" s="15"/>
      <c r="I141" s="51"/>
    </row>
    <row r="142" ht="30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30" customHeight="1" spans="1:9">
      <c r="A143" s="57" t="str">
        <f>"Balance Brought Forward From "&amp;IF(Main!B2,TEXT(EDATE(Main!B3,7)-1,"mmmm yyyy"),TEXT(Main!B3+((Main!B5-Main!B3)*7+6),"mmmm yyyy"))</f>
        <v>Balance Brought Forward From November 2025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30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30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30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30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30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30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30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30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30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30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30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30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30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30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30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30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30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30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30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30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30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30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30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30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30" customHeight="1" spans="1:9">
      <c r="A168" s="54" t="str">
        <f>"Debts Or Credits For the Comming "&amp;IF(Main!B2,TEXT(EDATE(Main!B3,8),"mmmm dd yyyy"),TEXT(Main!B3+((Main!B5-Main!B3)*8+8),"mmmm dd yyyy"))&amp;" to "&amp;IF(Main!B2,TEXT(EDATE(Main!B3,9)-1,"mmmm dd yyyy"),TEXT(Main!B3+((Main!B5-Main!B3)*9+8),"mmmm dd yyyy"))</f>
        <v>Debts Or Credits For the Comming December 11 2025 to January 10 2026</v>
      </c>
      <c r="B168" s="55"/>
      <c r="C168" s="55"/>
      <c r="D168" s="55"/>
      <c r="E168" s="56"/>
      <c r="F168" s="15"/>
      <c r="G168" s="15"/>
      <c r="H168" s="15"/>
      <c r="I168" s="51"/>
    </row>
    <row r="169" ht="30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30" customHeight="1" spans="1:9">
      <c r="A170" s="57" t="str">
        <f>"Balance Brought Forward From "&amp;IF(Main!B2,TEXT(EDATE(Main!B3,8)-1,"mmmm yyyy"),TEXT(Main!B3+((Main!B5-Main!B3)*8+7),"mmmm yyyy"))</f>
        <v>Balance Brought Forward From December 2025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30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30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30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30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30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30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30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30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30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30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30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ht="30" customHeight="1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30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30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30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ht="30" customHeight="1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30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30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ht="30" customHeight="1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ht="30" customHeight="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30" customHeight="1"/>
  </sheetData>
  <sheetProtection sheet="1" formatCells="0" formatColumns="0" formatRows="0" objects="1"/>
  <protectedRanges>
    <protectedRange sqref="A10:G15 A22:G27 A34:G39 C47:C54 C57:C65 C68:C74 C77:C84 C87:C94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44:B161"/>
    <mergeCell ref="A171:B188"/>
    <mergeCell ref="A117:B134"/>
  </mergeCells>
  <conditionalFormatting sqref="C5">
    <cfRule type="cellIs" dxfId="1" priority="16" operator="greaterThanOrEqual">
      <formula>0</formula>
    </cfRule>
    <cfRule type="cellIs" dxfId="2" priority="15" operator="lessThan">
      <formula>0</formula>
    </cfRule>
  </conditionalFormatting>
  <conditionalFormatting sqref="C75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77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98">
    <cfRule type="cellIs" dxfId="6" priority="28" operator="greaterThanOrEqual">
      <formula>0</formula>
    </cfRule>
    <cfRule type="cellIs" dxfId="2" priority="27" operator="lessThan">
      <formula>0</formula>
    </cfRule>
  </conditionalFormatting>
  <conditionalFormatting sqref="E116">
    <cfRule type="cellIs" dxfId="3" priority="20" operator="greaterThanOrEqual">
      <formula>0</formula>
    </cfRule>
    <cfRule type="cellIs" dxfId="4" priority="19" operator="lessThan">
      <formula>0</formula>
    </cfRule>
  </conditionalFormatting>
  <conditionalFormatting sqref="E136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43">
    <cfRule type="cellIs" dxfId="3" priority="38" operator="greaterThanOrEqual">
      <formula>0</formula>
    </cfRule>
    <cfRule type="cellIs" dxfId="4" priority="37" operator="lessThan">
      <formula>0</formula>
    </cfRule>
  </conditionalFormatting>
  <conditionalFormatting sqref="E154">
    <cfRule type="cellIs" dxfId="1" priority="8" operator="lessThanOrEqual">
      <formula>0</formula>
    </cfRule>
    <cfRule type="cellIs" dxfId="2" priority="7" operator="greaterThan">
      <formula>0</formula>
    </cfRule>
  </conditionalFormatting>
  <conditionalFormatting sqref="E163">
    <cfRule type="cellIs" dxfId="3" priority="40" operator="greaterThanOrEqual">
      <formula>0</formula>
    </cfRule>
    <cfRule type="cellIs" dxfId="4" priority="39" operator="lessThan">
      <formula>0</formula>
    </cfRule>
  </conditionalFormatting>
  <conditionalFormatting sqref="E170">
    <cfRule type="cellIs" dxfId="3" priority="32" operator="greaterThanOrEqual">
      <formula>0</formula>
    </cfRule>
    <cfRule type="cellIs" dxfId="4" priority="31" operator="lessThan">
      <formula>0</formula>
    </cfRule>
  </conditionalFormatting>
  <conditionalFormatting sqref="E190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C57:C66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68:C69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70:C7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80:C84">
    <cfRule type="cellIs" dxfId="1" priority="47" operator="equal">
      <formula>0</formula>
    </cfRule>
    <cfRule type="cellIs" dxfId="2" priority="46" operator="greaterThan">
      <formula>0</formula>
    </cfRule>
  </conditionalFormatting>
  <conditionalFormatting sqref="C87:C89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C90:C94">
    <cfRule type="cellIs" dxfId="1" priority="45" operator="equal">
      <formula>0</formula>
    </cfRule>
    <cfRule type="cellIs" dxfId="2" priority="44" operator="greaterThan">
      <formula>0</formula>
    </cfRule>
  </conditionalFormatting>
  <conditionalFormatting sqref="C99:C109">
    <cfRule type="cellIs" dxfId="6" priority="2" operator="greaterThanOrEqual">
      <formula>0</formula>
    </cfRule>
    <cfRule type="cellIs" dxfId="2" priority="1" operator="lessThan">
      <formula>0</formula>
    </cfRule>
  </conditionalFormatting>
  <conditionalFormatting sqref="E118:E127">
    <cfRule type="cellIs" dxfId="1" priority="26" operator="lessThanOrEqual">
      <formula>0</formula>
    </cfRule>
    <cfRule type="cellIs" dxfId="2" priority="25" operator="greaterThan">
      <formula>0</formula>
    </cfRule>
  </conditionalFormatting>
  <conditionalFormatting sqref="E145:E153">
    <cfRule type="cellIs" dxfId="1" priority="10" operator="lessThanOrEqual">
      <formula>0</formula>
    </cfRule>
    <cfRule type="cellIs" dxfId="2" priority="9" operator="greaterThan">
      <formula>0</formula>
    </cfRule>
  </conditionalFormatting>
  <conditionalFormatting sqref="E172:E181">
    <cfRule type="cellIs" dxfId="1" priority="6" operator="lessThanOrEqual">
      <formula>0</formula>
    </cfRule>
    <cfRule type="cellIs" dxfId="2" priority="5" operator="greaterThan">
      <formula>0</formula>
    </cfRule>
  </conditionalFormatting>
  <conditionalFormatting sqref="C47:C55 C85 C78:C79 C95:C96">
    <cfRule type="cellIs" dxfId="1" priority="65" operator="equal">
      <formula>0</formula>
    </cfRule>
  </conditionalFormatting>
  <conditionalFormatting sqref="C47:C55 C85 C78:C79 C95:C96 E144 E155:E162">
    <cfRule type="cellIs" dxfId="2" priority="64" operator="greaterThan">
      <formula>0</formula>
    </cfRule>
  </conditionalFormatting>
  <conditionalFormatting sqref="E117 E128:E135">
    <cfRule type="cellIs" dxfId="1" priority="53" operator="equal">
      <formula>0</formula>
    </cfRule>
    <cfRule type="cellIs" dxfId="2" priority="52" operator="greaterThan">
      <formula>0</formula>
    </cfRule>
  </conditionalFormatting>
  <conditionalFormatting sqref="E144 E155:E162">
    <cfRule type="cellIs" dxfId="5" priority="41" operator="equal">
      <formula>0</formula>
    </cfRule>
  </conditionalFormatting>
  <conditionalFormatting sqref="E171 E182:E189">
    <cfRule type="cellIs" dxfId="5" priority="36" operator="equal">
      <formula>0</formula>
    </cfRule>
    <cfRule type="cellIs" dxfId="2" priority="35" operator="greaterThan">
      <formula>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C98" sqref="C98"/>
    </sheetView>
  </sheetViews>
  <sheetFormatPr defaultColWidth="9" defaultRowHeight="17.6"/>
  <cols>
    <col min="1" max="1" width="20.625" style="1" customWidth="1"/>
    <col min="2" max="2" width="24.25" style="1" customWidth="1"/>
    <col min="3" max="3" width="28.125" style="1" customWidth="1"/>
    <col min="4" max="7" width="20.625" style="1" customWidth="1"/>
    <col min="8" max="16384" width="9" style="1"/>
  </cols>
  <sheetData>
    <row r="1" ht="24.75" customHeight="1" spans="1:9">
      <c r="A1" s="2" t="str">
        <f>"Forecasts For the Year "&amp;IF(Main!B2,TEXT(EDATE(Main!B3,9),"mmmm yyyy"),TEXT(Main!B3+((Main!B5-Main!B3)*9+9),"mmmm yyyy"))&amp;" to "&amp;IF(Main!B2,TEXT(EDATE(Main!B3,12)-1,"mmmm yyyy"),TEXT(Main!B3+((Main!B5-Main!B3)*12+11),"mmmm yyyy"))</f>
        <v>Forecasts For the Year January 2026 to April 2026</v>
      </c>
      <c r="B1" s="2"/>
      <c r="C1" s="2"/>
      <c r="D1" s="2"/>
      <c r="E1" s="2"/>
      <c r="F1" s="2"/>
      <c r="G1" s="2"/>
      <c r="H1" s="44"/>
      <c r="I1" s="44"/>
    </row>
    <row r="2" ht="24.75" customHeight="1" spans="1:9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  <c r="H2" s="44"/>
      <c r="I2" s="44"/>
    </row>
    <row r="3" ht="24.75" customHeight="1" spans="1:9">
      <c r="A3" s="6"/>
      <c r="B3" s="7" t="s">
        <v>63</v>
      </c>
      <c r="C3" s="8">
        <f ca="1">E190</f>
        <v>0</v>
      </c>
      <c r="D3" s="8"/>
      <c r="E3" s="8"/>
      <c r="F3" s="8"/>
      <c r="G3" s="8"/>
      <c r="H3" s="44"/>
      <c r="I3" s="44"/>
    </row>
    <row r="4" ht="24.75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24.75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24.75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IF(Main!B2,TEXT(EDATE(Main!B3,9),"dd mmmm yyyy"),TEXT(Main!B3+((Main!B5-Main!B3)*9+9),"dd mmmm yyyy"))&amp;" - "&amp;IF(Main!B2,TEXT(EDATE(Main!B3,10)-1,"dd mmmm yyyy"),TEXT(Main!B3+((Main!B5-Main!B3)*10+9),"dd mmmm yyyy"))&amp;" / "&amp;" (Revenue / Deferred Debts Or Expenses)"</f>
        <v>11 January 2026 - 10 February 2026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IF(Main!B2,TEXT(EDATE(Main!B3,10),"dd mmmm yyyy"),TEXT(Main!B3+((Main!B5-Main!B3)*10+10),"dd mmmm yyyy"))&amp;" - "&amp;IF(Main!B2,TEXT(EDATE(Main!B3,11)-1,"dd mmmm yyyy"),TEXT(Main!B3+((Main!B5-Main!B3)*11+10),"dd mmmm yyyy"))&amp;" / "&amp;" (Revenue / Deferred Debts Or Expenses)"</f>
        <v>11 February 2026 - 10 March 2026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IF(Main!B2,TEXT(EDATE(Main!B3,11),"dd mmmm yyyy"),TEXT(Main!B3+((Main!B5-Main!B3)*11+11),"dd mmmm yyyy"))&amp;" - "&amp;IF(Main!B2,TEXT(EDATE(Main!B3,12)-1,"dd mmmm yyyy"),TEXT(Main!B3+((Main!B5-Main!B3)*12+11),"dd mmmm yyyy"))&amp;" / "&amp;" (Revenue / Deferred Debts Or Expenses)"</f>
        <v>11 March 2026 - 10 April 2026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24.75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24.75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24.75" customHeight="1" spans="1:9">
      <c r="A44" s="29" t="str">
        <f>"Fixed Expense For the Year "&amp;IF(Main!B2,TEXT(EDATE(Main!B3,9),"mmmm yyyy"),TEXT(Main!B3+((Main!B5-Main!B3)*9+9),"mmmm yyyy"))&amp;" to "&amp;IF(Main!B2,TEXT(EDATE(Main!B3,12)-1,"mmmm yyyy"),TEXT(Main!B3+((Main!B5-Main!B3)*12+11),"mmmm yyyy"))</f>
        <v>Fixed Expense For the Year January 2026 to April 2026</v>
      </c>
      <c r="B44" s="30"/>
      <c r="C44" s="31"/>
      <c r="D44" s="15"/>
      <c r="E44" s="15"/>
      <c r="F44" s="15"/>
      <c r="G44" s="15"/>
      <c r="H44" s="15"/>
      <c r="I44" s="51"/>
    </row>
    <row r="45" ht="24.75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24.75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24.75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24.75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24.75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24.75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24.7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24.75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24.75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24.75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24.75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24.75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24.75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24.75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24.75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24.75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24.75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24.7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24.75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24.75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24.75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INDIRECT("'"&amp;INDIRECT("Main!B15")&amp;"'!C98")+SUM(E118+E145+E172)</f>
        <v>0</v>
      </c>
      <c r="D98" s="15"/>
      <c r="E98" s="93"/>
      <c r="F98" s="15"/>
      <c r="G98" s="15"/>
      <c r="H98" s="15"/>
      <c r="I98" s="51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INDIRECT("'"&amp;INDIRECT("Main!B15")&amp;"'!C99")+SUM(E119+E146+E173)</f>
        <v>0</v>
      </c>
      <c r="D99" s="15"/>
      <c r="E99" s="15"/>
      <c r="F99" s="15"/>
      <c r="G99" s="15"/>
      <c r="H99" s="15"/>
      <c r="I99" s="51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INDIRECT("'"&amp;INDIRECT("Main!B15")&amp;"'!C100")+SUM(E120+E147+E174)</f>
        <v>0</v>
      </c>
      <c r="D100" s="15"/>
      <c r="E100" s="15"/>
      <c r="F100" s="15"/>
      <c r="G100" s="15"/>
      <c r="H100" s="15"/>
      <c r="I100" s="51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INDIRECT("'"&amp;INDIRECT("Main!B15")&amp;"'!C101")+SUM(E121+E148+E175)</f>
        <v>0</v>
      </c>
      <c r="D101" s="15"/>
      <c r="E101" s="15"/>
      <c r="F101" s="15"/>
      <c r="G101" s="15"/>
      <c r="H101" s="15"/>
      <c r="I101" s="51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INDIRECT("'"&amp;INDIRECT("Main!B15")&amp;"'!C102")+SUM(E122+E149+E176)</f>
        <v>0</v>
      </c>
      <c r="D102" s="15"/>
      <c r="E102" s="15"/>
      <c r="F102" s="15"/>
      <c r="G102" s="15"/>
      <c r="H102" s="15"/>
      <c r="I102" s="51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INDIRECT("'"&amp;INDIRECT("Main!B15")&amp;"'!C103")+SUM(E123+E150+E177)</f>
        <v>0</v>
      </c>
      <c r="D103" s="15"/>
      <c r="E103" s="15"/>
      <c r="F103" s="15"/>
      <c r="G103" s="15"/>
      <c r="H103" s="15"/>
      <c r="I103" s="51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INDIRECT("'"&amp;INDIRECT("Main!B15")&amp;"'!C104")+SUM(E124+E151+E178)</f>
        <v>0</v>
      </c>
      <c r="D104" s="15"/>
      <c r="E104" s="15"/>
      <c r="F104" s="15"/>
      <c r="G104" s="15"/>
      <c r="H104" s="15"/>
      <c r="I104" s="51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INDIRECT("'"&amp;INDIRECT("Main!B15")&amp;"'!C105")+SUM(E125+E152+E179)</f>
        <v>0</v>
      </c>
      <c r="D105" s="15"/>
      <c r="E105" s="15"/>
      <c r="F105" s="15"/>
      <c r="G105" s="15"/>
      <c r="H105" s="15"/>
      <c r="I105" s="51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INDIRECT("'"&amp;INDIRECT("Main!B15")&amp;"'!C106")+SUM(E126+E153+E180)</f>
        <v>0</v>
      </c>
      <c r="D106" s="15"/>
      <c r="E106" s="15"/>
      <c r="F106" s="15"/>
      <c r="G106" s="15"/>
      <c r="H106" s="15"/>
      <c r="I106" s="51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INDIRECT("'"&amp;INDIRECT("Main!B15")&amp;"'!C107")+SUM(E127+E154+E181)</f>
        <v>0</v>
      </c>
      <c r="D107" s="15"/>
      <c r="E107" s="15"/>
      <c r="F107" s="15"/>
      <c r="G107" s="15"/>
      <c r="H107" s="15"/>
      <c r="I107" s="51"/>
    </row>
    <row r="108" ht="24.75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24.75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24.75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24.75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"&amp;IF(Main!B2,TEXT(EDATE(Main!B3,9),"mmmm dd yyyy"),TEXT(Main!B3+((Main!B5-Main!B3)*9+9),"mmmm dd yyyy"))&amp;" to "&amp;IF(Main!B2,TEXT(EDATE(Main!B3,10)-1,"mmmm dd yyyy"),TEXT(Main!B3+((Main!B5-Main!B3)*10+9),"mmmm dd yyyy"))</f>
        <v>Debts Or Credits For the Comming January 11 2026 to February 10 2026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"&amp;IF(Main!B2,TEXT(EDATE(Main!B3,9)-1,"mmmm yyyy"),TEXT(Main!B3+((Main!B5-Main!B3)*9+8),"mmmm yyyy"))</f>
        <v>Balance Brought Forward From January 2026</v>
      </c>
      <c r="B116" s="58"/>
      <c r="C116" s="59"/>
      <c r="D116" s="59"/>
      <c r="E116" s="72" cm="1">
        <f ca="1" t="array" ref="E116">INDIRECT("'"&amp;INDIRECT("Main!B15")&amp;"'!E190")</f>
        <v>0</v>
      </c>
      <c r="F116" s="15"/>
      <c r="G116" s="15"/>
      <c r="H116" s="15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4.7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4.7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4.7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4.7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24.7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"&amp;IF(Main!B2,TEXT(EDATE(Main!B3,10),"mmmm dd yyyy"),TEXT(Main!B3+((Main!B5-Main!B3)*10+10),"dd mmmm yyyy"))&amp;" to "&amp;IF(Main!B2,TEXT(EDATE(Main!B3,11)-1,"mmmm dd yyyy"),TEXT(Main!B3+((Main!B5-Main!B3)*11+10),"mmmm dd yyyy"))</f>
        <v>Debts Or Credits For the Comming February 11 2026 to March 10 2026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"&amp;IF(Main!B2,TEXT(EDATE(Main!B3,10)-1,"mmmm yyyy"),TEXT(Main!B3+((Main!B5-Main!B3)*10+9),"mmmm yyyy"))</f>
        <v>Balance Brought Forward From February 2026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"&amp;IF(Main!B2,TEXT(EDATE(Main!B3,11),"mmmm dd yyyy"),TEXT(Main!B3+((Main!B5-Main!B3)*11+11),"mmmm dd yyyy"))&amp;" to "&amp;IF(Main!B2,TEXT(EDATE(Main!B3,12)-1,"mmmm dd yyyy"),TEXT(Main!B3+((Main!B5-Main!B3)*12+11),"mmmm dd yyyy"))</f>
        <v>Debts Or Credits For the Comming March 11 2026 to April 10 2026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"&amp;IF(Main!B2,TEXT(EDATE(Main!B3,11)-1,"mmmm yyyy"),TEXT(Main!B3+((Main!B5-Main!B3)*11+10),"mmmm yyyy"))</f>
        <v>Balance Brought Forward From March 2026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ht="24.75" customHeight="1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24.75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24.75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24.75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ht="24.75" customHeight="1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ht="24.75" customHeight="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24.75" customHeight="1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spans="1:9">
      <c r="A193" s="44"/>
      <c r="B193" s="44"/>
      <c r="C193" s="44"/>
      <c r="D193" s="44"/>
      <c r="E193" s="44"/>
      <c r="F193" s="44"/>
      <c r="G193" s="44"/>
      <c r="H193" s="44"/>
      <c r="I193" s="44"/>
    </row>
  </sheetData>
  <sheetProtection sheet="1" formatCells="0" formatColumns="0" formatRows="0" objects="1"/>
  <protectedRanges>
    <protectedRange sqref="A10:G15 A22:G27 A34:G39 C47:C54 C57:C65 C68:C74 C77:C84 C87:C94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1" priority="10" operator="greaterThanOrEqual">
      <formula>0</formula>
    </cfRule>
    <cfRule type="cellIs" dxfId="2" priority="9" operator="lessThan">
      <formula>0</formula>
    </cfRule>
  </conditionalFormatting>
  <conditionalFormatting sqref="C75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C77">
    <cfRule type="cellIs" dxfId="1" priority="53" operator="equal">
      <formula>0</formula>
    </cfRule>
    <cfRule type="cellIs" dxfId="2" priority="52" operator="greaterThan">
      <formula>0</formula>
    </cfRule>
  </conditionalFormatting>
  <conditionalFormatting sqref="C98">
    <cfRule type="cellIs" dxfId="2" priority="24" operator="lessThan">
      <formula>0</formula>
    </cfRule>
    <cfRule type="cellIs" dxfId="5" priority="23" operator="greaterThanOrEqual">
      <formula>0</formula>
    </cfRule>
  </conditionalFormatting>
  <conditionalFormatting sqref="E116">
    <cfRule type="cellIs" dxfId="3" priority="16" operator="greaterThanOrEqual">
      <formula>0</formula>
    </cfRule>
    <cfRule type="cellIs" dxfId="4" priority="15" operator="lessThan">
      <formula>0</formula>
    </cfRule>
  </conditionalFormatting>
  <conditionalFormatting sqref="E136">
    <cfRule type="cellIs" dxfId="3" priority="47" operator="greaterThanOrEqual">
      <formula>0</formula>
    </cfRule>
    <cfRule type="cellIs" dxfId="4" priority="46" operator="lessThan">
      <formula>0</formula>
    </cfRule>
  </conditionalFormatting>
  <conditionalFormatting sqref="E143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E163">
    <cfRule type="cellIs" dxfId="3" priority="36" operator="greaterThanOrEqual">
      <formula>0</formula>
    </cfRule>
    <cfRule type="cellIs" dxfId="4" priority="35" operator="lessThan">
      <formula>0</formula>
    </cfRule>
  </conditionalFormatting>
  <conditionalFormatting sqref="E170">
    <cfRule type="cellIs" dxfId="3" priority="28" operator="greaterThanOrEqual">
      <formula>0</formula>
    </cfRule>
    <cfRule type="cellIs" dxfId="4" priority="27" operator="lessThan">
      <formula>0</formula>
    </cfRule>
  </conditionalFormatting>
  <conditionalFormatting sqref="E190">
    <cfRule type="cellIs" dxfId="3" priority="30" operator="greaterThanOrEqual">
      <formula>0</formula>
    </cfRule>
    <cfRule type="cellIs" dxfId="4" priority="29" operator="lessThan">
      <formula>0</formula>
    </cfRule>
  </conditionalFormatting>
  <conditionalFormatting sqref="C57:C66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68:C69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70:C74">
    <cfRule type="cellIs" dxfId="1" priority="45" operator="equal">
      <formula>0</formula>
    </cfRule>
    <cfRule type="cellIs" dxfId="2" priority="44" operator="greaterThan">
      <formula>0</formula>
    </cfRule>
  </conditionalFormatting>
  <conditionalFormatting sqref="C78:C79">
    <cfRule type="cellIs" dxfId="1" priority="14" operator="equal">
      <formula>0</formula>
    </cfRule>
    <cfRule type="cellIs" dxfId="2" priority="13" operator="greaterThan">
      <formula>0</formula>
    </cfRule>
  </conditionalFormatting>
  <conditionalFormatting sqref="C80:C84">
    <cfRule type="cellIs" dxfId="1" priority="43" operator="equal">
      <formula>0</formula>
    </cfRule>
    <cfRule type="cellIs" dxfId="2" priority="42" operator="greaterThan">
      <formula>0</formula>
    </cfRule>
  </conditionalFormatting>
  <conditionalFormatting sqref="C87:C89">
    <cfRule type="cellIs" dxfId="1" priority="51" operator="equal">
      <formula>0</formula>
    </cfRule>
    <cfRule type="cellIs" dxfId="2" priority="50" operator="greaterThan">
      <formula>0</formula>
    </cfRule>
  </conditionalFormatting>
  <conditionalFormatting sqref="C90:C91">
    <cfRule type="cellIs" dxfId="1" priority="12" operator="equal">
      <formula>0</formula>
    </cfRule>
    <cfRule type="cellIs" dxfId="2" priority="11" operator="greaterThan">
      <formula>0</formula>
    </cfRule>
  </conditionalFormatting>
  <conditionalFormatting sqref="C92:C94">
    <cfRule type="cellIs" dxfId="1" priority="41" operator="equal">
      <formula>0</formula>
    </cfRule>
    <cfRule type="cellIs" dxfId="2" priority="40" operator="greaterThan">
      <formula>0</formula>
    </cfRule>
  </conditionalFormatting>
  <conditionalFormatting sqref="C99:C109">
    <cfRule type="cellIs" dxfId="2" priority="6" operator="lessThan">
      <formula>0</formula>
    </cfRule>
    <cfRule type="cellIs" dxfId="5" priority="5" operator="greaterThanOrEqual">
      <formula>0</formula>
    </cfRule>
  </conditionalFormatting>
  <conditionalFormatting sqref="E118:E127">
    <cfRule type="cellIs" dxfId="1" priority="22" operator="lessThanOrEqual">
      <formula>0</formula>
    </cfRule>
    <cfRule type="cellIs" dxfId="2" priority="21" operator="greaterThan">
      <formula>0</formula>
    </cfRule>
  </conditionalFormatting>
  <conditionalFormatting sqref="E145:E154">
    <cfRule type="cellIs" dxfId="1" priority="4" operator="lessThanOrEqual">
      <formula>0</formula>
    </cfRule>
    <cfRule type="cellIs" dxfId="2" priority="3" operator="greaterThan">
      <formula>0</formula>
    </cfRule>
  </conditionalFormatting>
  <conditionalFormatting sqref="E172:E181">
    <cfRule type="cellIs" dxfId="1" priority="2" operator="lessThanOrEqual">
      <formula>0</formula>
    </cfRule>
    <cfRule type="cellIs" dxfId="2" priority="1" operator="greaterThan">
      <formula>0</formula>
    </cfRule>
  </conditionalFormatting>
  <conditionalFormatting sqref="C47:C55 C85 C95:C96">
    <cfRule type="cellIs" dxfId="1" priority="61" operator="equal">
      <formula>0</formula>
    </cfRule>
  </conditionalFormatting>
  <conditionalFormatting sqref="C47:C55 C85 C95:C96 E144 E155:E162">
    <cfRule type="cellIs" dxfId="2" priority="60" operator="greaterThan">
      <formula>0</formula>
    </cfRule>
  </conditionalFormatting>
  <conditionalFormatting sqref="E117 E128:E135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E144 E155:E162">
    <cfRule type="cellIs" dxfId="5" priority="37" operator="equal">
      <formula>0</formula>
    </cfRule>
  </conditionalFormatting>
  <conditionalFormatting sqref="E171 E182:E189">
    <cfRule type="cellIs" dxfId="5" priority="32" operator="equal">
      <formula>0</formula>
    </cfRule>
    <cfRule type="cellIs" dxfId="2" priority="31" operator="greaterThan">
      <formula>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C99" sqref="C99"/>
    </sheetView>
  </sheetViews>
  <sheetFormatPr defaultColWidth="9" defaultRowHeight="17.6"/>
  <cols>
    <col min="1" max="1" width="20.625" style="1" customWidth="1"/>
    <col min="2" max="2" width="29.125" style="1" customWidth="1"/>
    <col min="3" max="3" width="27.875" style="1" customWidth="1"/>
    <col min="4" max="6" width="20.625" style="1" customWidth="1"/>
    <col min="7" max="7" width="9" style="1"/>
    <col min="8" max="8" width="20.625" style="1" customWidth="1"/>
    <col min="9" max="16384" width="9" style="1"/>
  </cols>
  <sheetData>
    <row r="1" ht="24.75" customHeight="1" spans="1:9">
      <c r="A1" s="2" t="str">
        <f>"Forecasts For the Year "&amp;IF(Main!B2,TEXT(EDATE(Main!B3,12),"mmmm yyyy"),TEXT(Main!B3+((Main!B5-Main!B3)*12+12),"mmmm yyyy"))&amp;" to "&amp;IF(Main!B2,TEXT(EDATE(Main!B3,15)-1,"mmmm yyyy"),TEXT(Main!B3+((Main!B5-Main!B3)*15+14),"mmmm yyyy"))</f>
        <v>Forecasts For the Year April 2026 to July 2026</v>
      </c>
      <c r="B1" s="2"/>
      <c r="C1" s="2"/>
      <c r="D1" s="2"/>
      <c r="E1" s="2"/>
      <c r="F1" s="2"/>
      <c r="G1" s="2"/>
      <c r="H1" s="44"/>
      <c r="I1" s="44"/>
    </row>
    <row r="2" ht="24.75" customHeight="1" spans="1:9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  <c r="H2" s="44"/>
      <c r="I2" s="44"/>
    </row>
    <row r="3" ht="24.75" customHeight="1" spans="1:9">
      <c r="A3" s="6"/>
      <c r="B3" s="7" t="s">
        <v>63</v>
      </c>
      <c r="C3" s="8">
        <f ca="1">E190</f>
        <v>0</v>
      </c>
      <c r="D3" s="8"/>
      <c r="E3" s="8"/>
      <c r="F3" s="8"/>
      <c r="G3" s="8"/>
      <c r="H3" s="44"/>
      <c r="I3" s="44"/>
    </row>
    <row r="4" ht="24.75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24.75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24.75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IF(Main!B2,TEXT(EDATE(Main!B3,12),"dd mmmm yyyy"),TEXT(Main!B3+((Main!B5-Main!B3)*12+12),"dd mmmm yyyy"))&amp;" - "&amp;IF(Main!B2,TEXT(EDATE(Main!B3,13)-1,"dd mmmm yyyy"),TEXT(Main!B3+((Main!B5-Main!B3)*13+12),"dd mmmm yyyy"))&amp;" / "&amp;" (Revenue / Deferred Debts Or Expenses)"</f>
        <v>11 April 2026 - 10 May 2026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IF(Main!B2,TEXT(EDATE(Main!B3,13),"dd mmmm yyyy"),TEXT(Main!B3+((Main!B5-Main!B3)*13+13),"dd mmmm yyyy"))&amp;" - "&amp;IF(Main!B2,TEXT(EDATE(Main!B3,14)-1,"dd mmmm yyyy"),TEXT(Main!B3+((Main!B5-Main!B3)*14+13),"dd mmmm yyyy"))&amp;" / "&amp;" (Revenue / Deferred Debts Or Expenses)"</f>
        <v>11 May 2026 - 10 June 2026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IF(Main!B2,TEXT(EDATE(Main!B3,14),"dd mmmm yyyy"),TEXT(Main!B3+((Main!B5-Main!B3)*14+14),"dd mmmm yyyy"))&amp;" - "&amp;IF(Main!B2,TEXT(EDATE(Main!B3,15)-1,"dd mmmm yyyy"),TEXT(Main!B3+((Main!B5-Main!B3)*15+14),"dd mmmm yyyy"))&amp;" / "&amp;" (Revenue / Deferred Debts Or Expenses)"</f>
        <v>11 June 2026 - 10 July 2026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24.75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24.75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24.75" customHeight="1" spans="1:9">
      <c r="A44" s="29" t="str">
        <f>"Fixed Expense For the Year "&amp;IF(Main!B2,TEXT(EDATE(Main!B3,12),"mmmm yyyy"),TEXT(Main!B3+((Main!B5-Main!B3)*12+12),"mmmm yyyy"))&amp;" to "&amp;IF(Main!B2,TEXT(EDATE(Main!B3,15)-1,"mmmm yyyy"),TEXT(Main!B3+((Main!B5-Main!B3)*15+14),"mmmm yyyy"))</f>
        <v>Fixed Expense For the Year April 2026 to July 2026</v>
      </c>
      <c r="B44" s="30"/>
      <c r="C44" s="31"/>
      <c r="D44" s="15"/>
      <c r="E44" s="15"/>
      <c r="F44" s="15"/>
      <c r="G44" s="15"/>
      <c r="H44" s="15"/>
      <c r="I44" s="51"/>
    </row>
    <row r="45" ht="24.75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24.75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24.75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24.75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24.75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24.75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24.7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24.75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24.75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24.75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24.75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24.75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24.75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24.75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24.75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24.75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24.75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24.7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24.75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24.75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24.75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INDIRECT("'"&amp;INDIRECT("Main!B18")&amp;"'!C98")+SUM(E118+E145+E172)</f>
        <v>0</v>
      </c>
      <c r="D98" s="15"/>
      <c r="E98" s="93"/>
      <c r="F98" s="15"/>
      <c r="G98" s="15"/>
      <c r="H98" s="15"/>
      <c r="I98" s="51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INDIRECT("'"&amp;INDIRECT("Main!B18")&amp;"'!C99")+SUM(E119+E146+E173)</f>
        <v>0</v>
      </c>
      <c r="D99" s="15"/>
      <c r="E99" s="15"/>
      <c r="F99" s="15"/>
      <c r="G99" s="15"/>
      <c r="H99" s="15"/>
      <c r="I99" s="51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INDIRECT("'"&amp;INDIRECT("Main!B18")&amp;"'!C100")+SUM(E120+E147+E174)</f>
        <v>0</v>
      </c>
      <c r="D100" s="15"/>
      <c r="E100" s="15"/>
      <c r="F100" s="15"/>
      <c r="G100" s="15"/>
      <c r="H100" s="15"/>
      <c r="I100" s="51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INDIRECT("'"&amp;INDIRECT("Main!B18")&amp;"'!C101")+SUM(E121+E148+E175)</f>
        <v>0</v>
      </c>
      <c r="D101" s="15"/>
      <c r="E101" s="15"/>
      <c r="F101" s="15"/>
      <c r="G101" s="15"/>
      <c r="H101" s="15"/>
      <c r="I101" s="51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INDIRECT("'"&amp;INDIRECT("Main!B18")&amp;"'!C102")+SUM(E122+E149+E176)</f>
        <v>0</v>
      </c>
      <c r="D102" s="15"/>
      <c r="E102" s="15"/>
      <c r="F102" s="15"/>
      <c r="G102" s="15"/>
      <c r="H102" s="15"/>
      <c r="I102" s="51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INDIRECT("'"&amp;INDIRECT("Main!B18")&amp;"'!C103")+SUM(E123+E150+E177)</f>
        <v>0</v>
      </c>
      <c r="D103" s="15"/>
      <c r="E103" s="15"/>
      <c r="F103" s="15"/>
      <c r="G103" s="15"/>
      <c r="H103" s="15"/>
      <c r="I103" s="51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INDIRECT("'"&amp;INDIRECT("Main!B18")&amp;"'!C104")+SUM(E124+E151+E178)</f>
        <v>0</v>
      </c>
      <c r="D104" s="15"/>
      <c r="E104" s="15"/>
      <c r="F104" s="15"/>
      <c r="G104" s="15"/>
      <c r="H104" s="15"/>
      <c r="I104" s="51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INDIRECT("'"&amp;INDIRECT("Main!B18")&amp;"'!C105")+SUM(E125+E152+E179)</f>
        <v>0</v>
      </c>
      <c r="D105" s="15"/>
      <c r="E105" s="15"/>
      <c r="F105" s="15"/>
      <c r="G105" s="15"/>
      <c r="H105" s="15"/>
      <c r="I105" s="51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INDIRECT("'"&amp;INDIRECT("Main!B18")&amp;"'!C106")+SUM(E126+E153+E180)</f>
        <v>0</v>
      </c>
      <c r="D106" s="15"/>
      <c r="E106" s="15"/>
      <c r="F106" s="15"/>
      <c r="G106" s="15"/>
      <c r="H106" s="15"/>
      <c r="I106" s="51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INDIRECT("'"&amp;INDIRECT("Main!B18")&amp;"'!C107")+SUM(E127+E154+E181)</f>
        <v>0</v>
      </c>
      <c r="D107" s="15"/>
      <c r="E107" s="15"/>
      <c r="F107" s="15"/>
      <c r="G107" s="15"/>
      <c r="H107" s="15"/>
      <c r="I107" s="51"/>
    </row>
    <row r="108" ht="24.75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24.75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24.75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24.75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"&amp;IF(Main!B2,TEXT(EDATE(Main!B3,12),"mmmm dd yyyy"),TEXT(Main!B3+((Main!B5-Main!B3)*12+12),"mmmm dd yyyy"))&amp;" to "&amp;IF(Main!B2,TEXT(EDATE(Main!B3,13)-1,"mmmm dd yyyy"),TEXT(Main!B3+((Main!B5-Main!B3)*13+12),"mmmm dd yyyy"))</f>
        <v>Debts Or Credits For the Comming April 11 2026 to May 10 2026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"&amp;IF(Main!B2,TEXT(EDATE(Main!B3,12)-1,"mmmm yyyy"),TEXT(Main!B3+((Main!B5-Main!B3)*12+11),"mmmm yyyy"))</f>
        <v>Balance Brought Forward From April 2026</v>
      </c>
      <c r="B116" s="58"/>
      <c r="C116" s="59"/>
      <c r="D116" s="59"/>
      <c r="E116" s="72" cm="1">
        <f ca="1" t="array" ref="E116">INDIRECT("'"&amp;INDIRECT("Main!B18")&amp;"'!E190")</f>
        <v>0</v>
      </c>
      <c r="F116" s="15"/>
      <c r="G116" s="15"/>
      <c r="H116" s="15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4.7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4.7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4.7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4.7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24.7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"&amp;IF(Main!B2,TEXT(EDATE(Main!B3,13),"mmmm dd yyyy"),TEXT(Main!B3+((Main!B5-Main!B3)*13+13),"dd mmmm yyyy"))&amp;" to "&amp;IF(Main!B2,TEXT(EDATE(Main!B3,14)-1,"mmmm dd yyyy"),TEXT(Main!B3+((Main!B5-Main!B3)*14+13),"mmmm dd yyyy"))</f>
        <v>Debts Or Credits For the Comming May 11 2026 to June 10 2026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"&amp;IF(Main!B2,TEXT(EDATE(Main!B3,13)-1,"mmmm yyyy"),TEXT(Main!B3+((Main!B5-Main!B3)*13+12),"mmmm yyyy"))</f>
        <v>Balance Brought Forward From May 2026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"&amp;IF(Main!B2,TEXT(EDATE(Main!B3,14),"mmmm dd yyyy"),TEXT(Main!B3+((Main!B5-Main!B3)*14+14),"mmmm dd yyyy"))&amp;" to "&amp;IF(Main!B2,TEXT(EDATE(Main!B3,15)-1,"mmmm dd yyyy"),TEXT(Main!B3+((Main!B5-Main!B3)*15+14),"mmmm dd yyyy"))</f>
        <v>Debts Or Credits For the Comming June 11 2026 to July 10 2026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"&amp;IF(Main!B2,TEXT(EDATE(Main!B3,14)-1,"mmmm yyyy"),TEXT(Main!B3+((Main!B5-Main!B3)*14+13),"mmmm yyyy"))</f>
        <v>Balance Brought Forward From June 2026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ht="24.75" customHeight="1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24.75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24.75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ht="24.75" customHeight="1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ht="24.75" customHeight="1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ht="24.75" customHeight="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24.75" customHeight="1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spans="1:9">
      <c r="A193" s="44"/>
      <c r="B193" s="44"/>
      <c r="C193" s="44"/>
      <c r="D193" s="44"/>
      <c r="E193" s="44"/>
      <c r="F193" s="44"/>
      <c r="G193" s="44"/>
      <c r="H193" s="44"/>
      <c r="I193" s="44"/>
    </row>
  </sheetData>
  <sheetProtection sheet="1" formatCells="0" formatColumns="0" formatRows="0" objects="1"/>
  <protectedRanges>
    <protectedRange sqref="A10:G15 A22:G27 A34:G39 C47:C54 C57:C65 C68:C74 C77:C84 C87:C94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1" priority="16" operator="greaterThanOrEqual">
      <formula>0</formula>
    </cfRule>
    <cfRule type="cellIs" dxfId="2" priority="15" operator="lessThan">
      <formula>0</formula>
    </cfRule>
  </conditionalFormatting>
  <conditionalFormatting sqref="C75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77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98">
    <cfRule type="cellIs" dxfId="2" priority="30" operator="lessThan">
      <formula>0</formula>
    </cfRule>
    <cfRule type="cellIs" dxfId="6" priority="29" operator="greaterThanOrEqual">
      <formula>0</formula>
    </cfRule>
  </conditionalFormatting>
  <conditionalFormatting sqref="E116">
    <cfRule type="cellIs" dxfId="3" priority="22" operator="greaterThanOrEqual">
      <formula>0</formula>
    </cfRule>
    <cfRule type="cellIs" dxfId="4" priority="21" operator="lessThan">
      <formula>0</formula>
    </cfRule>
  </conditionalFormatting>
  <conditionalFormatting sqref="E136">
    <cfRule type="cellIs" dxfId="3" priority="53" operator="greaterThanOrEqual">
      <formula>0</formula>
    </cfRule>
    <cfRule type="cellIs" dxfId="4" priority="52" operator="lessThan">
      <formula>0</formula>
    </cfRule>
  </conditionalFormatting>
  <conditionalFormatting sqref="E143">
    <cfRule type="cellIs" dxfId="3" priority="40" operator="greaterThanOrEqual">
      <formula>0</formula>
    </cfRule>
    <cfRule type="cellIs" dxfId="4" priority="39" operator="lessThan">
      <formula>0</formula>
    </cfRule>
  </conditionalFormatting>
  <conditionalFormatting sqref="E163">
    <cfRule type="cellIs" dxfId="3" priority="42" operator="greaterThanOrEqual">
      <formula>0</formula>
    </cfRule>
    <cfRule type="cellIs" dxfId="4" priority="41" operator="lessThan">
      <formula>0</formula>
    </cfRule>
  </conditionalFormatting>
  <conditionalFormatting sqref="E170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E190">
    <cfRule type="cellIs" dxfId="3" priority="36" operator="greaterThanOrEqual">
      <formula>0</formula>
    </cfRule>
    <cfRule type="cellIs" dxfId="4" priority="35" operator="lessThan">
      <formula>0</formula>
    </cfRule>
  </conditionalFormatting>
  <conditionalFormatting sqref="C57:C66">
    <cfRule type="cellIs" dxfId="1" priority="65" operator="equal">
      <formula>0</formula>
    </cfRule>
    <cfRule type="cellIs" dxfId="2" priority="64" operator="greaterThan">
      <formula>0</formula>
    </cfRule>
  </conditionalFormatting>
  <conditionalFormatting sqref="C68:C69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70:C74">
    <cfRule type="cellIs" dxfId="1" priority="51" operator="equal">
      <formula>0</formula>
    </cfRule>
    <cfRule type="cellIs" dxfId="2" priority="50" operator="greaterThan">
      <formula>0</formula>
    </cfRule>
  </conditionalFormatting>
  <conditionalFormatting sqref="C78:C79">
    <cfRule type="cellIs" dxfId="1" priority="20" operator="equal">
      <formula>0</formula>
    </cfRule>
    <cfRule type="cellIs" dxfId="2" priority="19" operator="greaterThan">
      <formula>0</formula>
    </cfRule>
  </conditionalFormatting>
  <conditionalFormatting sqref="C80:C8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87:C89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90:C91">
    <cfRule type="cellIs" dxfId="1" priority="18" operator="equal">
      <formula>0</formula>
    </cfRule>
    <cfRule type="cellIs" dxfId="2" priority="17" operator="greaterThan">
      <formula>0</formula>
    </cfRule>
  </conditionalFormatting>
  <conditionalFormatting sqref="C92:C94">
    <cfRule type="cellIs" dxfId="1" priority="47" operator="equal">
      <formula>0</formula>
    </cfRule>
    <cfRule type="cellIs" dxfId="2" priority="46" operator="greaterThan">
      <formula>0</formula>
    </cfRule>
  </conditionalFormatting>
  <conditionalFormatting sqref="C99:C109">
    <cfRule type="cellIs" dxfId="2" priority="2" operator="lessThan">
      <formula>0</formula>
    </cfRule>
    <cfRule type="cellIs" dxfId="6" priority="1" operator="greaterThanOrEqual">
      <formula>0</formula>
    </cfRule>
  </conditionalFormatting>
  <conditionalFormatting sqref="E118:E127">
    <cfRule type="cellIs" dxfId="1" priority="28" operator="lessThanOrEqual">
      <formula>0</formula>
    </cfRule>
    <cfRule type="cellIs" dxfId="2" priority="27" operator="greaterThan">
      <formula>0</formula>
    </cfRule>
  </conditionalFormatting>
  <conditionalFormatting sqref="E145:E154">
    <cfRule type="cellIs" dxfId="1" priority="8" operator="lessThanOrEqual">
      <formula>0</formula>
    </cfRule>
    <cfRule type="cellIs" dxfId="2" priority="7" operator="greaterThan">
      <formula>0</formula>
    </cfRule>
  </conditionalFormatting>
  <conditionalFormatting sqref="E172:E181">
    <cfRule type="cellIs" dxfId="1" priority="6" operator="lessThanOrEqual">
      <formula>0</formula>
    </cfRule>
    <cfRule type="cellIs" dxfId="2" priority="5" operator="greaterThan">
      <formula>0</formula>
    </cfRule>
  </conditionalFormatting>
  <conditionalFormatting sqref="C47:C55 C85 C95:C96">
    <cfRule type="cellIs" dxfId="1" priority="67" operator="equal">
      <formula>0</formula>
    </cfRule>
  </conditionalFormatting>
  <conditionalFormatting sqref="C47:C55 C85 C95:C96 E144 E155:E162">
    <cfRule type="cellIs" dxfId="2" priority="66" operator="greaterThan">
      <formula>0</formula>
    </cfRule>
  </conditionalFormatting>
  <conditionalFormatting sqref="E117 E128:E135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E144 E155:E162">
    <cfRule type="cellIs" dxfId="5" priority="43" operator="equal">
      <formula>0</formula>
    </cfRule>
  </conditionalFormatting>
  <conditionalFormatting sqref="E171 E182:E189">
    <cfRule type="cellIs" dxfId="5" priority="38" operator="equal">
      <formula>0</formula>
    </cfRule>
    <cfRule type="cellIs" dxfId="2" priority="37" operator="greaterThan">
      <formula>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C5" sqref="C5:G5"/>
    </sheetView>
  </sheetViews>
  <sheetFormatPr defaultColWidth="9" defaultRowHeight="17.6"/>
  <cols>
    <col min="1" max="1" width="20.625" style="1" customWidth="1"/>
    <col min="2" max="2" width="23.5" style="1" customWidth="1"/>
    <col min="3" max="8" width="20.625" style="1" customWidth="1"/>
    <col min="9" max="16384" width="9" style="1"/>
  </cols>
  <sheetData>
    <row r="1" ht="24.75" customHeight="1" spans="1:9">
      <c r="A1" s="2" t="str">
        <f>"Forecasts For the Year "&amp;IF(Main!B2,TEXT(EDATE(Main!B3,15),"mmmm yyyy"),TEXT(Main!B3+((Main!B5-Main!B3)*15+15),"mmmm yyyy"))&amp;" to "&amp;IF(Main!B2,TEXT(EDATE(Main!B3,18)-1,"mmmm yyyy"),TEXT(Main!B3+((Main!B5-Main!B3)*18+17),"mmmm yyyy"))</f>
        <v>Forecasts For the Year July 2026 to October 2026</v>
      </c>
      <c r="B1" s="2"/>
      <c r="C1" s="2"/>
      <c r="D1" s="2"/>
      <c r="E1" s="2"/>
      <c r="F1" s="2"/>
      <c r="G1" s="2"/>
      <c r="H1" s="44"/>
      <c r="I1" s="44"/>
    </row>
    <row r="2" ht="24.75" customHeight="1" spans="1:9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  <c r="H2" s="44"/>
      <c r="I2" s="44"/>
    </row>
    <row r="3" ht="24.75" customHeight="1" spans="1:9">
      <c r="A3" s="6"/>
      <c r="B3" s="7" t="s">
        <v>63</v>
      </c>
      <c r="C3" s="8">
        <f ca="1">E190</f>
        <v>0</v>
      </c>
      <c r="D3" s="8"/>
      <c r="E3" s="8"/>
      <c r="F3" s="8"/>
      <c r="G3" s="8"/>
      <c r="H3" s="44"/>
      <c r="I3" s="44"/>
    </row>
    <row r="4" ht="24.75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24.75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24.75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IF(Main!B2,TEXT(EDATE(Main!B3,15),"dd mmmm yyyy"),TEXT(Main!B3+((Main!B5-Main!B3)*15+15),"dd mmmm yyyy"))&amp;" - "&amp;IF(Main!B2,TEXT(EDATE(Main!B3,16)-1,"dd mmmm yyyy"),TEXT(Main!B3+((Main!B5-Main!B3)*16+15),"dd mmmm yyyy"))&amp;" / "&amp;" (Revenue / Deferred Debts Or Expenses)"</f>
        <v>11 July 2026 - 10 August 2026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IF(Main!B2,TEXT(EDATE(Main!B3,16),"dd mmmm yyyy"),TEXT(Main!B3+((Main!B5-Main!B3)*16+16),"dd mmmm yyyy"))&amp;" - "&amp;IF(Main!B2,TEXT(EDATE(Main!B3,17)-1,"dd mmmm yyyy"),TEXT(Main!B3+((Main!B5-Main!B3)*17+16),"dd mmmm yyyy"))&amp;" / "&amp;" (Revenue / Deferred Debts Or Expenses)"</f>
        <v>11 August 2026 - 10 September 2026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IF(Main!B2,TEXT(EDATE(Main!B3,17),"dd mmmm yyyy"),TEXT(Main!B3+((Main!B5-Main!B3)*17+17),"dd mmmm yyyy"))&amp;" - "&amp;IF(Main!B2,TEXT(EDATE(Main!B3,18)-1,"dd mmmm yyyy"),TEXT(Main!B3+((Main!B5-Main!B3)*18+17),"dd mmmm yyyy"))&amp;" / "&amp;" (Revenue / Deferred Debts Or Expenses)"</f>
        <v>11 September 2026 - 10 October 2026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24.75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24.75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24.75" customHeight="1" spans="1:9">
      <c r="A44" s="29" t="str">
        <f>"Fixed Expense For the Year "&amp;IF(Main!B2,TEXT(EDATE(Main!B3,15),"mmmm yyyy"),TEXT(Main!B3+((Main!B5-Main!B3)*15+15),"mmmm yyyy"))&amp;" to "&amp;IF(Main!B2,TEXT(EDATE(Main!B3,18)-1,"mmmm yyyy"),TEXT(Main!B3+((Main!B5-Main!B3)*18+17),"mmmm yyyy"))</f>
        <v>Fixed Expense For the Year July 2026 to October 2026</v>
      </c>
      <c r="B44" s="30"/>
      <c r="C44" s="31"/>
      <c r="D44" s="15"/>
      <c r="E44" s="15"/>
      <c r="F44" s="15"/>
      <c r="G44" s="15"/>
      <c r="H44" s="15"/>
      <c r="I44" s="51"/>
    </row>
    <row r="45" ht="24.75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24.75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24.75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24.75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24.75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24.75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24.7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24.75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24.75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24.75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24.75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24.75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24.75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24.75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24.75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24.75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24.75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24.7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24.75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24.75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24.75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INDIRECT("'"&amp;INDIRECT("Main!B21")&amp;"'!C98")+SUM(E118+E145+E172)</f>
        <v>0</v>
      </c>
      <c r="D98" s="15"/>
      <c r="E98" s="93"/>
      <c r="F98" s="15"/>
      <c r="G98" s="15"/>
      <c r="H98" s="15"/>
      <c r="I98" s="51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INDIRECT("'"&amp;INDIRECT("Main!B21")&amp;"'!C99")+SUM(E119+E146+E173)</f>
        <v>0</v>
      </c>
      <c r="D99" s="15"/>
      <c r="E99" s="15"/>
      <c r="F99" s="15"/>
      <c r="G99" s="15"/>
      <c r="H99" s="15"/>
      <c r="I99" s="51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INDIRECT("'"&amp;INDIRECT("Main!B21")&amp;"'!C100")+SUM(E120+E147+E174)</f>
        <v>0</v>
      </c>
      <c r="D100" s="15"/>
      <c r="E100" s="15"/>
      <c r="F100" s="15"/>
      <c r="G100" s="15"/>
      <c r="H100" s="15"/>
      <c r="I100" s="51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INDIRECT("'"&amp;INDIRECT("Main!B21")&amp;"'!C101")+SUM(E121+E148+E175)</f>
        <v>0</v>
      </c>
      <c r="D101" s="15"/>
      <c r="E101" s="15"/>
      <c r="F101" s="15"/>
      <c r="G101" s="15"/>
      <c r="H101" s="15"/>
      <c r="I101" s="51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INDIRECT("'"&amp;INDIRECT("Main!B21")&amp;"'!C102")+SUM(E122+E149+E176)</f>
        <v>0</v>
      </c>
      <c r="D102" s="15"/>
      <c r="E102" s="15"/>
      <c r="F102" s="15"/>
      <c r="G102" s="15"/>
      <c r="H102" s="15"/>
      <c r="I102" s="51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INDIRECT("'"&amp;INDIRECT("Main!B21")&amp;"'!C103")+SUM(E123+E150+E177)</f>
        <v>0</v>
      </c>
      <c r="D103" s="15"/>
      <c r="E103" s="15"/>
      <c r="F103" s="15"/>
      <c r="G103" s="15"/>
      <c r="H103" s="15"/>
      <c r="I103" s="51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INDIRECT("'"&amp;INDIRECT("Main!B21")&amp;"'!C104")+SUM(E124+E151+E178)</f>
        <v>0</v>
      </c>
      <c r="D104" s="15"/>
      <c r="E104" s="15"/>
      <c r="F104" s="15"/>
      <c r="G104" s="15"/>
      <c r="H104" s="15"/>
      <c r="I104" s="51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INDIRECT("'"&amp;INDIRECT("Main!B21")&amp;"'!C105")+SUM(E125+E152+E179)</f>
        <v>0</v>
      </c>
      <c r="D105" s="15"/>
      <c r="E105" s="15"/>
      <c r="F105" s="15"/>
      <c r="G105" s="15"/>
      <c r="H105" s="15"/>
      <c r="I105" s="51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INDIRECT("'"&amp;INDIRECT("Main!B21")&amp;"'!C106")+SUM(E126+E153+E180)</f>
        <v>0</v>
      </c>
      <c r="D106" s="15"/>
      <c r="E106" s="15"/>
      <c r="F106" s="15"/>
      <c r="G106" s="15"/>
      <c r="H106" s="15"/>
      <c r="I106" s="51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INDIRECT("'"&amp;INDIRECT("Main!B21")&amp;"'!C107")+SUM(E127+E154+E181)</f>
        <v>0</v>
      </c>
      <c r="D107" s="15"/>
      <c r="E107" s="15"/>
      <c r="F107" s="15"/>
      <c r="G107" s="15"/>
      <c r="H107" s="15"/>
      <c r="I107" s="51"/>
    </row>
    <row r="108" ht="24.75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24.75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24.75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24.75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"&amp;IF(Main!B2,TEXT(EDATE(Main!B3,15),"mmmm dd yyyy"),TEXT(Main!B3+((Main!B5-Main!B3)*15+15),"mmmm dd yyyy"))&amp;" to "&amp;IF(Main!B2,TEXT(EDATE(Main!B3,16)-1,"mmmm dd yyyy"),TEXT(Main!B3+((Main!B5-Main!B3)*16+15),"mmmm dd yyyy"))</f>
        <v>Debts Or Credits For the Comming July 11 2026 to August 10 2026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"&amp;IF(Main!B2,TEXT(EDATE(Main!B3,15)-1,"mmmm yyyy"),TEXT(Main!B3+((Main!B5-Main!B3)*15+14),"mmmm yyyy"))</f>
        <v>Balance Brought Forward From July 2026</v>
      </c>
      <c r="B116" s="58"/>
      <c r="C116" s="59"/>
      <c r="D116" s="59"/>
      <c r="E116" s="72" cm="1">
        <f ca="1" t="array" ref="E116">INDIRECT("'"&amp;INDIRECT("Main!B21")&amp;"'!E190")</f>
        <v>0</v>
      </c>
      <c r="F116" s="15"/>
      <c r="G116" s="15"/>
      <c r="H116" s="15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4.7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4.7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4.7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4.7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24.7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"&amp;IF(Main!B2,TEXT(EDATE(Main!B3,16),"mmmm dd yyyy"),TEXT(Main!B3+((Main!B5-Main!B3)*16+16),"dd mmmm yyyy"))&amp;" to "&amp;IF(Main!B2,TEXT(EDATE(Main!B3,17)-1,"mmmm dd yyyy"),TEXT(Main!B3+((Main!B5-Main!B3)*17+16),"mmmm dd yyyy"))</f>
        <v>Debts Or Credits For the Comming August 11 2026 to September 10 2026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"&amp;IF(Main!B2,TEXT(EDATE(Main!B3,16)-1,"mmmm yyyy"),TEXT(Main!B3+((Main!B5-Main!B3)*16+15),"mmmm yyyy"))</f>
        <v>Balance Brought Forward From August 2026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"&amp;IF(Main!B2,TEXT(EDATE(Main!B3,17),"mmmm dd yyyy"),TEXT(Main!B3+((Main!B5-Main!B3)*17+17),"mmmm dd yyyy"))&amp;" to "&amp;IF(Main!B2,TEXT(EDATE(Main!B3,18)-1,"mmmm dd yyyy"),TEXT(Main!B3+((Main!B5-Main!B3)*18+17),"mmmm dd yyyy"))</f>
        <v>Debts Or Credits For the Comming September 11 2026 to October 10 2026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"&amp;IF(Main!B2,TEXT(EDATE(Main!B3,17)-1,"mmmm yyyy"),TEXT(Main!B3+((Main!B5-Main!B3)*17+16),"mmmm yyyy"))</f>
        <v>Balance Brought Forward From September 2026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24.75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24.75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ht="24.75" customHeight="1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24.75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ht="24.75" customHeight="1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ht="24.75" customHeight="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24.75" customHeight="1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spans="1:9">
      <c r="A193" s="44"/>
      <c r="B193" s="44"/>
      <c r="C193" s="44"/>
      <c r="D193" s="44"/>
      <c r="E193" s="44"/>
      <c r="F193" s="44"/>
      <c r="G193" s="44"/>
      <c r="H193" s="44"/>
      <c r="I193" s="44"/>
    </row>
  </sheetData>
  <sheetProtection sheet="1" formatCells="0" formatColumns="0" formatRows="0" objects="1"/>
  <protectedRanges>
    <protectedRange sqref="A10:G15 A22:G27 A34:G39 C47:C54 C57:C65 C68:C74 C77:C84 C87:C94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1" priority="14" operator="greaterThanOrEqual">
      <formula>0</formula>
    </cfRule>
    <cfRule type="cellIs" dxfId="2" priority="13" operator="lessThan">
      <formula>0</formula>
    </cfRule>
  </conditionalFormatting>
  <conditionalFormatting sqref="C75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77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98">
    <cfRule type="cellIs" dxfId="5" priority="28" operator="greaterThanOrEqual">
      <formula>0</formula>
    </cfRule>
    <cfRule type="cellIs" dxfId="2" priority="27" operator="lessThan">
      <formula>0</formula>
    </cfRule>
  </conditionalFormatting>
  <conditionalFormatting sqref="E116">
    <cfRule type="cellIs" dxfId="3" priority="20" operator="greaterThanOrEqual">
      <formula>0</formula>
    </cfRule>
    <cfRule type="cellIs" dxfId="4" priority="19" operator="lessThan">
      <formula>0</formula>
    </cfRule>
  </conditionalFormatting>
  <conditionalFormatting sqref="E136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43">
    <cfRule type="cellIs" dxfId="3" priority="38" operator="greaterThanOrEqual">
      <formula>0</formula>
    </cfRule>
    <cfRule type="cellIs" dxfId="4" priority="37" operator="lessThan">
      <formula>0</formula>
    </cfRule>
  </conditionalFormatting>
  <conditionalFormatting sqref="E163">
    <cfRule type="cellIs" dxfId="3" priority="40" operator="greaterThanOrEqual">
      <formula>0</formula>
    </cfRule>
    <cfRule type="cellIs" dxfId="4" priority="39" operator="lessThan">
      <formula>0</formula>
    </cfRule>
  </conditionalFormatting>
  <conditionalFormatting sqref="E170">
    <cfRule type="cellIs" dxfId="3" priority="32" operator="greaterThanOrEqual">
      <formula>0</formula>
    </cfRule>
    <cfRule type="cellIs" dxfId="4" priority="31" operator="lessThan">
      <formula>0</formula>
    </cfRule>
  </conditionalFormatting>
  <conditionalFormatting sqref="E190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C57:C66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68:C69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70:C7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78:C79">
    <cfRule type="cellIs" dxfId="1" priority="18" operator="equal">
      <formula>0</formula>
    </cfRule>
    <cfRule type="cellIs" dxfId="2" priority="17" operator="greaterThan">
      <formula>0</formula>
    </cfRule>
  </conditionalFormatting>
  <conditionalFormatting sqref="C80:C84">
    <cfRule type="cellIs" dxfId="1" priority="47" operator="equal">
      <formula>0</formula>
    </cfRule>
    <cfRule type="cellIs" dxfId="2" priority="46" operator="greaterThan">
      <formula>0</formula>
    </cfRule>
  </conditionalFormatting>
  <conditionalFormatting sqref="C87:C89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C90:C91">
    <cfRule type="cellIs" dxfId="1" priority="16" operator="equal">
      <formula>0</formula>
    </cfRule>
    <cfRule type="cellIs" dxfId="2" priority="15" operator="greaterThan">
      <formula>0</formula>
    </cfRule>
  </conditionalFormatting>
  <conditionalFormatting sqref="C92:C94">
    <cfRule type="cellIs" dxfId="1" priority="45" operator="equal">
      <formula>0</formula>
    </cfRule>
    <cfRule type="cellIs" dxfId="2" priority="44" operator="greaterThan">
      <formula>0</formula>
    </cfRule>
  </conditionalFormatting>
  <conditionalFormatting sqref="C99:C109">
    <cfRule type="cellIs" dxfId="5" priority="2" operator="greaterThanOrEqual">
      <formula>0</formula>
    </cfRule>
    <cfRule type="cellIs" dxfId="2" priority="1" operator="lessThan">
      <formula>0</formula>
    </cfRule>
  </conditionalFormatting>
  <conditionalFormatting sqref="E118:E127">
    <cfRule type="cellIs" dxfId="1" priority="26" operator="lessThanOrEqual">
      <formula>0</formula>
    </cfRule>
    <cfRule type="cellIs" dxfId="2" priority="25" operator="greaterThan">
      <formula>0</formula>
    </cfRule>
  </conditionalFormatting>
  <conditionalFormatting sqref="E145:E154">
    <cfRule type="cellIs" dxfId="1" priority="6" operator="lessThanOrEqual">
      <formula>0</formula>
    </cfRule>
    <cfRule type="cellIs" dxfId="2" priority="5" operator="greaterThan">
      <formula>0</formula>
    </cfRule>
  </conditionalFormatting>
  <conditionalFormatting sqref="E172:E181">
    <cfRule type="cellIs" dxfId="1" priority="4" operator="lessThanOrEqual">
      <formula>0</formula>
    </cfRule>
    <cfRule type="cellIs" dxfId="2" priority="3" operator="greaterThan">
      <formula>0</formula>
    </cfRule>
  </conditionalFormatting>
  <conditionalFormatting sqref="C47:C55 C85 C95:C96">
    <cfRule type="cellIs" dxfId="1" priority="65" operator="equal">
      <formula>0</formula>
    </cfRule>
  </conditionalFormatting>
  <conditionalFormatting sqref="C47:C55 C85 C95:C96 E144 E155:E162">
    <cfRule type="cellIs" dxfId="2" priority="64" operator="greaterThan">
      <formula>0</formula>
    </cfRule>
  </conditionalFormatting>
  <conditionalFormatting sqref="E117 E128:E135">
    <cfRule type="cellIs" dxfId="1" priority="53" operator="equal">
      <formula>0</formula>
    </cfRule>
    <cfRule type="cellIs" dxfId="2" priority="52" operator="greaterThan">
      <formula>0</formula>
    </cfRule>
  </conditionalFormatting>
  <conditionalFormatting sqref="E144 E155:E162">
    <cfRule type="cellIs" dxfId="5" priority="41" operator="equal">
      <formula>0</formula>
    </cfRule>
  </conditionalFormatting>
  <conditionalFormatting sqref="E171 E182:E189">
    <cfRule type="cellIs" dxfId="5" priority="36" operator="equal">
      <formula>0</formula>
    </cfRule>
    <cfRule type="cellIs" dxfId="2" priority="35" operator="greaterThan">
      <formula>0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86" workbookViewId="0">
      <selection activeCell="C5" sqref="C5:G5"/>
    </sheetView>
  </sheetViews>
  <sheetFormatPr defaultColWidth="9" defaultRowHeight="17.6"/>
  <cols>
    <col min="1" max="2" width="20.625" customWidth="1"/>
    <col min="3" max="3" width="26.25" customWidth="1"/>
    <col min="4" max="8" width="20.625" customWidth="1"/>
  </cols>
  <sheetData>
    <row r="1" ht="24.75" customHeight="1" spans="1:9">
      <c r="A1" s="94" t="str">
        <f>"Forecasts For the Year "&amp;IF(Main!B2,TEXT(EDATE(Main!B3,18),"mmmm yyyy"),TEXT(Main!B3+((Main!B5-Main!B3)*18+18),"mmmm yyyy"))&amp;" to "&amp;IF(Main!B2,TEXT(EDATE(Main!B3,21)-1,"mmmm yyyy"),TEXT(Main!B3+((Main!B5-Main!B3)*21+20),"mmmm yyyy"))</f>
        <v>Forecasts For the Year October 2026 to January 2027</v>
      </c>
      <c r="B1" s="94"/>
      <c r="C1" s="94"/>
      <c r="D1" s="94"/>
      <c r="E1" s="94"/>
      <c r="F1" s="94"/>
      <c r="G1" s="94"/>
      <c r="H1" s="126"/>
      <c r="I1" s="126"/>
    </row>
    <row r="2" ht="24.75" customHeight="1" spans="1:9">
      <c r="A2" s="3" t="s">
        <v>33</v>
      </c>
      <c r="B2" s="4" t="s">
        <v>62</v>
      </c>
      <c r="C2" s="95" cm="1">
        <f ca="1" t="array" ref="C2">INDIRECT("'"&amp;Main!B9&amp;"'!$C$16")</f>
        <v>0</v>
      </c>
      <c r="D2" s="95"/>
      <c r="E2" s="95"/>
      <c r="F2" s="95"/>
      <c r="G2" s="95"/>
      <c r="H2" s="126"/>
      <c r="I2" s="126"/>
    </row>
    <row r="3" spans="1:9">
      <c r="A3" s="6"/>
      <c r="B3" s="7" t="s">
        <v>63</v>
      </c>
      <c r="C3" s="96">
        <f ca="1">E190</f>
        <v>0</v>
      </c>
      <c r="D3" s="96"/>
      <c r="E3" s="96"/>
      <c r="F3" s="96"/>
      <c r="G3" s="96"/>
      <c r="H3" s="126"/>
      <c r="I3" s="126"/>
    </row>
    <row r="4" ht="24.75" customHeight="1" spans="1:9">
      <c r="A4" s="97" t="s">
        <v>42</v>
      </c>
      <c r="B4" s="98"/>
      <c r="C4" s="99">
        <f ca="1">SUM(C2:G3)</f>
        <v>0</v>
      </c>
      <c r="D4" s="99"/>
      <c r="E4" s="99"/>
      <c r="F4" s="99"/>
      <c r="G4" s="99"/>
      <c r="H4" s="103"/>
      <c r="I4" s="132"/>
    </row>
    <row r="5" ht="24.75" customHeight="1" spans="1:9">
      <c r="A5" s="100" t="s">
        <v>64</v>
      </c>
      <c r="B5" s="100"/>
      <c r="C5" s="101">
        <f ca="1">C108</f>
        <v>0</v>
      </c>
      <c r="D5" s="102"/>
      <c r="E5" s="102"/>
      <c r="F5" s="102"/>
      <c r="G5" s="102"/>
      <c r="H5" s="103"/>
      <c r="I5" s="132"/>
    </row>
    <row r="6" ht="24.75" customHeight="1" spans="1:9">
      <c r="A6" s="103"/>
      <c r="B6" s="103"/>
      <c r="C6" s="103"/>
      <c r="D6" s="103"/>
      <c r="E6" s="103"/>
      <c r="F6" s="103"/>
      <c r="G6" s="103"/>
      <c r="H6" s="103"/>
      <c r="I6" s="132"/>
    </row>
    <row r="7" ht="24.75" customHeight="1" spans="1:9">
      <c r="A7" s="103"/>
      <c r="B7" s="103"/>
      <c r="C7" s="103"/>
      <c r="D7" s="103"/>
      <c r="E7" s="103"/>
      <c r="F7" s="103"/>
      <c r="G7" s="103"/>
      <c r="H7" s="103"/>
      <c r="I7" s="132"/>
    </row>
    <row r="8" ht="24.75" customHeight="1" spans="1:9">
      <c r="A8" s="104" t="str">
        <f>IF(Main!B2,TEXT(EDATE(Main!B3,18),"dd mmmm yyyy"),TEXT(Main!B3+((Main!B5-Main!B3)*18+18),"dd mmmm yyyy"))&amp;" - "&amp;IF(Main!B2,TEXT(EDATE(Main!B3,19)-1,"dd mmmm yyyy"),TEXT(Main!B3+((Main!B5-Main!B3)*19+18),"dd mmmm yyyy"))&amp;" / "&amp;" (Revenue / Deferred Debts Or Expenses)"</f>
        <v>11 October 2026 - 10 November 2026 /  (Revenue / Deferred Debts Or Expenses)</v>
      </c>
      <c r="B8" s="105"/>
      <c r="C8" s="105"/>
      <c r="D8" s="105"/>
      <c r="E8" s="105"/>
      <c r="F8" s="105"/>
      <c r="G8" s="105"/>
      <c r="H8" s="103"/>
      <c r="I8" s="133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03"/>
      <c r="I9" s="132"/>
    </row>
    <row r="10" ht="24.75" customHeight="1" spans="1:9">
      <c r="A10" s="20"/>
      <c r="B10" s="106"/>
      <c r="C10" s="106"/>
      <c r="D10" s="106"/>
      <c r="E10" s="106"/>
      <c r="F10" s="127">
        <v>0</v>
      </c>
      <c r="G10" s="128"/>
      <c r="H10" s="103"/>
      <c r="I10" s="132"/>
    </row>
    <row r="11" ht="24.75" customHeight="1" spans="1:9">
      <c r="A11" s="20"/>
      <c r="B11" s="107"/>
      <c r="C11" s="108"/>
      <c r="D11" s="109"/>
      <c r="E11" s="129"/>
      <c r="F11" s="127">
        <v>0</v>
      </c>
      <c r="G11" s="128"/>
      <c r="H11" s="103"/>
      <c r="I11" s="132"/>
    </row>
    <row r="12" ht="24.75" customHeight="1" spans="1:9">
      <c r="A12" s="20"/>
      <c r="B12" s="107"/>
      <c r="C12" s="108"/>
      <c r="D12" s="109"/>
      <c r="E12" s="129"/>
      <c r="F12" s="127">
        <v>0</v>
      </c>
      <c r="G12" s="128"/>
      <c r="H12" s="103"/>
      <c r="I12" s="132"/>
    </row>
    <row r="13" ht="24.75" customHeight="1" spans="1:9">
      <c r="A13" s="20"/>
      <c r="B13" s="107"/>
      <c r="C13" s="108"/>
      <c r="D13" s="109"/>
      <c r="E13" s="129"/>
      <c r="F13" s="127">
        <v>0</v>
      </c>
      <c r="G13" s="128"/>
      <c r="H13" s="103"/>
      <c r="I13" s="132"/>
    </row>
    <row r="14" ht="24.75" customHeight="1" spans="1:9">
      <c r="A14" s="20"/>
      <c r="B14" s="107"/>
      <c r="C14" s="108"/>
      <c r="D14" s="109"/>
      <c r="E14" s="129"/>
      <c r="F14" s="127">
        <v>0</v>
      </c>
      <c r="G14" s="128"/>
      <c r="H14" s="103"/>
      <c r="I14" s="132"/>
    </row>
    <row r="15" ht="24.75" customHeight="1" spans="1:9">
      <c r="A15" s="20"/>
      <c r="B15" s="107"/>
      <c r="C15" s="108"/>
      <c r="D15" s="109"/>
      <c r="E15" s="129"/>
      <c r="F15" s="127">
        <v>0</v>
      </c>
      <c r="G15" s="128"/>
      <c r="H15" s="103"/>
      <c r="I15" s="132"/>
    </row>
    <row r="16" ht="24.75" customHeight="1" spans="1:9">
      <c r="A16" s="110"/>
      <c r="B16" s="111"/>
      <c r="C16" s="112"/>
      <c r="D16" s="28" t="s">
        <v>46</v>
      </c>
      <c r="E16" s="48"/>
      <c r="F16" s="130">
        <f>SUM(F10:G15)</f>
        <v>0</v>
      </c>
      <c r="G16" s="131"/>
      <c r="H16" s="103"/>
      <c r="I16" s="132"/>
    </row>
    <row r="17" ht="24.75" customHeight="1" spans="1:9">
      <c r="A17" s="103"/>
      <c r="B17" s="103"/>
      <c r="C17" s="103"/>
      <c r="D17" s="103"/>
      <c r="E17" s="103"/>
      <c r="F17" s="103"/>
      <c r="G17" s="103"/>
      <c r="H17" s="103"/>
      <c r="I17" s="132"/>
    </row>
    <row r="18" ht="24.75" customHeight="1" spans="1:9">
      <c r="A18" s="103"/>
      <c r="B18" s="103"/>
      <c r="C18" s="103"/>
      <c r="D18" s="103"/>
      <c r="E18" s="103"/>
      <c r="F18" s="103"/>
      <c r="G18" s="103"/>
      <c r="H18" s="103"/>
      <c r="I18" s="132"/>
    </row>
    <row r="19" ht="24.75" customHeight="1" spans="1:9">
      <c r="A19" s="103"/>
      <c r="B19" s="103"/>
      <c r="C19" s="103"/>
      <c r="D19" s="103"/>
      <c r="E19" s="103"/>
      <c r="F19" s="103"/>
      <c r="G19" s="103"/>
      <c r="H19" s="103"/>
      <c r="I19" s="132"/>
    </row>
    <row r="20" ht="24.75" customHeight="1" spans="1:9">
      <c r="A20" s="104" t="str">
        <f>IF(Main!B2,TEXT(EDATE(Main!B3,19),"dd mmmm yyyy"),TEXT(Main!B3+((Main!B5-Main!B3)*19+19),"dd mmmm yyyy"))&amp;" - "&amp;IF(Main!B2,TEXT(EDATE(Main!B3,20)-1,"dd mmmm yyyy"),TEXT(Main!B3+((Main!B5-Main!B3)*20+19),"dd mmmm yyyy"))&amp;" / "&amp;" (Revenue / Deferred Debts Or Expenses)"</f>
        <v>11 November 2026 - 10 December 2026 /  (Revenue / Deferred Debts Or Expenses)</v>
      </c>
      <c r="B20" s="105"/>
      <c r="C20" s="105"/>
      <c r="D20" s="105"/>
      <c r="E20" s="105"/>
      <c r="F20" s="105"/>
      <c r="G20" s="105"/>
      <c r="H20" s="103"/>
      <c r="I20" s="132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03"/>
      <c r="I21" s="132"/>
    </row>
    <row r="22" ht="24.75" customHeight="1" spans="1:9">
      <c r="A22" s="20"/>
      <c r="B22" s="106"/>
      <c r="C22" s="106"/>
      <c r="D22" s="106"/>
      <c r="E22" s="106"/>
      <c r="F22" s="127">
        <v>0</v>
      </c>
      <c r="G22" s="128"/>
      <c r="H22" s="103"/>
      <c r="I22" s="132"/>
    </row>
    <row r="23" ht="24.75" customHeight="1" spans="1:9">
      <c r="A23" s="20"/>
      <c r="B23" s="107"/>
      <c r="C23" s="108"/>
      <c r="D23" s="109"/>
      <c r="E23" s="129"/>
      <c r="F23" s="127">
        <v>0</v>
      </c>
      <c r="G23" s="128"/>
      <c r="H23" s="103"/>
      <c r="I23" s="132"/>
    </row>
    <row r="24" ht="24.75" customHeight="1" spans="1:9">
      <c r="A24" s="20"/>
      <c r="B24" s="107"/>
      <c r="C24" s="108"/>
      <c r="D24" s="109"/>
      <c r="E24" s="129"/>
      <c r="F24" s="127">
        <v>0</v>
      </c>
      <c r="G24" s="128"/>
      <c r="H24" s="103"/>
      <c r="I24" s="132"/>
    </row>
    <row r="25" ht="24.75" customHeight="1" spans="1:9">
      <c r="A25" s="20"/>
      <c r="B25" s="107"/>
      <c r="C25" s="108"/>
      <c r="D25" s="109"/>
      <c r="E25" s="129"/>
      <c r="F25" s="127">
        <v>0</v>
      </c>
      <c r="G25" s="128"/>
      <c r="H25" s="103"/>
      <c r="I25" s="132"/>
    </row>
    <row r="26" ht="24.75" customHeight="1" spans="1:9">
      <c r="A26" s="20"/>
      <c r="B26" s="107"/>
      <c r="C26" s="108"/>
      <c r="D26" s="109"/>
      <c r="E26" s="129"/>
      <c r="F26" s="127">
        <v>0</v>
      </c>
      <c r="G26" s="128"/>
      <c r="H26" s="103"/>
      <c r="I26" s="132"/>
    </row>
    <row r="27" ht="24.75" customHeight="1" spans="1:9">
      <c r="A27" s="20"/>
      <c r="B27" s="107"/>
      <c r="C27" s="108"/>
      <c r="D27" s="109"/>
      <c r="E27" s="129"/>
      <c r="F27" s="127">
        <v>0</v>
      </c>
      <c r="G27" s="128"/>
      <c r="H27" s="103"/>
      <c r="I27" s="132"/>
    </row>
    <row r="28" ht="24.75" customHeight="1" spans="1:9">
      <c r="A28" s="110"/>
      <c r="B28" s="111"/>
      <c r="C28" s="112"/>
      <c r="D28" s="28" t="s">
        <v>46</v>
      </c>
      <c r="E28" s="48"/>
      <c r="F28" s="130">
        <f>SUM(F22:G27)</f>
        <v>0</v>
      </c>
      <c r="G28" s="131"/>
      <c r="H28" s="103"/>
      <c r="I28" s="132"/>
    </row>
    <row r="29" ht="24.75" customHeight="1" spans="1:9">
      <c r="A29" s="103"/>
      <c r="B29" s="103"/>
      <c r="C29" s="103"/>
      <c r="D29" s="103"/>
      <c r="E29" s="103"/>
      <c r="F29" s="103"/>
      <c r="G29" s="103"/>
      <c r="H29" s="103"/>
      <c r="I29" s="132"/>
    </row>
    <row r="30" ht="24.75" customHeight="1" spans="1:9">
      <c r="A30" s="103"/>
      <c r="B30" s="103"/>
      <c r="C30" s="103"/>
      <c r="D30" s="103"/>
      <c r="E30" s="103"/>
      <c r="F30" s="103"/>
      <c r="G30" s="103"/>
      <c r="H30" s="103"/>
      <c r="I30" s="132"/>
    </row>
    <row r="31" ht="24.75" customHeight="1" spans="1:9">
      <c r="A31" s="103"/>
      <c r="B31" s="103"/>
      <c r="C31" s="103"/>
      <c r="D31" s="103"/>
      <c r="E31" s="103"/>
      <c r="F31" s="103"/>
      <c r="G31" s="103"/>
      <c r="H31" s="103"/>
      <c r="I31" s="132"/>
    </row>
    <row r="32" ht="24.75" customHeight="1" spans="1:9">
      <c r="A32" s="104" t="str">
        <f>IF(Main!B2,TEXT(EDATE(Main!B3,20),"dd mmmm yyyy"),TEXT(Main!B3+((Main!B5-Main!B3)*20+20),"dd mmmm yyyy"))&amp;" - "&amp;IF(Main!B2,TEXT(EDATE(Main!B3,21)-1,"dd mmmm yyyy"),TEXT(Main!B3+((Main!B5-Main!B3)*21+20),"dd mmmm yyyy"))&amp;" / "&amp;" (Revenue / Deferred Debts Or Expenses)"</f>
        <v>11 December 2026 - 10 January 2027 /  (Revenue / Deferred Debts Or Expenses)</v>
      </c>
      <c r="B32" s="105"/>
      <c r="C32" s="105"/>
      <c r="D32" s="105"/>
      <c r="E32" s="105"/>
      <c r="F32" s="105"/>
      <c r="G32" s="105"/>
      <c r="H32" s="103"/>
      <c r="I32" s="132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03"/>
      <c r="I33" s="132"/>
    </row>
    <row r="34" ht="24.75" customHeight="1" spans="1:9">
      <c r="A34" s="20"/>
      <c r="B34" s="106"/>
      <c r="C34" s="106"/>
      <c r="D34" s="106"/>
      <c r="E34" s="106"/>
      <c r="F34" s="127">
        <v>0</v>
      </c>
      <c r="G34" s="128"/>
      <c r="H34" s="103"/>
      <c r="I34" s="132"/>
    </row>
    <row r="35" ht="24.75" customHeight="1" spans="1:9">
      <c r="A35" s="20"/>
      <c r="B35" s="107"/>
      <c r="C35" s="108"/>
      <c r="D35" s="109"/>
      <c r="E35" s="129"/>
      <c r="F35" s="127">
        <v>0</v>
      </c>
      <c r="G35" s="128"/>
      <c r="H35" s="103"/>
      <c r="I35" s="132"/>
    </row>
    <row r="36" ht="24.75" customHeight="1" spans="1:9">
      <c r="A36" s="20"/>
      <c r="B36" s="107"/>
      <c r="C36" s="108"/>
      <c r="D36" s="109"/>
      <c r="E36" s="129"/>
      <c r="F36" s="127">
        <v>0</v>
      </c>
      <c r="G36" s="128"/>
      <c r="H36" s="103"/>
      <c r="I36" s="133"/>
    </row>
    <row r="37" ht="24.75" customHeight="1" spans="1:9">
      <c r="A37" s="20"/>
      <c r="B37" s="107"/>
      <c r="C37" s="108"/>
      <c r="D37" s="109"/>
      <c r="E37" s="129"/>
      <c r="F37" s="127">
        <v>0</v>
      </c>
      <c r="G37" s="128"/>
      <c r="H37" s="103"/>
      <c r="I37" s="132"/>
    </row>
    <row r="38" ht="24.75" customHeight="1" spans="1:9">
      <c r="A38" s="20"/>
      <c r="B38" s="107"/>
      <c r="C38" s="108"/>
      <c r="D38" s="109"/>
      <c r="E38" s="129"/>
      <c r="F38" s="127">
        <v>0</v>
      </c>
      <c r="G38" s="128"/>
      <c r="H38" s="103"/>
      <c r="I38" s="132"/>
    </row>
    <row r="39" ht="24.75" customHeight="1" spans="1:9">
      <c r="A39" s="20"/>
      <c r="B39" s="107"/>
      <c r="C39" s="108"/>
      <c r="D39" s="109"/>
      <c r="E39" s="129"/>
      <c r="F39" s="127">
        <v>0</v>
      </c>
      <c r="G39" s="128"/>
      <c r="H39" s="103"/>
      <c r="I39" s="132"/>
    </row>
    <row r="40" ht="24.75" customHeight="1" spans="1:9">
      <c r="A40" s="110"/>
      <c r="B40" s="111"/>
      <c r="C40" s="112"/>
      <c r="D40" s="28" t="s">
        <v>46</v>
      </c>
      <c r="E40" s="48"/>
      <c r="F40" s="130">
        <f>SUM(F34:G39)</f>
        <v>0</v>
      </c>
      <c r="G40" s="131"/>
      <c r="H40" s="103"/>
      <c r="I40" s="132"/>
    </row>
    <row r="41" ht="24.75" customHeight="1" spans="1:9">
      <c r="A41" s="103"/>
      <c r="B41" s="103"/>
      <c r="C41" s="103"/>
      <c r="D41" s="103"/>
      <c r="E41" s="103"/>
      <c r="F41" s="103"/>
      <c r="G41" s="103"/>
      <c r="H41" s="103"/>
      <c r="I41" s="132"/>
    </row>
    <row r="42" ht="24.75" customHeight="1" spans="1:9">
      <c r="A42" s="103"/>
      <c r="B42" s="103"/>
      <c r="C42" s="103"/>
      <c r="D42" s="103"/>
      <c r="E42" s="103"/>
      <c r="F42" s="103"/>
      <c r="G42" s="103"/>
      <c r="H42" s="103"/>
      <c r="I42" s="132"/>
    </row>
    <row r="43" ht="24.75" customHeight="1" spans="1:9">
      <c r="A43" s="103"/>
      <c r="B43" s="103"/>
      <c r="C43" s="103"/>
      <c r="D43" s="103"/>
      <c r="E43" s="103"/>
      <c r="F43" s="103"/>
      <c r="G43" s="103"/>
      <c r="H43" s="103"/>
      <c r="I43" s="132"/>
    </row>
    <row r="44" ht="24.75" customHeight="1" spans="1:9">
      <c r="A44" s="113" t="str">
        <f>"Fixed Expense For the Year "&amp;IF(Main!B2,TEXT(EDATE(Main!B3,18),"mmmm yyyy"),TEXT(Main!B3+((Main!B5-Main!B3)*18+18),"mmmm yyyy"))&amp;" to "&amp;IF(Main!B2,TEXT(EDATE(Main!B3,21)-1,"mmmm yyyy"),TEXT(Main!B3+((Main!B5-Main!B3)*21+20),"mmmm yyyy"))</f>
        <v>Fixed Expense For the Year October 2026 to January 2027</v>
      </c>
      <c r="B44" s="114"/>
      <c r="C44" s="115"/>
      <c r="D44" s="103"/>
      <c r="E44" s="103"/>
      <c r="F44" s="103"/>
      <c r="G44" s="103"/>
      <c r="H44" s="103"/>
      <c r="I44" s="132"/>
    </row>
    <row r="45" ht="24.75" customHeight="1" spans="1:9">
      <c r="A45" s="116" t="s">
        <v>43</v>
      </c>
      <c r="B45" s="116" t="s">
        <v>44</v>
      </c>
      <c r="C45" s="94" t="s">
        <v>45</v>
      </c>
      <c r="D45" s="103"/>
      <c r="E45" s="103"/>
      <c r="F45" s="103"/>
      <c r="G45" s="103"/>
      <c r="H45" s="103"/>
      <c r="I45" s="132"/>
    </row>
    <row r="46" ht="24.75" customHeight="1" spans="1:9">
      <c r="A46" s="117" t="str" cm="1">
        <f ca="1" t="array" ref="A46">IF((INDIRECT("'"&amp;INDIRECT("Main!B9")&amp;"'!A60"))=0,"",(INDIRECT("'"&amp;INDIRECT("Main!B9")&amp;"'!A60")))</f>
        <v>Mobile And Communications/ Housing Expenses</v>
      </c>
      <c r="B46" s="118"/>
      <c r="C46" s="119"/>
      <c r="D46" s="103"/>
      <c r="E46" s="103"/>
      <c r="F46" s="103"/>
      <c r="G46" s="103"/>
      <c r="H46" s="103"/>
      <c r="I46" s="132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120">
        <v>0</v>
      </c>
      <c r="D47" s="103"/>
      <c r="E47" s="103"/>
      <c r="F47" s="103"/>
      <c r="G47" s="103"/>
      <c r="H47" s="103"/>
      <c r="I47" s="132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120">
        <v>0</v>
      </c>
      <c r="D48" s="103"/>
      <c r="E48" s="103"/>
      <c r="F48" s="103"/>
      <c r="G48" s="103"/>
      <c r="H48" s="103"/>
      <c r="I48" s="132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120">
        <v>0</v>
      </c>
      <c r="D49" s="103"/>
      <c r="E49" s="103"/>
      <c r="F49" s="103"/>
      <c r="G49" s="103"/>
      <c r="H49" s="103"/>
      <c r="I49" s="132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120">
        <v>0</v>
      </c>
      <c r="D50" s="103"/>
      <c r="E50" s="103"/>
      <c r="F50" s="103"/>
      <c r="G50" s="103"/>
      <c r="H50" s="103"/>
      <c r="I50" s="132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120">
        <v>0</v>
      </c>
      <c r="D51" s="103"/>
      <c r="E51" s="103"/>
      <c r="F51" s="103"/>
      <c r="G51" s="103"/>
      <c r="H51" s="103"/>
      <c r="I51" s="132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120">
        <v>0</v>
      </c>
      <c r="D52" s="103"/>
      <c r="E52" s="103"/>
      <c r="F52" s="103"/>
      <c r="G52" s="103"/>
      <c r="H52" s="103"/>
      <c r="I52" s="132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120">
        <v>0</v>
      </c>
      <c r="D53" s="103"/>
      <c r="E53" s="103"/>
      <c r="F53" s="103"/>
      <c r="G53" s="103"/>
      <c r="H53" s="103"/>
      <c r="I53" s="132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120">
        <v>0</v>
      </c>
      <c r="D54" s="103"/>
      <c r="E54" s="103"/>
      <c r="F54" s="103"/>
      <c r="G54" s="103"/>
      <c r="H54" s="103"/>
      <c r="I54" s="132"/>
    </row>
    <row r="55" ht="24.75" customHeight="1" spans="1:9">
      <c r="A55" s="121"/>
      <c r="B55" s="122" t="s">
        <v>48</v>
      </c>
      <c r="C55" s="120">
        <f>SUM(C47:C54)</f>
        <v>0</v>
      </c>
      <c r="D55" s="103"/>
      <c r="E55" s="103"/>
      <c r="F55" s="103"/>
      <c r="G55" s="103"/>
      <c r="H55" s="103"/>
      <c r="I55" s="132"/>
    </row>
    <row r="56" ht="24.75" customHeight="1" spans="1:9">
      <c r="A56" s="123" t="str" cm="1">
        <f ca="1" t="array" ref="A56">IF((INDIRECT("'"&amp;INDIRECT("Main!B9")&amp;"'!A70"))=0,"",(INDIRECT("'"&amp;INDIRECT("Main!B9")&amp;"'!A70")))</f>
        <v>Credit Card Installments/Government Installments</v>
      </c>
      <c r="B56" s="124"/>
      <c r="C56" s="125"/>
      <c r="D56" s="103"/>
      <c r="E56" s="103"/>
      <c r="F56" s="103"/>
      <c r="G56" s="103"/>
      <c r="H56" s="103"/>
      <c r="I56" s="132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120">
        <v>0</v>
      </c>
      <c r="D57" s="103"/>
      <c r="E57" s="103"/>
      <c r="F57" s="103"/>
      <c r="G57" s="103"/>
      <c r="H57" s="103"/>
      <c r="I57" s="132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120">
        <v>0</v>
      </c>
      <c r="D58" s="103"/>
      <c r="E58" s="103"/>
      <c r="F58" s="103"/>
      <c r="G58" s="103"/>
      <c r="H58" s="103"/>
      <c r="I58" s="132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120">
        <v>0</v>
      </c>
      <c r="D59" s="103"/>
      <c r="E59" s="103"/>
      <c r="F59" s="103"/>
      <c r="G59" s="103"/>
      <c r="H59" s="103"/>
      <c r="I59" s="132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120">
        <v>0</v>
      </c>
      <c r="D60" s="103"/>
      <c r="E60" s="103"/>
      <c r="F60" s="103"/>
      <c r="G60" s="103"/>
      <c r="H60" s="103"/>
      <c r="I60" s="132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120">
        <v>0</v>
      </c>
      <c r="D61" s="103"/>
      <c r="E61" s="103"/>
      <c r="F61" s="103"/>
      <c r="G61" s="103"/>
      <c r="H61" s="103"/>
      <c r="I61" s="132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120">
        <v>0</v>
      </c>
      <c r="D62" s="103"/>
      <c r="E62" s="103"/>
      <c r="F62" s="103"/>
      <c r="G62" s="103"/>
      <c r="H62" s="103"/>
      <c r="I62" s="132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120">
        <v>0</v>
      </c>
      <c r="D63" s="103"/>
      <c r="E63" s="103"/>
      <c r="F63" s="103"/>
      <c r="G63" s="103"/>
      <c r="H63" s="103"/>
      <c r="I63" s="132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120">
        <v>0</v>
      </c>
      <c r="D64" s="103"/>
      <c r="E64" s="103"/>
      <c r="F64" s="103"/>
      <c r="G64" s="103"/>
      <c r="H64" s="103"/>
      <c r="I64" s="132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120">
        <v>0</v>
      </c>
      <c r="D65" s="103"/>
      <c r="E65" s="103"/>
      <c r="F65" s="103"/>
      <c r="G65" s="103"/>
      <c r="H65" s="103"/>
      <c r="I65" s="132"/>
    </row>
    <row r="66" ht="24.75" customHeight="1" spans="1:9">
      <c r="A66" s="134"/>
      <c r="B66" s="122" t="s">
        <v>48</v>
      </c>
      <c r="C66" s="120">
        <f>SUM(C57:C65)</f>
        <v>0</v>
      </c>
      <c r="D66" s="103"/>
      <c r="E66" s="103"/>
      <c r="F66" s="103"/>
      <c r="G66" s="103"/>
      <c r="H66" s="103"/>
      <c r="I66" s="132"/>
    </row>
    <row r="67" ht="24.75" customHeight="1" spans="1:9">
      <c r="A67" s="123" t="str" cm="1">
        <f ca="1" t="array" ref="A67">IF((INDIRECT("'"&amp;INDIRECT("Main!B9")&amp;"'!A81"))=0,"",(INDIRECT("'"&amp;INDIRECT("Main!B9")&amp;"'!A81")))</f>
        <v>Donation</v>
      </c>
      <c r="B67" s="124"/>
      <c r="C67" s="125"/>
      <c r="D67" s="103"/>
      <c r="E67" s="103"/>
      <c r="F67" s="103"/>
      <c r="G67" s="103"/>
      <c r="H67" s="103"/>
      <c r="I67" s="132"/>
    </row>
    <row r="68" ht="48.75" customHeight="1" spans="1:9">
      <c r="A68" s="135" t="str" cm="1">
        <f ca="1" t="array" ref="A68">IF((INDIRECT("'"&amp;INDIRECT("Main!B9")&amp;"'!A82"))=0,"",(INDIRECT("'"&amp;INDIRECT("Main!B9")&amp;"'!A82")))</f>
        <v/>
      </c>
      <c r="B68" s="135" t="str" cm="1">
        <f ca="1" t="array" ref="B68">IF((INDIRECT("'"&amp;INDIRECT("Main!B9")&amp;"'!B82"))=0,"",(INDIRECT("'"&amp;INDIRECT("Main!B9")&amp;"'!B82")))</f>
        <v/>
      </c>
      <c r="C68" s="120">
        <v>0</v>
      </c>
      <c r="D68" s="103"/>
      <c r="E68" s="103"/>
      <c r="F68" s="103"/>
      <c r="G68" s="103"/>
      <c r="H68" s="103"/>
      <c r="I68" s="132"/>
    </row>
    <row r="69" ht="24.75" customHeight="1" spans="1:9">
      <c r="A69" s="136" t="str" cm="1">
        <f ca="1" t="array" ref="A69">IF((INDIRECT("'"&amp;INDIRECT("Main!B9")&amp;"'!A83"))=0,"",(INDIRECT("'"&amp;INDIRECT("Main!B9")&amp;"'!A83")))</f>
        <v/>
      </c>
      <c r="B69" s="136" t="str" cm="1">
        <f ca="1" t="array" ref="B69">IF((INDIRECT("'"&amp;INDIRECT("Main!B9")&amp;"'!B83"))=0,"",(INDIRECT("'"&amp;INDIRECT("Main!B9")&amp;"'!B83")))</f>
        <v/>
      </c>
      <c r="C69" s="120">
        <v>0</v>
      </c>
      <c r="D69" s="103"/>
      <c r="E69" s="103"/>
      <c r="F69" s="103"/>
      <c r="G69" s="103"/>
      <c r="H69" s="103"/>
      <c r="I69" s="132"/>
    </row>
    <row r="70" ht="24.75" customHeight="1" spans="1:9">
      <c r="A70" s="135" t="str" cm="1">
        <f ca="1" t="array" ref="A70">IF((INDIRECT("'"&amp;INDIRECT("Main!B9")&amp;"'!A84"))=0,"",(INDIRECT("'"&amp;INDIRECT("Main!B9")&amp;"'!A84")))</f>
        <v/>
      </c>
      <c r="B70" s="135" t="str" cm="1">
        <f ca="1" t="array" ref="B70">IF((INDIRECT("'"&amp;INDIRECT("Main!B9")&amp;"'!B84"))=0,"",(INDIRECT("'"&amp;INDIRECT("Main!B9")&amp;"'!B84")))</f>
        <v/>
      </c>
      <c r="C70" s="120">
        <v>0</v>
      </c>
      <c r="D70" s="103"/>
      <c r="E70" s="103"/>
      <c r="F70" s="103"/>
      <c r="G70" s="103"/>
      <c r="H70" s="103"/>
      <c r="I70" s="132"/>
    </row>
    <row r="71" ht="24.75" customHeight="1" spans="1:9">
      <c r="A71" s="135" t="str" cm="1">
        <f ca="1" t="array" ref="A71">IF((INDIRECT("'"&amp;INDIRECT("Main!B9")&amp;"'!A85"))=0,"",(INDIRECT("'"&amp;INDIRECT("Main!B9")&amp;"'!A85")))</f>
        <v/>
      </c>
      <c r="B71" s="135" t="str" cm="1">
        <f ca="1" t="array" ref="B71">IF((INDIRECT("'"&amp;INDIRECT("Main!B9")&amp;"'!B85"))=0,"",(INDIRECT("'"&amp;INDIRECT("Main!B9")&amp;"'!B85")))</f>
        <v/>
      </c>
      <c r="C71" s="120">
        <v>0</v>
      </c>
      <c r="D71" s="103"/>
      <c r="E71" s="103"/>
      <c r="F71" s="103"/>
      <c r="G71" s="103"/>
      <c r="H71" s="103"/>
      <c r="I71" s="132"/>
    </row>
    <row r="72" ht="24.75" customHeight="1" spans="1:9">
      <c r="A72" s="135" t="str" cm="1">
        <f ca="1" t="array" ref="A72">IF((INDIRECT("'"&amp;INDIRECT("Main!B9")&amp;"'!A86"))=0,"",(INDIRECT("'"&amp;INDIRECT("Main!B9")&amp;"'!A86")))</f>
        <v/>
      </c>
      <c r="B72" s="135" t="str" cm="1">
        <f ca="1" t="array" ref="B72">IF((INDIRECT("'"&amp;INDIRECT("Main!B9")&amp;"'!B86"))=0,"",(INDIRECT("'"&amp;INDIRECT("Main!B9")&amp;"'!B86")))</f>
        <v/>
      </c>
      <c r="C72" s="120">
        <v>0</v>
      </c>
      <c r="D72" s="103"/>
      <c r="E72" s="103"/>
      <c r="F72" s="103"/>
      <c r="G72" s="103"/>
      <c r="H72" s="103"/>
      <c r="I72" s="132"/>
    </row>
    <row r="73" ht="24.75" customHeight="1" spans="1:9">
      <c r="A73" s="135" t="str" cm="1">
        <f ca="1" t="array" ref="A73">IF((INDIRECT("'"&amp;INDIRECT("Main!B9")&amp;"'!A87"))=0,"",(INDIRECT("'"&amp;INDIRECT("Main!B9")&amp;"'!A87")))</f>
        <v/>
      </c>
      <c r="B73" s="135" t="str" cm="1">
        <f ca="1" t="array" ref="B73">IF((INDIRECT("'"&amp;INDIRECT("Main!B9")&amp;"'!B87"))=0,"",(INDIRECT("'"&amp;INDIRECT("Main!B9")&amp;"'!B87")))</f>
        <v/>
      </c>
      <c r="C73" s="120">
        <v>0</v>
      </c>
      <c r="D73" s="103"/>
      <c r="E73" s="103"/>
      <c r="F73" s="103"/>
      <c r="G73" s="103"/>
      <c r="H73" s="103"/>
      <c r="I73" s="132"/>
    </row>
    <row r="74" ht="24.75" customHeight="1" spans="1:9">
      <c r="A74" s="135" t="str" cm="1">
        <f ca="1" t="array" ref="A74">IF((INDIRECT("'"&amp;INDIRECT("Main!B9")&amp;"'!A88"))=0,"",(INDIRECT("'"&amp;INDIRECT("Main!B9")&amp;"'!A88")))</f>
        <v/>
      </c>
      <c r="B74" s="135" t="str" cm="1">
        <f ca="1" t="array" ref="B74">IF((INDIRECT("'"&amp;INDIRECT("Main!B9")&amp;"'!B88"))=0,"",(INDIRECT("'"&amp;INDIRECT("Main!B9")&amp;"'!B88")))</f>
        <v/>
      </c>
      <c r="C74" s="120">
        <v>0</v>
      </c>
      <c r="D74" s="103"/>
      <c r="E74" s="103"/>
      <c r="F74" s="103"/>
      <c r="G74" s="103"/>
      <c r="H74" s="103"/>
      <c r="I74" s="132"/>
    </row>
    <row r="75" ht="24.75" customHeight="1" spans="1:9">
      <c r="A75" s="134"/>
      <c r="B75" s="122" t="s">
        <v>48</v>
      </c>
      <c r="C75" s="120">
        <f>SUM(C68:C74)</f>
        <v>0</v>
      </c>
      <c r="D75" s="103"/>
      <c r="E75" s="103"/>
      <c r="F75" s="103"/>
      <c r="G75" s="103"/>
      <c r="H75" s="103"/>
      <c r="I75" s="132"/>
    </row>
    <row r="76" ht="24.75" customHeight="1" spans="1:9">
      <c r="A76" s="123" t="str" cm="1">
        <f ca="1" t="array" ref="A76">IF((INDIRECT("'"&amp;INDIRECT("Main!B9")&amp;"'!A90"))=0,"",(INDIRECT("'"&amp;INDIRECT("Main!B9")&amp;"'!A90")))</f>
        <v>Insurance (Personal / Properties / Medical)</v>
      </c>
      <c r="B76" s="124"/>
      <c r="C76" s="125"/>
      <c r="D76" s="103"/>
      <c r="E76" s="103"/>
      <c r="F76" s="103"/>
      <c r="G76" s="103"/>
      <c r="H76" s="103"/>
      <c r="I76" s="132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120">
        <v>0</v>
      </c>
      <c r="D77" s="103"/>
      <c r="E77" s="103"/>
      <c r="F77" s="103"/>
      <c r="G77" s="103"/>
      <c r="H77" s="103"/>
      <c r="I77" s="132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120">
        <v>0</v>
      </c>
      <c r="D78" s="103"/>
      <c r="E78" s="103"/>
      <c r="F78" s="103"/>
      <c r="G78" s="103"/>
      <c r="H78" s="103"/>
      <c r="I78" s="132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120">
        <v>0</v>
      </c>
      <c r="D79" s="103"/>
      <c r="E79" s="103"/>
      <c r="F79" s="103"/>
      <c r="G79" s="103"/>
      <c r="H79" s="103"/>
      <c r="I79" s="132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120">
        <v>0</v>
      </c>
      <c r="D80" s="103"/>
      <c r="E80" s="103"/>
      <c r="F80" s="103"/>
      <c r="G80" s="103"/>
      <c r="H80" s="103"/>
      <c r="I80" s="132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120">
        <v>0</v>
      </c>
      <c r="D81" s="103"/>
      <c r="E81" s="103"/>
      <c r="F81" s="103"/>
      <c r="G81" s="103"/>
      <c r="H81" s="103"/>
      <c r="I81" s="132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120">
        <v>0</v>
      </c>
      <c r="D82" s="103"/>
      <c r="E82" s="103"/>
      <c r="F82" s="103"/>
      <c r="G82" s="103"/>
      <c r="H82" s="103"/>
      <c r="I82" s="132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120">
        <v>0</v>
      </c>
      <c r="D83" s="103"/>
      <c r="E83" s="103"/>
      <c r="F83" s="103"/>
      <c r="G83" s="103"/>
      <c r="H83" s="103"/>
      <c r="I83" s="132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120">
        <v>0</v>
      </c>
      <c r="D84" s="103"/>
      <c r="E84" s="103"/>
      <c r="F84" s="103"/>
      <c r="G84" s="103"/>
      <c r="H84" s="103"/>
      <c r="I84" s="132"/>
    </row>
    <row r="85" ht="24.75" customHeight="1" spans="1:9">
      <c r="A85" s="134"/>
      <c r="B85" s="122" t="s">
        <v>48</v>
      </c>
      <c r="C85" s="120">
        <f>SUM(C77:C84)</f>
        <v>0</v>
      </c>
      <c r="D85" s="103"/>
      <c r="E85" s="103"/>
      <c r="F85" s="103"/>
      <c r="G85" s="103"/>
      <c r="H85" s="103"/>
      <c r="I85" s="132"/>
    </row>
    <row r="86" ht="24.75" customHeight="1" spans="1:9">
      <c r="A86" s="123" t="str" cm="1">
        <f ca="1" t="array" ref="A86">IF((INDIRECT("'"&amp;INDIRECT("Main!B9")&amp;"'!A100"))=0,"",(INDIRECT("'"&amp;INDIRECT("Main!B9")&amp;"'!A100")))</f>
        <v>Other Expenses</v>
      </c>
      <c r="B86" s="124"/>
      <c r="C86" s="125"/>
      <c r="D86" s="103"/>
      <c r="E86" s="103"/>
      <c r="F86" s="103"/>
      <c r="G86" s="103"/>
      <c r="H86" s="103"/>
      <c r="I86" s="132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120">
        <v>0</v>
      </c>
      <c r="D87" s="103"/>
      <c r="E87" s="103"/>
      <c r="F87" s="103"/>
      <c r="G87" s="103"/>
      <c r="H87" s="103"/>
      <c r="I87" s="132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120">
        <v>0</v>
      </c>
      <c r="D88" s="103"/>
      <c r="E88" s="103"/>
      <c r="F88" s="103"/>
      <c r="G88" s="103"/>
      <c r="H88" s="103"/>
      <c r="I88" s="132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120">
        <v>0</v>
      </c>
      <c r="D89" s="103"/>
      <c r="E89" s="103"/>
      <c r="F89" s="103"/>
      <c r="G89" s="103"/>
      <c r="H89" s="103"/>
      <c r="I89" s="132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120">
        <v>0</v>
      </c>
      <c r="D90" s="103"/>
      <c r="E90" s="152"/>
      <c r="F90" s="103"/>
      <c r="G90" s="103"/>
      <c r="H90" s="103"/>
      <c r="I90" s="132"/>
    </row>
    <row r="91" ht="24.7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120">
        <v>0</v>
      </c>
      <c r="D91" s="103"/>
      <c r="E91" s="103"/>
      <c r="F91" s="103"/>
      <c r="G91" s="103"/>
      <c r="H91" s="103"/>
      <c r="I91" s="132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120">
        <v>0</v>
      </c>
      <c r="D92" s="103"/>
      <c r="E92" s="103"/>
      <c r="F92" s="103"/>
      <c r="G92" s="103"/>
      <c r="H92" s="103"/>
      <c r="I92" s="132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120">
        <v>0</v>
      </c>
      <c r="D93" s="103"/>
      <c r="E93" s="103"/>
      <c r="F93" s="103"/>
      <c r="G93" s="103"/>
      <c r="H93" s="103"/>
      <c r="I93" s="132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120">
        <v>0</v>
      </c>
      <c r="D94" s="103"/>
      <c r="E94" s="103"/>
      <c r="F94" s="103"/>
      <c r="G94" s="103"/>
      <c r="H94" s="103"/>
      <c r="I94" s="132"/>
    </row>
    <row r="95" ht="24.75" customHeight="1" spans="1:9">
      <c r="A95" s="136"/>
      <c r="B95" s="122" t="s">
        <v>48</v>
      </c>
      <c r="C95" s="120">
        <f>SUM(C87:C94)</f>
        <v>0</v>
      </c>
      <c r="D95" s="103"/>
      <c r="E95" s="103"/>
      <c r="F95" s="103"/>
      <c r="G95" s="103"/>
      <c r="H95" s="103"/>
      <c r="I95" s="132"/>
    </row>
    <row r="96" ht="24.75" customHeight="1" spans="1:9">
      <c r="A96" s="134"/>
      <c r="B96" s="122" t="s">
        <v>53</v>
      </c>
      <c r="C96" s="120">
        <f>C55+C66+C75+C85+C95</f>
        <v>0</v>
      </c>
      <c r="D96" s="103"/>
      <c r="E96" s="103"/>
      <c r="F96" s="103"/>
      <c r="G96" s="103"/>
      <c r="H96" s="103"/>
      <c r="I96" s="132"/>
    </row>
    <row r="97" ht="24.75" customHeight="1" spans="1:9">
      <c r="A97" s="123" t="str" cm="1">
        <f ca="1" t="array" ref="A97">IF((INDIRECT("'"&amp;INDIRECT("Main!B9")&amp;"'!A111"))=0,"",(INDIRECT("'"&amp;INDIRECT("Main!B9")&amp;"'!A111")))</f>
        <v>Debts / Borrowed To</v>
      </c>
      <c r="B97" s="124"/>
      <c r="C97" s="125"/>
      <c r="D97" s="103"/>
      <c r="E97" s="103"/>
      <c r="F97" s="103"/>
      <c r="G97" s="103"/>
      <c r="H97" s="103"/>
      <c r="I97" s="132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INDIRECT("'"&amp;INDIRECT("Main!B24")&amp;"'!C98")+SUM(E118+E145+E172)</f>
        <v>0</v>
      </c>
      <c r="D98" s="103"/>
      <c r="E98" s="153"/>
      <c r="F98" s="103"/>
      <c r="G98" s="103"/>
      <c r="H98" s="103"/>
      <c r="I98" s="132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INDIRECT("'"&amp;INDIRECT("Main!B24")&amp;"'!C99")+SUM(E119+E146+E173)</f>
        <v>0</v>
      </c>
      <c r="D99" s="103"/>
      <c r="E99" s="103"/>
      <c r="F99" s="103"/>
      <c r="G99" s="103"/>
      <c r="H99" s="103"/>
      <c r="I99" s="132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INDIRECT("'"&amp;INDIRECT("Main!B24")&amp;"'!C100")+SUM(E120+E147+E174)</f>
        <v>0</v>
      </c>
      <c r="D100" s="103"/>
      <c r="E100" s="103"/>
      <c r="F100" s="103"/>
      <c r="G100" s="103"/>
      <c r="H100" s="103"/>
      <c r="I100" s="132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INDIRECT("'"&amp;INDIRECT("Main!B24")&amp;"'!C101")+SUM(E121+E148+E175)</f>
        <v>0</v>
      </c>
      <c r="D101" s="103"/>
      <c r="E101" s="103"/>
      <c r="F101" s="103"/>
      <c r="G101" s="103"/>
      <c r="H101" s="103"/>
      <c r="I101" s="132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INDIRECT("'"&amp;INDIRECT("Main!B24")&amp;"'!C102")+SUM(E122+E149+E176)</f>
        <v>0</v>
      </c>
      <c r="D102" s="103"/>
      <c r="E102" s="103"/>
      <c r="F102" s="103"/>
      <c r="G102" s="103"/>
      <c r="H102" s="103"/>
      <c r="I102" s="132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INDIRECT("'"&amp;INDIRECT("Main!B24")&amp;"'!C103")+SUM(E123+E150+E177)</f>
        <v>0</v>
      </c>
      <c r="D103" s="103"/>
      <c r="E103" s="103"/>
      <c r="F103" s="103"/>
      <c r="G103" s="103"/>
      <c r="H103" s="103"/>
      <c r="I103" s="132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INDIRECT("'"&amp;INDIRECT("Main!B24")&amp;"'!C104")+SUM(E124+E151+E178)</f>
        <v>0</v>
      </c>
      <c r="D104" s="103"/>
      <c r="E104" s="103"/>
      <c r="F104" s="103"/>
      <c r="G104" s="103"/>
      <c r="H104" s="103"/>
      <c r="I104" s="132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INDIRECT("'"&amp;INDIRECT("Main!B24")&amp;"'!C105")+SUM(E125+E152+E179)</f>
        <v>0</v>
      </c>
      <c r="D105" s="103"/>
      <c r="E105" s="103"/>
      <c r="F105" s="103"/>
      <c r="G105" s="103"/>
      <c r="H105" s="103"/>
      <c r="I105" s="132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INDIRECT("'"&amp;INDIRECT("Main!B24")&amp;"'!C106")+SUM(E126+E153+E180)</f>
        <v>0</v>
      </c>
      <c r="D106" s="103"/>
      <c r="E106" s="103"/>
      <c r="F106" s="103"/>
      <c r="G106" s="103"/>
      <c r="H106" s="103"/>
      <c r="I106" s="132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INDIRECT("'"&amp;INDIRECT("Main!B24")&amp;"'!C107")+SUM(E127+E154+E181)</f>
        <v>0</v>
      </c>
      <c r="D107" s="103"/>
      <c r="E107" s="103"/>
      <c r="F107" s="103"/>
      <c r="G107" s="103"/>
      <c r="H107" s="103"/>
      <c r="I107" s="132"/>
    </row>
    <row r="108" ht="24.75" customHeight="1" spans="1:9">
      <c r="A108" s="134"/>
      <c r="B108" s="122" t="s">
        <v>55</v>
      </c>
      <c r="C108" s="37">
        <f ca="1">SUM(C98:C107)</f>
        <v>0</v>
      </c>
      <c r="D108" s="103"/>
      <c r="E108" s="103"/>
      <c r="F108" s="103"/>
      <c r="G108" s="103"/>
      <c r="H108" s="103"/>
      <c r="I108" s="132"/>
    </row>
    <row r="109" ht="24.75" customHeight="1" spans="1:9">
      <c r="A109" s="134"/>
      <c r="B109" s="122" t="s">
        <v>56</v>
      </c>
      <c r="C109" s="37">
        <f ca="1">C108-C96</f>
        <v>0</v>
      </c>
      <c r="D109" s="103"/>
      <c r="E109" s="103"/>
      <c r="F109" s="103"/>
      <c r="G109" s="103"/>
      <c r="H109" s="103"/>
      <c r="I109" s="132"/>
    </row>
    <row r="110" ht="24.75" customHeight="1" spans="1:9">
      <c r="A110" s="103"/>
      <c r="B110" s="103"/>
      <c r="C110" s="103"/>
      <c r="D110" s="103"/>
      <c r="E110" s="103"/>
      <c r="F110" s="103"/>
      <c r="G110" s="103"/>
      <c r="H110" s="103"/>
      <c r="I110" s="132"/>
    </row>
    <row r="111" ht="24.75" customHeight="1" spans="1:9">
      <c r="A111" s="103"/>
      <c r="B111" s="103"/>
      <c r="C111" s="103"/>
      <c r="D111" s="103"/>
      <c r="E111" s="103"/>
      <c r="F111" s="103"/>
      <c r="G111" s="103"/>
      <c r="H111" s="103"/>
      <c r="I111" s="132"/>
    </row>
    <row r="112" ht="24.75" customHeight="1" spans="1:9">
      <c r="A112" s="103"/>
      <c r="B112" s="103"/>
      <c r="C112" s="103"/>
      <c r="D112" s="103"/>
      <c r="E112" s="103"/>
      <c r="F112" s="103"/>
      <c r="G112" s="103"/>
      <c r="H112" s="103"/>
      <c r="I112" s="132"/>
    </row>
    <row r="113" ht="24.75" customHeight="1" spans="1:9">
      <c r="A113" s="103"/>
      <c r="B113" s="103"/>
      <c r="C113" s="103"/>
      <c r="D113" s="103"/>
      <c r="E113" s="103"/>
      <c r="F113" s="103"/>
      <c r="G113" s="103"/>
      <c r="H113" s="103"/>
      <c r="I113" s="132"/>
    </row>
    <row r="114" ht="24.75" customHeight="1" spans="1:9">
      <c r="A114" s="137" t="str">
        <f>"Debts Or Credits For the Comming "&amp;IF(Main!B2,TEXT(EDATE(Main!B3,18),"mmmm dd yyyy"),TEXT(Main!B3+((Main!B5-Main!B3)*18+18),"mmmm dd yyyy"))&amp;" to "&amp;IF(Main!B2,TEXT(EDATE(Main!B3,19)-1,"mmmm dd yyyy"),TEXT(Main!B3+((Main!B5-Main!B3)*19+18),"mmmm dd yyyy"))</f>
        <v>Debts Or Credits For the Comming October 11 2026 to November 10 2026</v>
      </c>
      <c r="B114" s="138"/>
      <c r="C114" s="138"/>
      <c r="D114" s="138"/>
      <c r="E114" s="139"/>
      <c r="F114" s="103"/>
      <c r="G114" s="103"/>
      <c r="H114" s="103"/>
      <c r="I114" s="132"/>
    </row>
    <row r="115" ht="24.75" customHeight="1" spans="1:9">
      <c r="A115" s="137" t="s">
        <v>57</v>
      </c>
      <c r="B115" s="139"/>
      <c r="C115" s="137" t="s">
        <v>44</v>
      </c>
      <c r="D115" s="139"/>
      <c r="E115" s="154" t="s">
        <v>45</v>
      </c>
      <c r="F115" s="103"/>
      <c r="G115" s="103"/>
      <c r="H115" s="103"/>
      <c r="I115" s="132"/>
    </row>
    <row r="116" ht="24.75" customHeight="1" spans="1:9">
      <c r="A116" s="140" t="str">
        <f>"Balance Brought Forward From "&amp;IF(Main!B2,TEXT(EDATE(Main!B3,18)-1,"mmmm yyyy"),TEXT(Main!B3+((Main!B5-Main!B3)*18+17),"mmmm yyyy"))</f>
        <v>Balance Brought Forward From October 2026</v>
      </c>
      <c r="B116" s="141"/>
      <c r="C116" s="142"/>
      <c r="D116" s="142"/>
      <c r="E116" s="155" cm="1">
        <f ca="1" t="array" ref="E116">INDIRECT("'"&amp;INDIRECT("Main!B24")&amp;"'!E190")</f>
        <v>0</v>
      </c>
      <c r="F116" s="103"/>
      <c r="G116" s="103"/>
      <c r="H116" s="103"/>
      <c r="I116" s="132"/>
    </row>
    <row r="117" ht="24.75" customHeight="1" spans="1:9">
      <c r="A117" s="143" t="s">
        <v>52</v>
      </c>
      <c r="B117" s="144"/>
      <c r="C117" s="145" t="s">
        <v>58</v>
      </c>
      <c r="D117" s="146"/>
      <c r="E117" s="156"/>
      <c r="F117" s="103"/>
      <c r="G117" s="103"/>
      <c r="H117" s="103"/>
      <c r="I117" s="132"/>
    </row>
    <row r="118" ht="24.75" customHeight="1" spans="1:9">
      <c r="A118" s="147"/>
      <c r="B118" s="148"/>
      <c r="C118" s="149"/>
      <c r="D118" s="150"/>
      <c r="E118" s="120">
        <v>0</v>
      </c>
      <c r="F118" s="103"/>
      <c r="G118" s="103"/>
      <c r="H118" s="103"/>
      <c r="I118" s="132"/>
    </row>
    <row r="119" ht="24.75" customHeight="1" spans="1:9">
      <c r="A119" s="147"/>
      <c r="B119" s="148"/>
      <c r="C119" s="149"/>
      <c r="D119" s="150"/>
      <c r="E119" s="120">
        <v>0</v>
      </c>
      <c r="F119" s="103"/>
      <c r="G119" s="103"/>
      <c r="H119" s="103"/>
      <c r="I119" s="132"/>
    </row>
    <row r="120" ht="24.75" customHeight="1" spans="1:9">
      <c r="A120" s="147"/>
      <c r="B120" s="148"/>
      <c r="C120" s="149"/>
      <c r="D120" s="150"/>
      <c r="E120" s="120">
        <v>0</v>
      </c>
      <c r="F120" s="103"/>
      <c r="G120" s="103"/>
      <c r="H120" s="103"/>
      <c r="I120" s="132"/>
    </row>
    <row r="121" ht="24.75" customHeight="1" spans="1:9">
      <c r="A121" s="147"/>
      <c r="B121" s="148"/>
      <c r="C121" s="149"/>
      <c r="D121" s="150"/>
      <c r="E121" s="120">
        <v>0</v>
      </c>
      <c r="F121" s="103"/>
      <c r="G121" s="103"/>
      <c r="H121" s="103"/>
      <c r="I121" s="132"/>
    </row>
    <row r="122" ht="24.75" customHeight="1" spans="1:9">
      <c r="A122" s="147"/>
      <c r="B122" s="148"/>
      <c r="C122" s="149"/>
      <c r="D122" s="150"/>
      <c r="E122" s="120">
        <v>0</v>
      </c>
      <c r="F122" s="103"/>
      <c r="G122" s="103"/>
      <c r="H122" s="103"/>
      <c r="I122" s="132"/>
    </row>
    <row r="123" ht="24.75" customHeight="1" spans="1:9">
      <c r="A123" s="147"/>
      <c r="B123" s="148"/>
      <c r="C123" s="149"/>
      <c r="D123" s="150"/>
      <c r="E123" s="120">
        <v>0</v>
      </c>
      <c r="F123" s="103"/>
      <c r="G123" s="103"/>
      <c r="H123" s="103"/>
      <c r="I123" s="132"/>
    </row>
    <row r="124" ht="24.75" customHeight="1" spans="1:9">
      <c r="A124" s="147"/>
      <c r="B124" s="148"/>
      <c r="C124" s="149"/>
      <c r="D124" s="150"/>
      <c r="E124" s="120">
        <v>0</v>
      </c>
      <c r="F124" s="103"/>
      <c r="G124" s="103"/>
      <c r="H124" s="103"/>
      <c r="I124" s="132"/>
    </row>
    <row r="125" ht="24.75" customHeight="1" spans="1:9">
      <c r="A125" s="147"/>
      <c r="B125" s="148"/>
      <c r="C125" s="149"/>
      <c r="D125" s="150"/>
      <c r="E125" s="120">
        <v>0</v>
      </c>
      <c r="F125" s="103"/>
      <c r="G125" s="103"/>
      <c r="H125" s="103"/>
      <c r="I125" s="132"/>
    </row>
    <row r="126" ht="24.75" customHeight="1" spans="1:9">
      <c r="A126" s="147"/>
      <c r="B126" s="148"/>
      <c r="C126" s="149"/>
      <c r="D126" s="150"/>
      <c r="E126" s="120">
        <v>0</v>
      </c>
      <c r="F126" s="103"/>
      <c r="G126" s="103"/>
      <c r="H126" s="103"/>
      <c r="I126" s="132"/>
    </row>
    <row r="127" ht="24.75" customHeight="1" spans="1:9">
      <c r="A127" s="147"/>
      <c r="B127" s="148"/>
      <c r="C127" s="149"/>
      <c r="D127" s="150"/>
      <c r="E127" s="120">
        <v>0</v>
      </c>
      <c r="F127" s="103"/>
      <c r="G127" s="103"/>
      <c r="H127" s="103"/>
      <c r="I127" s="132"/>
    </row>
    <row r="128" ht="24.75" customHeight="1" spans="1:9">
      <c r="A128" s="147"/>
      <c r="B128" s="148"/>
      <c r="C128" s="151" t="s">
        <v>59</v>
      </c>
      <c r="D128" s="146"/>
      <c r="E128" s="156"/>
      <c r="F128" s="103"/>
      <c r="G128" s="103"/>
      <c r="H128" s="103"/>
      <c r="I128" s="132"/>
    </row>
    <row r="129" ht="24.75" customHeight="1" spans="1:9">
      <c r="A129" s="147"/>
      <c r="B129" s="148"/>
      <c r="C129" s="157"/>
      <c r="D129" s="158"/>
      <c r="E129" s="171">
        <v>0</v>
      </c>
      <c r="F129" s="103"/>
      <c r="G129" s="103"/>
      <c r="H129" s="103"/>
      <c r="I129" s="132"/>
    </row>
    <row r="130" ht="24.75" customHeight="1" spans="1:9">
      <c r="A130" s="147"/>
      <c r="B130" s="148"/>
      <c r="C130" s="149"/>
      <c r="D130" s="150"/>
      <c r="E130" s="171">
        <v>0</v>
      </c>
      <c r="F130" s="103"/>
      <c r="G130" s="103"/>
      <c r="H130" s="103"/>
      <c r="I130" s="132"/>
    </row>
    <row r="131" ht="24.75" customHeight="1" spans="1:9">
      <c r="A131" s="147"/>
      <c r="B131" s="148"/>
      <c r="C131" s="149"/>
      <c r="D131" s="150"/>
      <c r="E131" s="171">
        <v>0</v>
      </c>
      <c r="F131" s="103"/>
      <c r="G131" s="103"/>
      <c r="H131" s="103"/>
      <c r="I131" s="132"/>
    </row>
    <row r="132" ht="24.75" customHeight="1" spans="1:9">
      <c r="A132" s="147"/>
      <c r="B132" s="148"/>
      <c r="C132" s="149"/>
      <c r="D132" s="150"/>
      <c r="E132" s="171">
        <v>0</v>
      </c>
      <c r="F132" s="103"/>
      <c r="G132" s="103"/>
      <c r="H132" s="103"/>
      <c r="I132" s="132"/>
    </row>
    <row r="133" ht="24.75" customHeight="1" spans="1:9">
      <c r="A133" s="147"/>
      <c r="B133" s="148"/>
      <c r="C133" s="149"/>
      <c r="D133" s="150"/>
      <c r="E133" s="171">
        <v>0</v>
      </c>
      <c r="F133" s="103"/>
      <c r="G133" s="103"/>
      <c r="H133" s="103"/>
      <c r="I133" s="132"/>
    </row>
    <row r="134" ht="24.75" customHeight="1" spans="1:9">
      <c r="A134" s="159"/>
      <c r="B134" s="160"/>
      <c r="C134" s="149"/>
      <c r="D134" s="150"/>
      <c r="E134" s="171">
        <v>0</v>
      </c>
      <c r="F134" s="103"/>
      <c r="G134" s="103"/>
      <c r="H134" s="103"/>
      <c r="I134" s="132"/>
    </row>
    <row r="135" ht="24.75" customHeight="1" spans="1:9">
      <c r="A135" s="140" t="s">
        <v>60</v>
      </c>
      <c r="B135" s="161"/>
      <c r="C135" s="162"/>
      <c r="D135" s="163"/>
      <c r="E135" s="171">
        <f>C96</f>
        <v>0</v>
      </c>
      <c r="F135" s="103"/>
      <c r="G135" s="103"/>
      <c r="H135" s="103"/>
      <c r="I135" s="132"/>
    </row>
    <row r="136" ht="24.75" customHeight="1" spans="1:9">
      <c r="A136" s="164"/>
      <c r="B136" s="165"/>
      <c r="C136" s="166" t="s">
        <v>61</v>
      </c>
      <c r="D136" s="166"/>
      <c r="E136" s="172">
        <f ca="1">(F16+E116)-(SUM(E118:E127)+SUM(E129:E135))</f>
        <v>0</v>
      </c>
      <c r="F136" s="103"/>
      <c r="G136" s="103"/>
      <c r="H136" s="103"/>
      <c r="I136" s="132"/>
    </row>
    <row r="137" ht="24.75" customHeight="1" spans="1:9">
      <c r="A137" s="103"/>
      <c r="B137" s="103"/>
      <c r="C137" s="103"/>
      <c r="D137" s="103"/>
      <c r="E137" s="103"/>
      <c r="F137" s="103"/>
      <c r="G137" s="103"/>
      <c r="H137" s="103"/>
      <c r="I137" s="132"/>
    </row>
    <row r="138" ht="24.75" customHeight="1" spans="1:9">
      <c r="A138" s="103"/>
      <c r="B138" s="103"/>
      <c r="C138" s="103"/>
      <c r="D138" s="103"/>
      <c r="E138" s="103"/>
      <c r="F138" s="103"/>
      <c r="G138" s="103"/>
      <c r="H138" s="103"/>
      <c r="I138" s="132"/>
    </row>
    <row r="139" ht="24.75" customHeight="1" spans="1:9">
      <c r="A139" s="103"/>
      <c r="B139" s="103"/>
      <c r="C139" s="103"/>
      <c r="D139" s="103"/>
      <c r="E139" s="103"/>
      <c r="F139" s="103"/>
      <c r="G139" s="103"/>
      <c r="H139" s="103"/>
      <c r="I139" s="132"/>
    </row>
    <row r="140" ht="24.75" customHeight="1" spans="1:9">
      <c r="A140" s="103"/>
      <c r="B140" s="103"/>
      <c r="C140" s="103"/>
      <c r="D140" s="103"/>
      <c r="E140" s="103"/>
      <c r="F140" s="103"/>
      <c r="G140" s="103"/>
      <c r="H140" s="103"/>
      <c r="I140" s="132"/>
    </row>
    <row r="141" ht="24.75" customHeight="1" spans="1:9">
      <c r="A141" s="137" t="str">
        <f>"Debts Or Credits For the Comming "&amp;IF(Main!B2,TEXT(EDATE(Main!B3,19),"mmmm dd yyyy"),TEXT(Main!B3+((Main!B5-Main!B3)*19+19),"dd mmmm yyyy"))&amp;" to "&amp;IF(Main!B2,TEXT(EDATE(Main!B3,20)-1,"mmmm dd yyyy"),TEXT(Main!B3+((Main!B5-Main!B3)*20+19),"mmmm dd yyyy"))</f>
        <v>Debts Or Credits For the Comming November 11 2026 to December 10 2026</v>
      </c>
      <c r="B141" s="138"/>
      <c r="C141" s="138"/>
      <c r="D141" s="138"/>
      <c r="E141" s="139"/>
      <c r="F141" s="103"/>
      <c r="G141" s="103"/>
      <c r="H141" s="103"/>
      <c r="I141" s="132"/>
    </row>
    <row r="142" ht="24.75" customHeight="1" spans="1:9">
      <c r="A142" s="137" t="s">
        <v>57</v>
      </c>
      <c r="B142" s="139"/>
      <c r="C142" s="167" t="s">
        <v>44</v>
      </c>
      <c r="D142" s="168"/>
      <c r="E142" s="173" t="s">
        <v>45</v>
      </c>
      <c r="F142" s="103"/>
      <c r="G142" s="103"/>
      <c r="H142" s="103"/>
      <c r="I142" s="132"/>
    </row>
    <row r="143" ht="24.75" customHeight="1" spans="1:9">
      <c r="A143" s="140" t="str">
        <f>"Balance Brought Forward From "&amp;IF(Main!B2,TEXT(EDATE(Main!B3,19)-1,"mmmm yyyy"),TEXT(Main!B3+((Main!B5-Main!B3)*19+18),"mmmm yyyy"))</f>
        <v>Balance Brought Forward From November 2026</v>
      </c>
      <c r="B143" s="141"/>
      <c r="C143" s="142"/>
      <c r="D143" s="142"/>
      <c r="E143" s="172">
        <f ca="1">E136</f>
        <v>0</v>
      </c>
      <c r="F143" s="103"/>
      <c r="G143" s="103"/>
      <c r="H143" s="103"/>
      <c r="I143" s="132"/>
    </row>
    <row r="144" ht="24.75" customHeight="1" spans="1:9">
      <c r="A144" s="143" t="s">
        <v>52</v>
      </c>
      <c r="B144" s="144"/>
      <c r="C144" s="169" t="s">
        <v>58</v>
      </c>
      <c r="D144" s="170"/>
      <c r="E144" s="174"/>
      <c r="F144" s="103"/>
      <c r="G144" s="103"/>
      <c r="H144" s="103"/>
      <c r="I144" s="132"/>
    </row>
    <row r="145" ht="24.75" customHeight="1" spans="1:9">
      <c r="A145" s="147"/>
      <c r="B145" s="148"/>
      <c r="C145" s="149"/>
      <c r="D145" s="150"/>
      <c r="E145" s="120">
        <v>0</v>
      </c>
      <c r="F145" s="103"/>
      <c r="G145" s="103"/>
      <c r="H145" s="103"/>
      <c r="I145" s="132"/>
    </row>
    <row r="146" ht="24.75" customHeight="1" spans="1:9">
      <c r="A146" s="147"/>
      <c r="B146" s="148"/>
      <c r="C146" s="149"/>
      <c r="D146" s="150"/>
      <c r="E146" s="120">
        <v>0</v>
      </c>
      <c r="F146" s="103"/>
      <c r="G146" s="103"/>
      <c r="H146" s="103"/>
      <c r="I146" s="132"/>
    </row>
    <row r="147" ht="24.75" customHeight="1" spans="1:9">
      <c r="A147" s="147"/>
      <c r="B147" s="148"/>
      <c r="C147" s="149"/>
      <c r="D147" s="150"/>
      <c r="E147" s="120">
        <v>0</v>
      </c>
      <c r="F147" s="103"/>
      <c r="G147" s="103"/>
      <c r="H147" s="103"/>
      <c r="I147" s="132"/>
    </row>
    <row r="148" ht="24.75" customHeight="1" spans="1:9">
      <c r="A148" s="147"/>
      <c r="B148" s="148"/>
      <c r="C148" s="149"/>
      <c r="D148" s="150"/>
      <c r="E148" s="120">
        <v>0</v>
      </c>
      <c r="F148" s="103"/>
      <c r="G148" s="103"/>
      <c r="H148" s="103"/>
      <c r="I148" s="132"/>
    </row>
    <row r="149" ht="24.75" customHeight="1" spans="1:9">
      <c r="A149" s="147"/>
      <c r="B149" s="148"/>
      <c r="C149" s="149"/>
      <c r="D149" s="150"/>
      <c r="E149" s="120">
        <v>0</v>
      </c>
      <c r="F149" s="103"/>
      <c r="G149" s="103"/>
      <c r="H149" s="103"/>
      <c r="I149" s="132"/>
    </row>
    <row r="150" ht="24.75" customHeight="1" spans="1:9">
      <c r="A150" s="147"/>
      <c r="B150" s="148"/>
      <c r="C150" s="149"/>
      <c r="D150" s="150"/>
      <c r="E150" s="120">
        <v>0</v>
      </c>
      <c r="F150" s="103"/>
      <c r="G150" s="103"/>
      <c r="H150" s="103"/>
      <c r="I150" s="132"/>
    </row>
    <row r="151" ht="24.75" customHeight="1" spans="1:9">
      <c r="A151" s="147"/>
      <c r="B151" s="148"/>
      <c r="C151" s="149"/>
      <c r="D151" s="150"/>
      <c r="E151" s="120">
        <v>0</v>
      </c>
      <c r="F151" s="103"/>
      <c r="G151" s="103"/>
      <c r="H151" s="103"/>
      <c r="I151" s="132"/>
    </row>
    <row r="152" ht="24.75" customHeight="1" spans="1:9">
      <c r="A152" s="147"/>
      <c r="B152" s="148"/>
      <c r="C152" s="149"/>
      <c r="D152" s="150"/>
      <c r="E152" s="120">
        <v>0</v>
      </c>
      <c r="F152" s="103"/>
      <c r="G152" s="103"/>
      <c r="H152" s="103"/>
      <c r="I152" s="132"/>
    </row>
    <row r="153" ht="24.75" customHeight="1" spans="1:9">
      <c r="A153" s="147"/>
      <c r="B153" s="148"/>
      <c r="C153" s="149"/>
      <c r="D153" s="150"/>
      <c r="E153" s="120">
        <v>0</v>
      </c>
      <c r="F153" s="103"/>
      <c r="G153" s="103"/>
      <c r="H153" s="103"/>
      <c r="I153" s="132"/>
    </row>
    <row r="154" ht="24.75" customHeight="1" spans="1:9">
      <c r="A154" s="147"/>
      <c r="B154" s="148"/>
      <c r="C154" s="149"/>
      <c r="D154" s="150"/>
      <c r="E154" s="120">
        <v>0</v>
      </c>
      <c r="F154" s="103"/>
      <c r="G154" s="103"/>
      <c r="H154" s="103"/>
      <c r="I154" s="132"/>
    </row>
    <row r="155" ht="24.75" customHeight="1" spans="1:9">
      <c r="A155" s="147"/>
      <c r="B155" s="148"/>
      <c r="C155" s="151" t="s">
        <v>59</v>
      </c>
      <c r="D155" s="146"/>
      <c r="E155" s="156"/>
      <c r="F155" s="103"/>
      <c r="G155" s="103"/>
      <c r="H155" s="103"/>
      <c r="I155" s="132"/>
    </row>
    <row r="156" ht="24.75" customHeight="1" spans="1:9">
      <c r="A156" s="147"/>
      <c r="B156" s="148"/>
      <c r="C156" s="157"/>
      <c r="D156" s="158"/>
      <c r="E156" s="171">
        <v>0</v>
      </c>
      <c r="F156" s="103"/>
      <c r="G156" s="103"/>
      <c r="H156" s="103"/>
      <c r="I156" s="132"/>
    </row>
    <row r="157" ht="24.75" customHeight="1" spans="1:9">
      <c r="A157" s="147"/>
      <c r="B157" s="148"/>
      <c r="C157" s="149"/>
      <c r="D157" s="150"/>
      <c r="E157" s="171">
        <v>0</v>
      </c>
      <c r="F157" s="103"/>
      <c r="G157" s="103"/>
      <c r="H157" s="103"/>
      <c r="I157" s="132"/>
    </row>
    <row r="158" ht="24.75" customHeight="1" spans="1:9">
      <c r="A158" s="147"/>
      <c r="B158" s="148"/>
      <c r="C158" s="149"/>
      <c r="D158" s="150"/>
      <c r="E158" s="171">
        <v>0</v>
      </c>
      <c r="F158" s="103"/>
      <c r="G158" s="103"/>
      <c r="H158" s="103"/>
      <c r="I158" s="132"/>
    </row>
    <row r="159" ht="24.75" customHeight="1" spans="1:9">
      <c r="A159" s="147"/>
      <c r="B159" s="148"/>
      <c r="C159" s="149"/>
      <c r="D159" s="150"/>
      <c r="E159" s="171">
        <v>0</v>
      </c>
      <c r="F159" s="103"/>
      <c r="G159" s="103"/>
      <c r="H159" s="103"/>
      <c r="I159" s="132"/>
    </row>
    <row r="160" ht="24.75" customHeight="1" spans="1:9">
      <c r="A160" s="147"/>
      <c r="B160" s="148"/>
      <c r="C160" s="149"/>
      <c r="D160" s="150"/>
      <c r="E160" s="171">
        <v>0</v>
      </c>
      <c r="F160" s="103"/>
      <c r="G160" s="103"/>
      <c r="H160" s="103"/>
      <c r="I160" s="132"/>
    </row>
    <row r="161" ht="24.75" customHeight="1" spans="1:9">
      <c r="A161" s="159"/>
      <c r="B161" s="160"/>
      <c r="C161" s="149"/>
      <c r="D161" s="150"/>
      <c r="E161" s="171">
        <v>0</v>
      </c>
      <c r="F161" s="103"/>
      <c r="G161" s="103"/>
      <c r="H161" s="103"/>
      <c r="I161" s="132"/>
    </row>
    <row r="162" ht="24.75" customHeight="1" spans="1:9">
      <c r="A162" s="140" t="s">
        <v>60</v>
      </c>
      <c r="B162" s="161"/>
      <c r="C162" s="162"/>
      <c r="D162" s="163"/>
      <c r="E162" s="171">
        <f>C96</f>
        <v>0</v>
      </c>
      <c r="F162" s="103"/>
      <c r="G162" s="103"/>
      <c r="H162" s="103"/>
      <c r="I162" s="132"/>
    </row>
    <row r="163" ht="24.75" customHeight="1" spans="1:9">
      <c r="A163" s="164"/>
      <c r="B163" s="165"/>
      <c r="C163" s="166" t="s">
        <v>61</v>
      </c>
      <c r="D163" s="166"/>
      <c r="E163" s="175">
        <f ca="1">(F28+E143)-(SUM(E145:E154)+SUM(E156:E162))</f>
        <v>0</v>
      </c>
      <c r="F163" s="103"/>
      <c r="G163" s="103"/>
      <c r="H163" s="103"/>
      <c r="I163" s="132"/>
    </row>
    <row r="164" ht="24.75" customHeight="1" spans="1:9">
      <c r="A164" s="103"/>
      <c r="B164" s="103"/>
      <c r="C164" s="103"/>
      <c r="D164" s="103"/>
      <c r="E164" s="103"/>
      <c r="F164" s="103"/>
      <c r="G164" s="103"/>
      <c r="H164" s="103"/>
      <c r="I164" s="132"/>
    </row>
    <row r="165" ht="24.75" customHeight="1" spans="1:9">
      <c r="A165" s="103"/>
      <c r="B165" s="103"/>
      <c r="C165" s="103"/>
      <c r="D165" s="103"/>
      <c r="E165" s="103"/>
      <c r="F165" s="103"/>
      <c r="G165" s="103"/>
      <c r="H165" s="103"/>
      <c r="I165" s="132"/>
    </row>
    <row r="166" ht="24.75" customHeight="1" spans="1:9">
      <c r="A166" s="103"/>
      <c r="B166" s="103"/>
      <c r="C166" s="103"/>
      <c r="D166" s="103"/>
      <c r="E166" s="103"/>
      <c r="F166" s="103"/>
      <c r="G166" s="103"/>
      <c r="H166" s="103"/>
      <c r="I166" s="132"/>
    </row>
    <row r="167" ht="24.75" customHeight="1" spans="1:9">
      <c r="A167" s="103"/>
      <c r="B167" s="103"/>
      <c r="C167" s="103"/>
      <c r="D167" s="103"/>
      <c r="E167" s="103"/>
      <c r="F167" s="103"/>
      <c r="G167" s="103"/>
      <c r="H167" s="103"/>
      <c r="I167" s="132"/>
    </row>
    <row r="168" ht="24.75" customHeight="1" spans="1:9">
      <c r="A168" s="137" t="str">
        <f>"Debts Or Credits For the Comming "&amp;IF(Main!B2,TEXT(EDATE(Main!B3,20),"mmmm dd yyyy"),TEXT(Main!B3+((Main!B5-Main!B3)*20+20),"mmmm dd yyyy"))&amp;" to "&amp;IF(Main!B2,TEXT(EDATE(Main!B3,21)-1,"mmmm dd yyyy"),TEXT(Main!B3+((Main!B5-Main!B3)*21+20),"mmmm dd yyyy"))</f>
        <v>Debts Or Credits For the Comming December 11 2026 to January 10 2027</v>
      </c>
      <c r="B168" s="138"/>
      <c r="C168" s="138"/>
      <c r="D168" s="138"/>
      <c r="E168" s="139"/>
      <c r="F168" s="103"/>
      <c r="G168" s="103"/>
      <c r="H168" s="103"/>
      <c r="I168" s="132"/>
    </row>
    <row r="169" ht="24.75" customHeight="1" spans="1:9">
      <c r="A169" s="137" t="s">
        <v>57</v>
      </c>
      <c r="B169" s="139"/>
      <c r="C169" s="167" t="s">
        <v>44</v>
      </c>
      <c r="D169" s="168"/>
      <c r="E169" s="173" t="s">
        <v>45</v>
      </c>
      <c r="F169" s="103"/>
      <c r="G169" s="103"/>
      <c r="H169" s="103"/>
      <c r="I169" s="132"/>
    </row>
    <row r="170" ht="24.75" customHeight="1" spans="1:9">
      <c r="A170" s="140" t="str">
        <f>"Balance Brought Forward From "&amp;IF(Main!B2,TEXT(EDATE(Main!B3,20)-1,"mmmm yyyy"),TEXT(Main!B3+((Main!B5-Main!B3)*20+19),"mmmm yyyy"))</f>
        <v>Balance Brought Forward From December 2026</v>
      </c>
      <c r="B170" s="141"/>
      <c r="C170" s="142"/>
      <c r="D170" s="142"/>
      <c r="E170" s="175">
        <f ca="1">E163</f>
        <v>0</v>
      </c>
      <c r="F170" s="103"/>
      <c r="G170" s="103"/>
      <c r="H170" s="103"/>
      <c r="I170" s="132"/>
    </row>
    <row r="171" ht="24.75" customHeight="1" spans="1:9">
      <c r="A171" s="143" t="s">
        <v>52</v>
      </c>
      <c r="B171" s="144"/>
      <c r="C171" s="169" t="s">
        <v>58</v>
      </c>
      <c r="D171" s="170"/>
      <c r="E171" s="174"/>
      <c r="F171" s="103"/>
      <c r="G171" s="103"/>
      <c r="H171" s="103"/>
      <c r="I171" s="132"/>
    </row>
    <row r="172" ht="24.75" customHeight="1" spans="1:9">
      <c r="A172" s="147"/>
      <c r="B172" s="148"/>
      <c r="C172" s="149"/>
      <c r="D172" s="150"/>
      <c r="E172" s="120">
        <v>0</v>
      </c>
      <c r="F172" s="103"/>
      <c r="G172" s="103"/>
      <c r="H172" s="103"/>
      <c r="I172" s="132"/>
    </row>
    <row r="173" ht="24.75" customHeight="1" spans="1:9">
      <c r="A173" s="147"/>
      <c r="B173" s="148"/>
      <c r="C173" s="149"/>
      <c r="D173" s="150"/>
      <c r="E173" s="120">
        <v>0</v>
      </c>
      <c r="F173" s="103"/>
      <c r="G173" s="103"/>
      <c r="H173" s="103"/>
      <c r="I173" s="132"/>
    </row>
    <row r="174" ht="24.75" customHeight="1" spans="1:9">
      <c r="A174" s="147"/>
      <c r="B174" s="148"/>
      <c r="C174" s="149"/>
      <c r="D174" s="150"/>
      <c r="E174" s="120">
        <v>0</v>
      </c>
      <c r="F174" s="103"/>
      <c r="G174" s="103"/>
      <c r="H174" s="103"/>
      <c r="I174" s="132"/>
    </row>
    <row r="175" ht="24.75" customHeight="1" spans="1:9">
      <c r="A175" s="147"/>
      <c r="B175" s="148"/>
      <c r="C175" s="149"/>
      <c r="D175" s="150"/>
      <c r="E175" s="120">
        <v>0</v>
      </c>
      <c r="F175" s="103"/>
      <c r="G175" s="103"/>
      <c r="H175" s="103"/>
      <c r="I175" s="132"/>
    </row>
    <row r="176" ht="24.75" customHeight="1" spans="1:9">
      <c r="A176" s="147"/>
      <c r="B176" s="148"/>
      <c r="C176" s="149"/>
      <c r="D176" s="150"/>
      <c r="E176" s="120">
        <v>0</v>
      </c>
      <c r="F176" s="103"/>
      <c r="G176" s="103"/>
      <c r="H176" s="103"/>
      <c r="I176" s="132"/>
    </row>
    <row r="177" ht="24.75" customHeight="1" spans="1:9">
      <c r="A177" s="147"/>
      <c r="B177" s="148"/>
      <c r="C177" s="149"/>
      <c r="D177" s="150"/>
      <c r="E177" s="120">
        <v>0</v>
      </c>
      <c r="F177" s="103"/>
      <c r="G177" s="103"/>
      <c r="H177" s="103"/>
      <c r="I177" s="132"/>
    </row>
    <row r="178" ht="24.75" customHeight="1" spans="1:9">
      <c r="A178" s="147"/>
      <c r="B178" s="148"/>
      <c r="C178" s="149"/>
      <c r="D178" s="150"/>
      <c r="E178" s="120">
        <v>0</v>
      </c>
      <c r="F178" s="103"/>
      <c r="G178" s="103"/>
      <c r="H178" s="103"/>
      <c r="I178" s="132"/>
    </row>
    <row r="179" ht="24.75" customHeight="1" spans="1:9">
      <c r="A179" s="147"/>
      <c r="B179" s="148"/>
      <c r="C179" s="149"/>
      <c r="D179" s="150"/>
      <c r="E179" s="120">
        <v>0</v>
      </c>
      <c r="F179" s="103"/>
      <c r="G179" s="103"/>
      <c r="H179" s="103"/>
      <c r="I179" s="132"/>
    </row>
    <row r="180" ht="24.75" customHeight="1" spans="1:9">
      <c r="A180" s="147"/>
      <c r="B180" s="148"/>
      <c r="C180" s="149"/>
      <c r="D180" s="150"/>
      <c r="E180" s="120">
        <v>0</v>
      </c>
      <c r="F180" s="103"/>
      <c r="G180" s="103"/>
      <c r="H180" s="103"/>
      <c r="I180" s="132"/>
    </row>
    <row r="181" ht="24.75" customHeight="1" spans="1:9">
      <c r="A181" s="147"/>
      <c r="B181" s="148"/>
      <c r="C181" s="149"/>
      <c r="D181" s="150"/>
      <c r="E181" s="120">
        <v>0</v>
      </c>
      <c r="F181" s="103"/>
      <c r="G181" s="103"/>
      <c r="H181" s="103"/>
      <c r="I181" s="132"/>
    </row>
    <row r="182" ht="24.75" customHeight="1" spans="1:9">
      <c r="A182" s="147"/>
      <c r="B182" s="148"/>
      <c r="C182" s="151" t="s">
        <v>59</v>
      </c>
      <c r="D182" s="146"/>
      <c r="E182" s="156"/>
      <c r="F182" s="103"/>
      <c r="G182" s="103"/>
      <c r="H182" s="103"/>
      <c r="I182" s="132"/>
    </row>
    <row r="183" ht="24.75" customHeight="1" spans="1:9">
      <c r="A183" s="147"/>
      <c r="B183" s="148"/>
      <c r="C183" s="157"/>
      <c r="D183" s="158"/>
      <c r="E183" s="171">
        <v>0</v>
      </c>
      <c r="F183" s="103"/>
      <c r="G183" s="103"/>
      <c r="H183" s="103"/>
      <c r="I183" s="132"/>
    </row>
    <row r="184" ht="24.75" customHeight="1" spans="1:9">
      <c r="A184" s="147"/>
      <c r="B184" s="148"/>
      <c r="C184" s="149"/>
      <c r="D184" s="150"/>
      <c r="E184" s="171">
        <v>0</v>
      </c>
      <c r="F184" s="103"/>
      <c r="G184" s="103"/>
      <c r="H184" s="103"/>
      <c r="I184" s="132"/>
    </row>
    <row r="185" ht="24.75" customHeight="1" spans="1:9">
      <c r="A185" s="147"/>
      <c r="B185" s="148"/>
      <c r="C185" s="149"/>
      <c r="D185" s="150"/>
      <c r="E185" s="171">
        <v>0</v>
      </c>
      <c r="F185" s="103"/>
      <c r="G185" s="103"/>
      <c r="H185" s="103"/>
      <c r="I185" s="132"/>
    </row>
    <row r="186" ht="24.75" customHeight="1" spans="1:9">
      <c r="A186" s="147"/>
      <c r="B186" s="148"/>
      <c r="C186" s="149"/>
      <c r="D186" s="150"/>
      <c r="E186" s="171">
        <v>0</v>
      </c>
      <c r="F186" s="103"/>
      <c r="G186" s="103"/>
      <c r="H186" s="103"/>
      <c r="I186" s="132"/>
    </row>
    <row r="187" ht="24.75" customHeight="1" spans="1:9">
      <c r="A187" s="147"/>
      <c r="B187" s="148"/>
      <c r="C187" s="149"/>
      <c r="D187" s="150"/>
      <c r="E187" s="171">
        <v>0</v>
      </c>
      <c r="F187" s="103"/>
      <c r="G187" s="103"/>
      <c r="H187" s="103"/>
      <c r="I187" s="132"/>
    </row>
    <row r="188" ht="24.75" customHeight="1" spans="1:9">
      <c r="A188" s="159"/>
      <c r="B188" s="160"/>
      <c r="C188" s="149"/>
      <c r="D188" s="150"/>
      <c r="E188" s="171">
        <v>0</v>
      </c>
      <c r="F188" s="103"/>
      <c r="G188" s="103"/>
      <c r="H188" s="103"/>
      <c r="I188" s="132"/>
    </row>
    <row r="189" ht="24.75" customHeight="1" spans="1:9">
      <c r="A189" s="140" t="s">
        <v>60</v>
      </c>
      <c r="B189" s="161"/>
      <c r="C189" s="162"/>
      <c r="D189" s="163"/>
      <c r="E189" s="171">
        <f>C96</f>
        <v>0</v>
      </c>
      <c r="F189" s="103"/>
      <c r="G189" s="103"/>
      <c r="H189" s="103"/>
      <c r="I189" s="132"/>
    </row>
    <row r="190" ht="24.75" customHeight="1" spans="1:9">
      <c r="A190" s="164"/>
      <c r="B190" s="165"/>
      <c r="C190" s="166" t="s">
        <v>61</v>
      </c>
      <c r="D190" s="166"/>
      <c r="E190" s="175">
        <f ca="1">(F40+E170)-(SUM(E172:E181)+SUM(E183:E189))</f>
        <v>0</v>
      </c>
      <c r="F190" s="103"/>
      <c r="G190" s="103"/>
      <c r="H190" s="103"/>
      <c r="I190" s="132"/>
    </row>
    <row r="191" ht="24.75" customHeight="1" spans="1:9">
      <c r="A191" s="103"/>
      <c r="B191" s="103"/>
      <c r="C191" s="103"/>
      <c r="D191" s="103"/>
      <c r="E191" s="103"/>
      <c r="F191" s="103"/>
      <c r="G191" s="103"/>
      <c r="H191" s="103"/>
      <c r="I191" s="132"/>
    </row>
    <row r="192" ht="24.75" customHeight="1" spans="1:9">
      <c r="A192" s="126"/>
      <c r="B192" s="126"/>
      <c r="C192" s="126"/>
      <c r="D192" s="126"/>
      <c r="E192" s="126"/>
      <c r="F192" s="126"/>
      <c r="G192" s="126"/>
      <c r="H192" s="126"/>
      <c r="I192" s="126"/>
    </row>
    <row r="193" spans="1:9">
      <c r="A193" s="126"/>
      <c r="B193" s="126"/>
      <c r="C193" s="126"/>
      <c r="D193" s="126"/>
      <c r="E193" s="126"/>
      <c r="F193" s="126"/>
      <c r="G193" s="126"/>
      <c r="H193" s="126"/>
      <c r="I193" s="126"/>
    </row>
  </sheetData>
  <sheetProtection sheet="1" formatCells="0" formatColumns="0" formatRows="0" objects="1"/>
  <protectedRanges>
    <protectedRange sqref="A10:G15 A22:G27 A34:G39 C47:C54 C57:C65 C68:C74 C77:C83 C87:C94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1" priority="14" operator="greaterThanOrEqual">
      <formula>0</formula>
    </cfRule>
    <cfRule type="cellIs" dxfId="2" priority="13" operator="lessThan">
      <formula>0</formula>
    </cfRule>
  </conditionalFormatting>
  <conditionalFormatting sqref="C75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77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98">
    <cfRule type="cellIs" dxfId="2" priority="28" operator="lessThan">
      <formula>0</formula>
    </cfRule>
    <cfRule type="cellIs" dxfId="5" priority="27" operator="greaterThanOrEqual">
      <formula>0</formula>
    </cfRule>
  </conditionalFormatting>
  <conditionalFormatting sqref="E116">
    <cfRule type="cellIs" dxfId="3" priority="20" operator="greaterThanOrEqual">
      <formula>0</formula>
    </cfRule>
    <cfRule type="cellIs" dxfId="4" priority="19" operator="lessThan">
      <formula>0</formula>
    </cfRule>
  </conditionalFormatting>
  <conditionalFormatting sqref="E136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43">
    <cfRule type="cellIs" dxfId="3" priority="38" operator="greaterThanOrEqual">
      <formula>0</formula>
    </cfRule>
    <cfRule type="cellIs" dxfId="4" priority="37" operator="lessThan">
      <formula>0</formula>
    </cfRule>
  </conditionalFormatting>
  <conditionalFormatting sqref="E163">
    <cfRule type="cellIs" dxfId="3" priority="40" operator="greaterThanOrEqual">
      <formula>0</formula>
    </cfRule>
    <cfRule type="cellIs" dxfId="4" priority="39" operator="lessThan">
      <formula>0</formula>
    </cfRule>
  </conditionalFormatting>
  <conditionalFormatting sqref="E170">
    <cfRule type="cellIs" dxfId="3" priority="32" operator="greaterThanOrEqual">
      <formula>0</formula>
    </cfRule>
    <cfRule type="cellIs" dxfId="4" priority="31" operator="lessThan">
      <formula>0</formula>
    </cfRule>
  </conditionalFormatting>
  <conditionalFormatting sqref="E190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C57:C66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68:C69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70:C7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78:C79">
    <cfRule type="cellIs" dxfId="1" priority="18" operator="equal">
      <formula>0</formula>
    </cfRule>
    <cfRule type="cellIs" dxfId="2" priority="17" operator="greaterThan">
      <formula>0</formula>
    </cfRule>
  </conditionalFormatting>
  <conditionalFormatting sqref="C80:C84">
    <cfRule type="cellIs" dxfId="1" priority="47" operator="equal">
      <formula>0</formula>
    </cfRule>
    <cfRule type="cellIs" dxfId="2" priority="46" operator="greaterThan">
      <formula>0</formula>
    </cfRule>
  </conditionalFormatting>
  <conditionalFormatting sqref="C87:C89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C90:C91">
    <cfRule type="cellIs" dxfId="1" priority="16" operator="equal">
      <formula>0</formula>
    </cfRule>
    <cfRule type="cellIs" dxfId="2" priority="15" operator="greaterThan">
      <formula>0</formula>
    </cfRule>
  </conditionalFormatting>
  <conditionalFormatting sqref="C92:C94">
    <cfRule type="cellIs" dxfId="1" priority="45" operator="equal">
      <formula>0</formula>
    </cfRule>
    <cfRule type="cellIs" dxfId="2" priority="44" operator="greaterThan">
      <formula>0</formula>
    </cfRule>
  </conditionalFormatting>
  <conditionalFormatting sqref="C99:C109">
    <cfRule type="cellIs" dxfId="2" priority="2" operator="lessThan">
      <formula>0</formula>
    </cfRule>
    <cfRule type="cellIs" dxfId="5" priority="1" operator="greaterThanOrEqual">
      <formula>0</formula>
    </cfRule>
  </conditionalFormatting>
  <conditionalFormatting sqref="E118:E127">
    <cfRule type="cellIs" dxfId="1" priority="26" operator="greaterThanOrEqual">
      <formula>0</formula>
    </cfRule>
    <cfRule type="cellIs" dxfId="2" priority="25" operator="greaterThan">
      <formula>0</formula>
    </cfRule>
  </conditionalFormatting>
  <conditionalFormatting sqref="E145:E154">
    <cfRule type="cellIs" dxfId="1" priority="6" operator="greaterThanOrEqual">
      <formula>0</formula>
    </cfRule>
    <cfRule type="cellIs" dxfId="2" priority="5" operator="greaterThan">
      <formula>0</formula>
    </cfRule>
  </conditionalFormatting>
  <conditionalFormatting sqref="E172:E181">
    <cfRule type="cellIs" dxfId="1" priority="4" operator="greaterThanOrEqual">
      <formula>0</formula>
    </cfRule>
    <cfRule type="cellIs" dxfId="2" priority="3" operator="greaterThan">
      <formula>0</formula>
    </cfRule>
  </conditionalFormatting>
  <conditionalFormatting sqref="C47:C55 C85 C95:C96">
    <cfRule type="cellIs" dxfId="1" priority="65" operator="equal">
      <formula>0</formula>
    </cfRule>
  </conditionalFormatting>
  <conditionalFormatting sqref="C47:C55 C85 C95:C96 E144 E155:E162">
    <cfRule type="cellIs" dxfId="2" priority="64" operator="greaterThan">
      <formula>0</formula>
    </cfRule>
  </conditionalFormatting>
  <conditionalFormatting sqref="E117 E128:E135">
    <cfRule type="cellIs" dxfId="1" priority="53" operator="equal">
      <formula>0</formula>
    </cfRule>
    <cfRule type="cellIs" dxfId="2" priority="52" operator="greaterThan">
      <formula>0</formula>
    </cfRule>
  </conditionalFormatting>
  <conditionalFormatting sqref="E144 E155:E162">
    <cfRule type="cellIs" dxfId="5" priority="41" operator="equal">
      <formula>0</formula>
    </cfRule>
  </conditionalFormatting>
  <conditionalFormatting sqref="E171 E182:E189">
    <cfRule type="cellIs" dxfId="5" priority="36" operator="equal">
      <formula>0</formula>
    </cfRule>
    <cfRule type="cellIs" dxfId="2" priority="35" operator="greaterThan">
      <formula>0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C5" sqref="C5:G5"/>
    </sheetView>
  </sheetViews>
  <sheetFormatPr defaultColWidth="9" defaultRowHeight="17.6"/>
  <cols>
    <col min="1" max="1" width="20.625" style="1" customWidth="1"/>
    <col min="2" max="2" width="25" style="1" customWidth="1"/>
    <col min="3" max="3" width="21.25" style="1" customWidth="1"/>
    <col min="4" max="8" width="20.625" style="1" customWidth="1"/>
    <col min="9" max="16384" width="9" style="1"/>
  </cols>
  <sheetData>
    <row r="1" ht="24.75" customHeight="1" spans="1:9">
      <c r="A1" s="2" t="str">
        <f>"Forecasts For the Year "&amp;IF(Main!B2,TEXT(EDATE(Main!B3,21),"mmmm yyyy"),TEXT(Main!B3+((Main!B5-Main!B3)*21+21),"mmmm yyyy"))&amp;" to "&amp;IF(Main!B2,TEXT(EDATE(Main!B3,24)-1,"mmmm yyyy"),TEXT(Main!B3+((Main!B5-Main!B3)*24+23),"mmmm yyyy"))</f>
        <v>Forecasts For the Year January 2027 to April 2027</v>
      </c>
      <c r="B1" s="2"/>
      <c r="C1" s="2"/>
      <c r="D1" s="2"/>
      <c r="E1" s="2"/>
      <c r="F1" s="2"/>
      <c r="G1" s="2"/>
      <c r="H1" s="44"/>
      <c r="I1" s="44"/>
    </row>
    <row r="2" ht="24.75" customHeight="1" spans="1:9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  <c r="H2" s="44"/>
      <c r="I2" s="44"/>
    </row>
    <row r="3" ht="24.75" customHeight="1" spans="1:9">
      <c r="A3" s="6"/>
      <c r="B3" s="7" t="s">
        <v>63</v>
      </c>
      <c r="C3" s="8">
        <f ca="1">E190</f>
        <v>0</v>
      </c>
      <c r="D3" s="8"/>
      <c r="E3" s="8"/>
      <c r="F3" s="8"/>
      <c r="G3" s="8"/>
      <c r="H3" s="44"/>
      <c r="I3" s="44"/>
    </row>
    <row r="4" ht="24.75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24.75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24.75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IF(Main!B2,TEXT(EDATE(Main!B3,21),"dd mmmm yyyy"),TEXT(Main!B3+((Main!B5-Main!B3)*21+21),"dd mmmm yyyy"))&amp;" - "&amp;IF(Main!B2,TEXT(EDATE(Main!B3,22)-1,"dd mmmm yyyy"),TEXT(Main!B3+((Main!B5-Main!B3)*22+21),"dd mmmm yyyy"))&amp;" / "&amp;" (Revenue / Deferred Debts Or Expenses)"</f>
        <v>11 January 2027 - 10 February 2027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IF(Main!B2,TEXT(EDATE(Main!B3,22),"dd mmmm yyyy"),TEXT(Main!B3+((Main!B5-Main!B3)*22+22),"dd mmmm yyyy"))&amp;" - "&amp;IF(Main!B2,TEXT(EDATE(Main!B3,23)-1,"dd mmmm yyyy"),TEXT(Main!B3+((Main!B5-Main!B3)*23+22),"dd mmmm yyyy"))&amp;" / "&amp;" (Revenue / Deferred Debts Or Expenses)"</f>
        <v>11 February 2027 - 10 March 2027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IF(Main!B2,TEXT(EDATE(Main!B3,23),"dd mmmm yyyy"),TEXT(Main!B3+((Main!B5-Main!B3)*23+23),"dd mmmm yyyy"))&amp;" - "&amp;IF(Main!B2,TEXT(EDATE(Main!B3,24)-1,"dd mmmm yyyy"),TEXT(Main!B3+((Main!B5-Main!B3)*24+23),"dd mmmm yyyy"))&amp;" / "&amp;" (Revenue / Deferred Debts Or Expenses)"</f>
        <v>11 March 2027 - 10 April 2027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24.75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24.75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24.75" customHeight="1" spans="1:9">
      <c r="A44" s="29" t="str">
        <f>"Fixed Expense For the Year "&amp;IF(Main!B2,TEXT(EDATE(Main!B3,21),"mmmm yyyy"),TEXT(Main!B3+((Main!B5-Main!B3)*21+21),"mmmm yyyy"))&amp;" to "&amp;IF(Main!B2,TEXT(EDATE(Main!B3,24)-1,"mmmm yyyy"),TEXT(Main!B3+((Main!B5-Main!B3)*24+23),"mmmm yyyy"))</f>
        <v>Fixed Expense For the Year January 2027 to April 2027</v>
      </c>
      <c r="B44" s="30"/>
      <c r="C44" s="31"/>
      <c r="D44" s="15"/>
      <c r="E44" s="15"/>
      <c r="F44" s="15"/>
      <c r="G44" s="15"/>
      <c r="H44" s="15"/>
      <c r="I44" s="51"/>
    </row>
    <row r="45" ht="24.75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24.75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24.75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24.75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24.75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24.75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24.7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24.75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24.75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24.75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24.75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24.75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24.75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24.75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24.75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24.75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24.75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24.7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24.75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24.75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24.75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INDIRECT("'"&amp;INDIRECT("Main!B27")&amp;"'!C98")+SUM(E118+E145+E172)</f>
        <v>0</v>
      </c>
      <c r="D98" s="15"/>
      <c r="E98" s="93"/>
      <c r="F98" s="15"/>
      <c r="G98" s="15"/>
      <c r="H98" s="15"/>
      <c r="I98" s="51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INDIRECT("'"&amp;INDIRECT("Main!B27")&amp;"'!C99")+SUM(E119+E146+E173)</f>
        <v>0</v>
      </c>
      <c r="D99" s="15"/>
      <c r="E99" s="15"/>
      <c r="F99" s="15"/>
      <c r="G99" s="15"/>
      <c r="H99" s="15"/>
      <c r="I99" s="51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INDIRECT("'"&amp;INDIRECT("Main!B27")&amp;"'!C100")+SUM(E120+E147+E174)</f>
        <v>0</v>
      </c>
      <c r="D100" s="15"/>
      <c r="E100" s="15"/>
      <c r="F100" s="15"/>
      <c r="G100" s="15"/>
      <c r="H100" s="15"/>
      <c r="I100" s="51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INDIRECT("'"&amp;INDIRECT("Main!B27")&amp;"'!C101")+SUM(E121+E148+E175)</f>
        <v>0</v>
      </c>
      <c r="D101" s="15"/>
      <c r="E101" s="15"/>
      <c r="F101" s="15"/>
      <c r="G101" s="15"/>
      <c r="H101" s="15"/>
      <c r="I101" s="51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INDIRECT("'"&amp;INDIRECT("Main!B27")&amp;"'!C102")+SUM(E122+E149+E176)</f>
        <v>0</v>
      </c>
      <c r="D102" s="15"/>
      <c r="E102" s="15"/>
      <c r="F102" s="15"/>
      <c r="G102" s="15"/>
      <c r="H102" s="15"/>
      <c r="I102" s="51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INDIRECT("'"&amp;INDIRECT("Main!B27")&amp;"'!C103")+SUM(E123+E150+E177)</f>
        <v>0</v>
      </c>
      <c r="D103" s="15"/>
      <c r="E103" s="15"/>
      <c r="F103" s="15"/>
      <c r="G103" s="15"/>
      <c r="H103" s="15"/>
      <c r="I103" s="51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INDIRECT("'"&amp;INDIRECT("Main!B27")&amp;"'!C104")+SUM(E124+E151+E178)</f>
        <v>0</v>
      </c>
      <c r="D104" s="15"/>
      <c r="E104" s="15"/>
      <c r="F104" s="15"/>
      <c r="G104" s="15"/>
      <c r="H104" s="15"/>
      <c r="I104" s="51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INDIRECT("'"&amp;INDIRECT("Main!B27")&amp;"'!C105")+SUM(E125+E152+E179)</f>
        <v>0</v>
      </c>
      <c r="D105" s="15"/>
      <c r="E105" s="15"/>
      <c r="F105" s="15"/>
      <c r="G105" s="15"/>
      <c r="H105" s="15"/>
      <c r="I105" s="51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INDIRECT("'"&amp;INDIRECT("Main!B27")&amp;"'!C106")+SUM(E126+E153+E180)</f>
        <v>0</v>
      </c>
      <c r="D106" s="15"/>
      <c r="E106" s="15"/>
      <c r="F106" s="15"/>
      <c r="G106" s="15"/>
      <c r="H106" s="15"/>
      <c r="I106" s="51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INDIRECT("'"&amp;INDIRECT("Main!B27")&amp;"'!C107")+SUM(E127+E154+E181)</f>
        <v>0</v>
      </c>
      <c r="D107" s="15"/>
      <c r="E107" s="15"/>
      <c r="F107" s="15"/>
      <c r="G107" s="15"/>
      <c r="H107" s="15"/>
      <c r="I107" s="51"/>
    </row>
    <row r="108" ht="24.75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24.75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24.75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24.75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"&amp;IF(Main!B2,TEXT(EDATE(Main!B3,21),"mmmm dd yyyy"),TEXT(Main!B3+((Main!B5-Main!B3)*21+21),"mmmm dd yyyy"))&amp;" to "&amp;IF(Main!B2,TEXT(EDATE(Main!B3,22)-1,"mmmm dd yyyy"),TEXT(Main!B3+((Main!B5-Main!B3)*22+21),"mmmm dd yyyy"))</f>
        <v>Debts Or Credits For the Comming January 11 2027 to February 10 2027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"&amp;IF(Main!B2,TEXT(EDATE(Main!B3,21)-1,"mmmm yyyy"),TEXT(Main!B3+((Main!B5-Main!B3)*21+20),"mmmm yyyy"))</f>
        <v>Balance Brought Forward From January 2027</v>
      </c>
      <c r="B116" s="58"/>
      <c r="C116" s="59"/>
      <c r="D116" s="59"/>
      <c r="E116" s="72" cm="1">
        <f ca="1" t="array" ref="E116">INDIRECT("'"&amp;INDIRECT("Main!B27")&amp;"'!E190")</f>
        <v>0</v>
      </c>
      <c r="F116" s="15"/>
      <c r="G116" s="15"/>
      <c r="H116" s="15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4.7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4.7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4.7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4.7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24.7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"&amp;IF(Main!B2,TEXT(EDATE(Main!B3,22),"mmmm dd yyyy"),TEXT(Main!B3+((Main!B5-Main!B3)*22+22),"dd mmmm yyyy"))&amp;" to "&amp;IF(Main!B2,TEXT(EDATE(Main!B3,23)-1,"mmmm dd yyyy"),TEXT(Main!B3+((Main!B5-Main!B3)*23+22),"mmmm dd yyyy"))</f>
        <v>Debts Or Credits For the Comming February 11 2027 to March 10 2027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"&amp;IF(Main!B2,TEXT(EDATE(Main!B3,22)-1,"mmmm yyyy"),TEXT(Main!B3+((Main!B5-Main!B3)*22+21),"mmmm yyyy"))</f>
        <v>Balance Brought Forward From February 2027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"&amp;IF(Main!B2,TEXT(EDATE(Main!B3,23),"mmmm dd yyyy"),TEXT(Main!B3+((Main!B5-Main!B3)*23+23),"mmmm dd yyyy"))&amp;" to "&amp;IF(Main!B2,TEXT(EDATE(Main!B3,24)-1,"mmmm dd yyyy"),TEXT(Main!B3+((Main!B5-Main!B3)*24+23),"mmmm dd yyyy"))</f>
        <v>Debts Or Credits For the Comming March 11 2027 to April 10 2027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"&amp;IF(Main!B2,TEXT(EDATE(Main!B3,23)-1,"mmmm yyyy"),TEXT(Main!B3+((Main!B5-Main!B3)*23+22),"mmmm yyyy"))</f>
        <v>Balance Brought Forward From March 2027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ht="24.75" customHeight="1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24.75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24.75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24.75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ht="24.75" customHeight="1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ht="24.75" customHeight="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24.75" customHeight="1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ht="24.75" customHeight="1" spans="1:9">
      <c r="A193" s="44"/>
      <c r="B193" s="44"/>
      <c r="C193" s="44"/>
      <c r="D193" s="44"/>
      <c r="E193" s="44"/>
      <c r="F193" s="44"/>
      <c r="G193" s="44"/>
      <c r="H193" s="44"/>
      <c r="I193" s="44"/>
    </row>
  </sheetData>
  <sheetProtection sheet="1" formatCells="0" formatColumns="0" formatRows="0" objects="1"/>
  <protectedRanges>
    <protectedRange sqref="A10:G15 A22:G27 A34:G39 C47:C54 C57:C65 C68:C74 C77:C84 C87:C94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2" priority="14" operator="lessThan">
      <formula>0</formula>
    </cfRule>
    <cfRule type="cellIs" dxfId="5" priority="13" operator="greaterThanOrEqual">
      <formula>0</formula>
    </cfRule>
  </conditionalFormatting>
  <conditionalFormatting sqref="C75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77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98">
    <cfRule type="cellIs" dxfId="2" priority="32" operator="lessThan">
      <formula>0</formula>
    </cfRule>
    <cfRule type="cellIs" dxfId="5" priority="31" operator="greaterThanOrEqual">
      <formula>0</formula>
    </cfRule>
  </conditionalFormatting>
  <conditionalFormatting sqref="E116">
    <cfRule type="cellIs" dxfId="3" priority="24" operator="greaterThanOrEqual">
      <formula>0</formula>
    </cfRule>
    <cfRule type="cellIs" dxfId="4" priority="23" operator="lessThan">
      <formula>0</formula>
    </cfRule>
  </conditionalFormatting>
  <conditionalFormatting sqref="E136">
    <cfRule type="cellIs" dxfId="3" priority="55" operator="greaterThanOrEqual">
      <formula>0</formula>
    </cfRule>
    <cfRule type="cellIs" dxfId="4" priority="54" operator="lessThan">
      <formula>0</formula>
    </cfRule>
  </conditionalFormatting>
  <conditionalFormatting sqref="E143">
    <cfRule type="cellIs" dxfId="3" priority="42" operator="greaterThanOrEqual">
      <formula>0</formula>
    </cfRule>
    <cfRule type="cellIs" dxfId="4" priority="41" operator="lessThan">
      <formula>0</formula>
    </cfRule>
  </conditionalFormatting>
  <conditionalFormatting sqref="E163">
    <cfRule type="cellIs" dxfId="3" priority="44" operator="greaterThanOrEqual">
      <formula>0</formula>
    </cfRule>
    <cfRule type="cellIs" dxfId="4" priority="43" operator="lessThan">
      <formula>0</formula>
    </cfRule>
  </conditionalFormatting>
  <conditionalFormatting sqref="E170">
    <cfRule type="cellIs" dxfId="3" priority="36" operator="greaterThanOrEqual">
      <formula>0</formula>
    </cfRule>
    <cfRule type="cellIs" dxfId="4" priority="35" operator="lessThan">
      <formula>0</formula>
    </cfRule>
  </conditionalFormatting>
  <conditionalFormatting sqref="E190">
    <cfRule type="cellIs" dxfId="3" priority="38" operator="greaterThanOrEqual">
      <formula>0</formula>
    </cfRule>
    <cfRule type="cellIs" dxfId="4" priority="37" operator="lessThan">
      <formula>0</formula>
    </cfRule>
  </conditionalFormatting>
  <conditionalFormatting sqref="C57:C66">
    <cfRule type="cellIs" dxfId="1" priority="67" operator="equal">
      <formula>0</formula>
    </cfRule>
    <cfRule type="cellIs" dxfId="2" priority="66" operator="greaterThan">
      <formula>0</formula>
    </cfRule>
  </conditionalFormatting>
  <conditionalFormatting sqref="C68:C69">
    <cfRule type="cellIs" dxfId="1" priority="65" operator="equal">
      <formula>0</formula>
    </cfRule>
    <cfRule type="cellIs" dxfId="2" priority="64" operator="greaterThan">
      <formula>0</formula>
    </cfRule>
  </conditionalFormatting>
  <conditionalFormatting sqref="C70:C74">
    <cfRule type="cellIs" dxfId="1" priority="53" operator="equal">
      <formula>0</formula>
    </cfRule>
    <cfRule type="cellIs" dxfId="2" priority="52" operator="greaterThan">
      <formula>0</formula>
    </cfRule>
  </conditionalFormatting>
  <conditionalFormatting sqref="C78:C79">
    <cfRule type="cellIs" dxfId="1" priority="22" operator="equal">
      <formula>0</formula>
    </cfRule>
    <cfRule type="cellIs" dxfId="2" priority="21" operator="greaterThan">
      <formula>0</formula>
    </cfRule>
  </conditionalFormatting>
  <conditionalFormatting sqref="C80:C84">
    <cfRule type="cellIs" dxfId="1" priority="51" operator="equal">
      <formula>0</formula>
    </cfRule>
    <cfRule type="cellIs" dxfId="2" priority="50" operator="greaterThan">
      <formula>0</formula>
    </cfRule>
  </conditionalFormatting>
  <conditionalFormatting sqref="C87:C89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90:C91">
    <cfRule type="cellIs" dxfId="1" priority="20" operator="equal">
      <formula>0</formula>
    </cfRule>
    <cfRule type="cellIs" dxfId="2" priority="19" operator="greaterThan">
      <formula>0</formula>
    </cfRule>
  </conditionalFormatting>
  <conditionalFormatting sqref="C92:C9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99:C109">
    <cfRule type="cellIs" dxfId="2" priority="2" operator="lessThan">
      <formula>0</formula>
    </cfRule>
    <cfRule type="cellIs" dxfId="5" priority="1" operator="greaterThanOrEqual">
      <formula>0</formula>
    </cfRule>
  </conditionalFormatting>
  <conditionalFormatting sqref="E118:E127">
    <cfRule type="cellIs" dxfId="1" priority="30" operator="lessThanOrEqual">
      <formula>0</formula>
    </cfRule>
    <cfRule type="cellIs" dxfId="2" priority="29" operator="greaterThan">
      <formula>0</formula>
    </cfRule>
  </conditionalFormatting>
  <conditionalFormatting sqref="E145:E154">
    <cfRule type="cellIs" dxfId="1" priority="6" operator="lessThanOrEqual">
      <formula>0</formula>
    </cfRule>
    <cfRule type="cellIs" dxfId="2" priority="5" operator="greaterThan">
      <formula>0</formula>
    </cfRule>
  </conditionalFormatting>
  <conditionalFormatting sqref="E172:E181">
    <cfRule type="cellIs" dxfId="1" priority="4" operator="lessThanOrEqual">
      <formula>0</formula>
    </cfRule>
    <cfRule type="cellIs" dxfId="2" priority="3" operator="greaterThan">
      <formula>0</formula>
    </cfRule>
  </conditionalFormatting>
  <conditionalFormatting sqref="C47:C55 C85 C95:C96">
    <cfRule type="cellIs" dxfId="1" priority="69" operator="equal">
      <formula>0</formula>
    </cfRule>
  </conditionalFormatting>
  <conditionalFormatting sqref="C47:C55 C85 C95:C96 E144 E155:E162">
    <cfRule type="cellIs" dxfId="2" priority="68" operator="greaterThan">
      <formula>0</formula>
    </cfRule>
  </conditionalFormatting>
  <conditionalFormatting sqref="E117 E128:E135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E144 E155:E162">
    <cfRule type="cellIs" dxfId="5" priority="45" operator="equal">
      <formula>0</formula>
    </cfRule>
  </conditionalFormatting>
  <conditionalFormatting sqref="E171 E182:E189">
    <cfRule type="cellIs" dxfId="5" priority="40" operator="equal">
      <formula>0</formula>
    </cfRule>
    <cfRule type="cellIs" dxfId="2" priority="39" operator="greaterThan">
      <formula>0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C5" sqref="C5:G5"/>
    </sheetView>
  </sheetViews>
  <sheetFormatPr defaultColWidth="9" defaultRowHeight="17.6"/>
  <cols>
    <col min="1" max="1" width="20.625" style="1" customWidth="1"/>
    <col min="2" max="2" width="30" style="1" customWidth="1"/>
    <col min="3" max="3" width="33.25" style="1" customWidth="1"/>
    <col min="4" max="8" width="20.625" style="1" customWidth="1"/>
    <col min="9" max="16384" width="9" style="1"/>
  </cols>
  <sheetData>
    <row r="1" ht="24.75" customHeight="1" spans="1:9">
      <c r="A1" s="2" t="str">
        <f>"Forecasts For the Year "&amp;IF(Main!B2,TEXT(EDATE(Main!B3,24),"mmmm yyyy"),TEXT(Main!B3+((Main!B5-Main!B3)*24+24),"mmmm yyyy"))&amp;" to "&amp;IF(Main!B2,TEXT(EDATE(Main!B3,27)-1,"mmmm yyyy"),TEXT(Main!B3+((Main!B5-Main!B3)*27+26),"mmmm yyyy"))</f>
        <v>Forecasts For the Year April 2027 to July 2027</v>
      </c>
      <c r="B1" s="2"/>
      <c r="C1" s="2"/>
      <c r="D1" s="2"/>
      <c r="E1" s="2"/>
      <c r="F1" s="2"/>
      <c r="G1" s="2"/>
      <c r="H1" s="44"/>
      <c r="I1" s="44"/>
    </row>
    <row r="2" ht="24.75" customHeight="1" spans="1:9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  <c r="H2" s="44"/>
      <c r="I2" s="44"/>
    </row>
    <row r="3" ht="24.75" customHeight="1" spans="1:9">
      <c r="A3" s="6"/>
      <c r="B3" s="7" t="s">
        <v>63</v>
      </c>
      <c r="C3" s="8">
        <f ca="1">E190</f>
        <v>0</v>
      </c>
      <c r="D3" s="8"/>
      <c r="E3" s="8"/>
      <c r="F3" s="8"/>
      <c r="G3" s="8"/>
      <c r="H3" s="44"/>
      <c r="I3" s="44"/>
    </row>
    <row r="4" ht="24.75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24.75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24.75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IF(Main!B2,TEXT(EDATE(Main!B3,24),"dd mmmm yyyy"),TEXT(Main!B3+((Main!B5-Main!B3)*24+24),"dd mmmm yyyy"))&amp;" - "&amp;IF(Main!B2,TEXT(EDATE(Main!B3,25)-1,"dd mmmm yyyy"),TEXT(Main!B3+((Main!B5-Main!B3)*25+24),"dd mmmm yyyy"))&amp;" / "&amp;" (Revenue / Deferred Debts Or Expenses)"</f>
        <v>11 April 2027 - 10 May 2027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IF(Main!B2,TEXT(EDATE(Main!B3,25),"dd mmmm yyyy"),TEXT(Main!B3+((Main!B5-Main!B3)*25+25),"dd mmmm yyyy"))&amp;" - "&amp;IF(Main!B2,TEXT(EDATE(Main!B3,26)-1,"dd mmmm yyyy"),TEXT(Main!B3+((Main!B5-Main!B3)*26+25),"dd mmmm yyyy"))&amp;" / "&amp;" (Revenue / Deferred Debts Or Expenses)"</f>
        <v>11 May 2027 - 10 June 2027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IF(Main!B2,TEXT(EDATE(Main!B3,26),"dd mmmm yyyy"),TEXT(Main!B3+((Main!B5-Main!B3)*26+26),"dd mmmm yyyy"))&amp;" - "&amp;IF(Main!B2,TEXT(EDATE(Main!B3,27)-1,"dd mmmm yyyy"),TEXT(Main!B3+((Main!B5-Main!B3)*27+26),"dd mmmm yyyy"))&amp;" / "&amp;" (Revenue / Deferred Debts Or Expenses)"</f>
        <v>11 June 2027 - 10 July 2027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24.75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24.75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24.75" customHeight="1" spans="1:9">
      <c r="A44" s="29" t="str">
        <f>"Fixed Expense For the Year "&amp;IF(Main!B2,TEXT(EDATE(Main!B3,24),"mmmm yyyy"),TEXT(Main!B3+((Main!B5-Main!B3)*24+24),"mmmm yyyy"))&amp;" to "&amp;IF(Main!B2,TEXT(EDATE(Main!B3,27)-1,"mmmm yyyy"),TEXT(Main!B3+((Main!B5-Main!B3)*27+26),"mmmm yyyy"))</f>
        <v>Fixed Expense For the Year April 2027 to July 2027</v>
      </c>
      <c r="B44" s="30"/>
      <c r="C44" s="31"/>
      <c r="D44" s="15"/>
      <c r="E44" s="15"/>
      <c r="F44" s="15"/>
      <c r="G44" s="15"/>
      <c r="H44" s="15"/>
      <c r="I44" s="51"/>
    </row>
    <row r="45" ht="24.75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24.75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24.75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24.75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24.75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24.75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24.7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24.75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24.75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24.75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24.75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24.75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24.75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24.75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24.75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24.75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24.75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24.7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24.75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24.75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24.75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INDIRECT("'"&amp;INDIRECT("Main!B30")&amp;"'!C98")+SUM(E118+E145+E172)</f>
        <v>0</v>
      </c>
      <c r="D98" s="15"/>
      <c r="E98" s="93"/>
      <c r="F98" s="15"/>
      <c r="G98" s="15"/>
      <c r="H98" s="15"/>
      <c r="I98" s="51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INDIRECT("'"&amp;INDIRECT("Main!B30")&amp;"'!C99")+SUM(E119+E146+E173)</f>
        <v>0</v>
      </c>
      <c r="D99" s="15"/>
      <c r="E99" s="15"/>
      <c r="F99" s="15"/>
      <c r="G99" s="15"/>
      <c r="H99" s="15"/>
      <c r="I99" s="51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INDIRECT("'"&amp;INDIRECT("Main!B30")&amp;"'!C100")+SUM(E120+E147+E174)</f>
        <v>0</v>
      </c>
      <c r="D100" s="15"/>
      <c r="E100" s="15"/>
      <c r="F100" s="15"/>
      <c r="G100" s="15"/>
      <c r="H100" s="15"/>
      <c r="I100" s="51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INDIRECT("'"&amp;INDIRECT("Main!B30")&amp;"'!C101")+SUM(E121+E148+E175)</f>
        <v>0</v>
      </c>
      <c r="D101" s="15"/>
      <c r="E101" s="15"/>
      <c r="F101" s="15"/>
      <c r="G101" s="15"/>
      <c r="H101" s="15"/>
      <c r="I101" s="51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INDIRECT("'"&amp;INDIRECT("Main!B30")&amp;"'!C102")+SUM(E122+E149+E176)</f>
        <v>0</v>
      </c>
      <c r="D102" s="15"/>
      <c r="E102" s="15"/>
      <c r="F102" s="15"/>
      <c r="G102" s="15"/>
      <c r="H102" s="15"/>
      <c r="I102" s="51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INDIRECT("'"&amp;INDIRECT("Main!B30")&amp;"'!C103")+SUM(E123+E150+E177)</f>
        <v>0</v>
      </c>
      <c r="D103" s="15"/>
      <c r="E103" s="15"/>
      <c r="F103" s="15"/>
      <c r="G103" s="15"/>
      <c r="H103" s="15"/>
      <c r="I103" s="51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INDIRECT("'"&amp;INDIRECT("Main!B30")&amp;"'!C104")+SUM(E124+E151+E178)</f>
        <v>0</v>
      </c>
      <c r="D104" s="15"/>
      <c r="E104" s="15"/>
      <c r="F104" s="15"/>
      <c r="G104" s="15"/>
      <c r="H104" s="15"/>
      <c r="I104" s="51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INDIRECT("'"&amp;INDIRECT("Main!B30")&amp;"'!C105")+SUM(E125+E152+E179)</f>
        <v>0</v>
      </c>
      <c r="D105" s="15"/>
      <c r="E105" s="15"/>
      <c r="F105" s="15"/>
      <c r="G105" s="15"/>
      <c r="H105" s="15"/>
      <c r="I105" s="51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INDIRECT("'"&amp;INDIRECT("Main!B30")&amp;"'!C106")+SUM(E126+E153+E180)</f>
        <v>0</v>
      </c>
      <c r="D106" s="15"/>
      <c r="E106" s="15"/>
      <c r="F106" s="15"/>
      <c r="G106" s="15"/>
      <c r="H106" s="15"/>
      <c r="I106" s="51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INDIRECT("'"&amp;INDIRECT("Main!B30")&amp;"'!C107")+SUM(E127+E154+E181)</f>
        <v>0</v>
      </c>
      <c r="D107" s="15"/>
      <c r="E107" s="15"/>
      <c r="F107" s="15"/>
      <c r="G107" s="15"/>
      <c r="H107" s="15"/>
      <c r="I107" s="51"/>
    </row>
    <row r="108" ht="24.75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24.75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24.75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24.75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"&amp;IF(Main!B2,TEXT(EDATE(Main!B3,24),"mmmm dd yyyy"),TEXT(Main!B3+((Main!B5-Main!B3)*24+24),"mmmm dd yyyy"))&amp;" to "&amp;IF(Main!B2,TEXT(EDATE(Main!B3,25)-1,"mmmm dd yyyy"),TEXT(Main!B3+((Main!B5-Main!B3)*25+24),"mmmm dd yyyy"))</f>
        <v>Debts Or Credits For the Comming April 11 2027 to May 10 2027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"&amp;IF(Main!B2,TEXT(EDATE(Main!B3,24)-1,"mmmm yyyy"),TEXT(Main!B3+((Main!B5-Main!B3)*24+23),"mmmm yyyy"))</f>
        <v>Balance Brought Forward From April 2027</v>
      </c>
      <c r="B116" s="58"/>
      <c r="C116" s="59"/>
      <c r="D116" s="59"/>
      <c r="E116" s="72" cm="1">
        <f ca="1" t="array" ref="E116">INDIRECT("'"&amp;INDIRECT("Main!B30")&amp;"'!E190")</f>
        <v>0</v>
      </c>
      <c r="F116" s="15"/>
      <c r="G116" s="15"/>
      <c r="H116" s="15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4.7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4.7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4.7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4.7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24.7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"&amp;IF(Main!B2,TEXT(EDATE(Main!B3,25),"mmmm dd yyyy"),TEXT(Main!B3+((Main!B5-Main!B3)*25+25),"dd mmmm yyyy"))&amp;" to "&amp;IF(Main!B2,TEXT(EDATE(Main!B3,26)-1,"mmmm dd yyyy"),TEXT(Main!B3+((Main!B5-Main!B3)*26+25),"mmmm dd yyyy"))</f>
        <v>Debts Or Credits For the Comming May 11 2027 to June 10 2027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"&amp;IF(Main!B2,TEXT(EDATE(Main!B3,25)-1,"mmmm yyyy"),TEXT(Main!B3+((Main!B5-Main!B3)*25+24),"mmmm yyyy"))</f>
        <v>Balance Brought Forward From May 2027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"&amp;IF(Main!B2,TEXT(EDATE(Main!B3,26),"mmmm dd yyyy"),TEXT(Main!B3+((Main!B5-Main!B3)*26+26),"mmmm dd yyyy"))&amp;" to "&amp;IF(Main!B2,TEXT(EDATE(Main!B3,27)-1,"mmmm dd yyyy"),TEXT(Main!B3+((Main!B5-Main!B3)*27+26),"mmmm dd yyyy"))</f>
        <v>Debts Or Credits For the Comming June 11 2027 to July 10 2027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"&amp;IF(Main!B2,TEXT(EDATE(Main!B3,26)-1,"mmmm yyyy"),TEXT(Main!B3+((Main!B5-Main!B3)*26+25),"mmmm yyyy"))</f>
        <v>Balance Brought Forward From June 2027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ht="24.75" customHeight="1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24.75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ht="24.75" customHeight="1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24.75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ht="24.75" customHeight="1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ht="24.75" customHeight="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24.75" customHeight="1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spans="1:9">
      <c r="A193" s="44"/>
      <c r="B193" s="44"/>
      <c r="C193" s="44"/>
      <c r="D193" s="44"/>
      <c r="E193" s="44"/>
      <c r="F193" s="44"/>
      <c r="G193" s="44"/>
      <c r="H193" s="44"/>
      <c r="I193" s="44"/>
    </row>
  </sheetData>
  <sheetProtection sheet="1" formatCells="0" formatColumns="0" formatRows="0" objects="1"/>
  <protectedRanges>
    <protectedRange sqref="A10:G15 A22:G27 A34:G39 C47:C54 C57:C65 C68:C74 C77:C84 C87:C94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1" priority="12" operator="greaterThanOrEqual">
      <formula>0</formula>
    </cfRule>
    <cfRule type="cellIs" dxfId="2" priority="11" operator="lessThan">
      <formula>0</formula>
    </cfRule>
  </conditionalFormatting>
  <conditionalFormatting sqref="C75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77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98">
    <cfRule type="cellIs" dxfId="2" priority="28" operator="lessThan">
      <formula>0</formula>
    </cfRule>
    <cfRule type="cellIs" dxfId="5" priority="27" operator="greaterThanOrEqual">
      <formula>0</formula>
    </cfRule>
  </conditionalFormatting>
  <conditionalFormatting sqref="E116">
    <cfRule type="cellIs" dxfId="3" priority="20" operator="greaterThanOrEqual">
      <formula>0</formula>
    </cfRule>
    <cfRule type="cellIs" dxfId="4" priority="19" operator="lessThan">
      <formula>0</formula>
    </cfRule>
  </conditionalFormatting>
  <conditionalFormatting sqref="E136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43">
    <cfRule type="cellIs" dxfId="3" priority="38" operator="greaterThanOrEqual">
      <formula>0</formula>
    </cfRule>
    <cfRule type="cellIs" dxfId="4" priority="37" operator="lessThan">
      <formula>0</formula>
    </cfRule>
  </conditionalFormatting>
  <conditionalFormatting sqref="E163">
    <cfRule type="cellIs" dxfId="3" priority="40" operator="greaterThanOrEqual">
      <formula>0</formula>
    </cfRule>
    <cfRule type="cellIs" dxfId="4" priority="39" operator="lessThan">
      <formula>0</formula>
    </cfRule>
  </conditionalFormatting>
  <conditionalFormatting sqref="E170">
    <cfRule type="cellIs" dxfId="3" priority="32" operator="greaterThanOrEqual">
      <formula>0</formula>
    </cfRule>
    <cfRule type="cellIs" dxfId="4" priority="31" operator="lessThan">
      <formula>0</formula>
    </cfRule>
  </conditionalFormatting>
  <conditionalFormatting sqref="E190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C57:C66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68:C69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70:C7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78:C79">
    <cfRule type="cellIs" dxfId="1" priority="18" operator="equal">
      <formula>0</formula>
    </cfRule>
    <cfRule type="cellIs" dxfId="2" priority="17" operator="greaterThan">
      <formula>0</formula>
    </cfRule>
  </conditionalFormatting>
  <conditionalFormatting sqref="C80:C84">
    <cfRule type="cellIs" dxfId="1" priority="47" operator="equal">
      <formula>0</formula>
    </cfRule>
    <cfRule type="cellIs" dxfId="2" priority="46" operator="greaterThan">
      <formula>0</formula>
    </cfRule>
  </conditionalFormatting>
  <conditionalFormatting sqref="C87:C89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C90:C91">
    <cfRule type="cellIs" dxfId="1" priority="16" operator="equal">
      <formula>0</formula>
    </cfRule>
    <cfRule type="cellIs" dxfId="2" priority="15" operator="greaterThan">
      <formula>0</formula>
    </cfRule>
  </conditionalFormatting>
  <conditionalFormatting sqref="C92:C94">
    <cfRule type="cellIs" dxfId="1" priority="45" operator="equal">
      <formula>0</formula>
    </cfRule>
    <cfRule type="cellIs" dxfId="2" priority="44" operator="greaterThan">
      <formula>0</formula>
    </cfRule>
  </conditionalFormatting>
  <conditionalFormatting sqref="C99:C109">
    <cfRule type="cellIs" dxfId="2" priority="2" operator="lessThan">
      <formula>0</formula>
    </cfRule>
    <cfRule type="cellIs" dxfId="5" priority="1" operator="greaterThanOrEqual">
      <formula>0</formula>
    </cfRule>
  </conditionalFormatting>
  <conditionalFormatting sqref="E118:E127">
    <cfRule type="cellIs" dxfId="1" priority="26" operator="lessThanOrEqual">
      <formula>0</formula>
    </cfRule>
    <cfRule type="cellIs" dxfId="2" priority="25" operator="greaterThan">
      <formula>0</formula>
    </cfRule>
  </conditionalFormatting>
  <conditionalFormatting sqref="E145:E154">
    <cfRule type="cellIs" dxfId="1" priority="6" operator="lessThanOrEqual">
      <formula>0</formula>
    </cfRule>
    <cfRule type="cellIs" dxfId="2" priority="5" operator="greaterThan">
      <formula>0</formula>
    </cfRule>
  </conditionalFormatting>
  <conditionalFormatting sqref="E172:E181">
    <cfRule type="cellIs" dxfId="1" priority="4" operator="lessThanOrEqual">
      <formula>0</formula>
    </cfRule>
    <cfRule type="cellIs" dxfId="2" priority="3" operator="greaterThan">
      <formula>0</formula>
    </cfRule>
  </conditionalFormatting>
  <conditionalFormatting sqref="C47:C55 C85 C95:C96">
    <cfRule type="cellIs" dxfId="1" priority="65" operator="equal">
      <formula>0</formula>
    </cfRule>
  </conditionalFormatting>
  <conditionalFormatting sqref="C47:C55 C85 C95:C96 E144 E155:E162">
    <cfRule type="cellIs" dxfId="2" priority="64" operator="greaterThan">
      <formula>0</formula>
    </cfRule>
  </conditionalFormatting>
  <conditionalFormatting sqref="E117 E128:E135">
    <cfRule type="cellIs" dxfId="1" priority="53" operator="equal">
      <formula>0</formula>
    </cfRule>
    <cfRule type="cellIs" dxfId="2" priority="52" operator="greaterThan">
      <formula>0</formula>
    </cfRule>
  </conditionalFormatting>
  <conditionalFormatting sqref="E144 E155:E162">
    <cfRule type="cellIs" dxfId="5" priority="41" operator="equal">
      <formula>0</formula>
    </cfRule>
  </conditionalFormatting>
  <conditionalFormatting sqref="E171 E182:E189">
    <cfRule type="cellIs" dxfId="5" priority="36" operator="equal">
      <formula>0</formula>
    </cfRule>
    <cfRule type="cellIs" dxfId="2" priority="35" operator="greaterThan">
      <formula>0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C5" sqref="C5:G5"/>
    </sheetView>
  </sheetViews>
  <sheetFormatPr defaultColWidth="9" defaultRowHeight="17.6"/>
  <cols>
    <col min="1" max="1" width="20.625" style="1" customWidth="1"/>
    <col min="2" max="2" width="26.5" style="1" customWidth="1"/>
    <col min="3" max="3" width="31.5" style="1" customWidth="1"/>
    <col min="4" max="9" width="20.625" style="1" customWidth="1"/>
    <col min="10" max="10" width="9" style="1"/>
    <col min="11" max="11" width="20.625" style="1" customWidth="1"/>
    <col min="12" max="16384" width="9" style="1"/>
  </cols>
  <sheetData>
    <row r="1" ht="24.75" customHeight="1" spans="1:9">
      <c r="A1" s="2" t="str">
        <f>"Forecasts For the Year "&amp;IF(Main!B2,TEXT(EDATE(Main!B3,27),"mmmm yyyy"),TEXT(Main!B3+((Main!B5-Main!B3)*27+27),"mmmm yyyy"))&amp;" to "&amp;IF(Main!B2,TEXT(EDATE(Main!B3,30)-1,"mmmm yyyy"),TEXT(Main!B3+((Main!B5-Main!B3)*30+29),"mmmm yyyy"))</f>
        <v>Forecasts For the Year July 2027 to October 2027</v>
      </c>
      <c r="B1" s="2"/>
      <c r="C1" s="2"/>
      <c r="D1" s="2"/>
      <c r="E1" s="2"/>
      <c r="F1" s="2"/>
      <c r="G1" s="2"/>
      <c r="H1" s="44"/>
      <c r="I1" s="44"/>
    </row>
    <row r="2" ht="24.75" customHeight="1" spans="1:9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  <c r="H2" s="44"/>
      <c r="I2" s="44"/>
    </row>
    <row r="3" ht="24.75" customHeight="1" spans="1:9">
      <c r="A3" s="6"/>
      <c r="B3" s="7" t="s">
        <v>63</v>
      </c>
      <c r="C3" s="8">
        <f ca="1">E190</f>
        <v>0</v>
      </c>
      <c r="D3" s="8"/>
      <c r="E3" s="8"/>
      <c r="F3" s="8"/>
      <c r="G3" s="8"/>
      <c r="H3" s="44"/>
      <c r="I3" s="44"/>
    </row>
    <row r="4" ht="24.75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24.75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24.75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IF(Main!B2,TEXT(EDATE(Main!B3,27),"dd mmmm yyyy"),TEXT(Main!B3+((Main!B5-Main!B3)*27+27),"dd mmmm yyyy"))&amp;" - "&amp;IF(Main!B2,TEXT(EDATE(Main!B3,28)-1,"dd mmmm yyyy"),TEXT(Main!B3+((Main!B5-Main!B3)*28+27),"dd mmmm yyyy"))&amp;" / "&amp;" (Revenue / Deferred Debts Or Expenses)"</f>
        <v>11 July 2027 - 10 August 2027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IF(Main!B2,TEXT(EDATE(Main!B3,28),"dd mmmm yyyy"),TEXT(Main!B3+((Main!B5-Main!B3)*28+28),"dd mmmm yyyy"))&amp;" - "&amp;IF(Main!B2,TEXT(EDATE(Main!B3,29)-1,"dd mmmm yyyy"),TEXT(Main!B3+((Main!B5-Main!B3)*29+28),"dd mmmm yyyy"))&amp;" / "&amp;" (Revenue / Deferred Debts Or Expenses)"</f>
        <v>11 August 2027 - 10 September 2027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IF(Main!B2,TEXT(EDATE(Main!B3,29),"dd mmmm yyyy"),TEXT(Main!B3+((Main!B5-Main!B3)*29+29),"dd mmmm yyyy"))&amp;" - "&amp;IF(Main!B2,TEXT(EDATE(Main!B3,30)-1,"dd mmmm yyyy"),TEXT(Main!B3+((Main!B5-Main!B3)*30+29),"dd mmmm yyyy"))&amp;" / "&amp;" (Revenue / Deferred Debts Or Expenses)"</f>
        <v>11 September 2027 - 10 October 2027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24.75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24.75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24.75" customHeight="1" spans="1:9">
      <c r="A44" s="29" t="str">
        <f>"Fixed Expense For the Year "&amp;IF(Main!B2,TEXT(EDATE(Main!B3,27),"mmmm yyyy"),TEXT(Main!B3+((Main!B5-Main!B3)*27+27),"mmmm yyyy"))&amp;" to "&amp;IF(Main!B2,TEXT(EDATE(Main!B3,30)-1,"mmmm yyyy"),TEXT(Main!B3+((Main!B5-Main!B3)*30+29),"mmmm yyyy"))</f>
        <v>Fixed Expense For the Year July 2027 to October 2027</v>
      </c>
      <c r="B44" s="30"/>
      <c r="C44" s="31"/>
      <c r="D44" s="15"/>
      <c r="E44" s="15"/>
      <c r="F44" s="15"/>
      <c r="G44" s="15"/>
      <c r="H44" s="15"/>
      <c r="I44" s="51"/>
    </row>
    <row r="45" ht="24.75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24.75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24.75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24.75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24.75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24.75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24.7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24.75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24.75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24.75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24.75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24.75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24.75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24.75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24.75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24.75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24.75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24.7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24.75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24.75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24.75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INDIRECT("'"&amp;INDIRECT("Main!B33")&amp;"'!C98")+SUM(E118+E145+E172)</f>
        <v>0</v>
      </c>
      <c r="D98" s="15"/>
      <c r="E98" s="93"/>
      <c r="F98" s="15"/>
      <c r="G98" s="15"/>
      <c r="H98" s="15"/>
      <c r="I98" s="51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INDIRECT("'"&amp;INDIRECT("Main!B33")&amp;"'!C99")+SUM(E119+E146+E173)</f>
        <v>0</v>
      </c>
      <c r="D99" s="15"/>
      <c r="E99" s="15"/>
      <c r="F99" s="15"/>
      <c r="G99" s="15"/>
      <c r="H99" s="15"/>
      <c r="I99" s="51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INDIRECT("'"&amp;INDIRECT("Main!B33")&amp;"'!C100")+SUM(E120+E147+E174)</f>
        <v>0</v>
      </c>
      <c r="D100" s="15"/>
      <c r="E100" s="15"/>
      <c r="F100" s="15"/>
      <c r="G100" s="15"/>
      <c r="H100" s="15"/>
      <c r="I100" s="51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INDIRECT("'"&amp;INDIRECT("Main!B33")&amp;"'!C101")+SUM(E121+E148+E175)</f>
        <v>0</v>
      </c>
      <c r="D101" s="15"/>
      <c r="E101" s="15"/>
      <c r="F101" s="15"/>
      <c r="G101" s="15"/>
      <c r="H101" s="15"/>
      <c r="I101" s="51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INDIRECT("'"&amp;INDIRECT("Main!B33")&amp;"'!C102")+SUM(E122+E149+E176)</f>
        <v>0</v>
      </c>
      <c r="D102" s="15"/>
      <c r="E102" s="15"/>
      <c r="F102" s="15"/>
      <c r="G102" s="15"/>
      <c r="H102" s="15"/>
      <c r="I102" s="51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INDIRECT("'"&amp;INDIRECT("Main!B33")&amp;"'!C103")+SUM(E123+E150+E177)</f>
        <v>0</v>
      </c>
      <c r="D103" s="15"/>
      <c r="E103" s="15"/>
      <c r="F103" s="15"/>
      <c r="G103" s="15"/>
      <c r="H103" s="15"/>
      <c r="I103" s="51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INDIRECT("'"&amp;INDIRECT("Main!B33")&amp;"'!C104")+SUM(E124+E151+E178)</f>
        <v>0</v>
      </c>
      <c r="D104" s="15"/>
      <c r="E104" s="15"/>
      <c r="F104" s="15"/>
      <c r="G104" s="15"/>
      <c r="H104" s="15"/>
      <c r="I104" s="51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INDIRECT("'"&amp;INDIRECT("Main!B33")&amp;"'!C105")+SUM(E125+E152+E179)</f>
        <v>0</v>
      </c>
      <c r="D105" s="15"/>
      <c r="E105" s="15"/>
      <c r="F105" s="15"/>
      <c r="G105" s="15"/>
      <c r="H105" s="15"/>
      <c r="I105" s="51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INDIRECT("'"&amp;INDIRECT("Main!B33")&amp;"'!C106")+SUM(E126+E153+E180)</f>
        <v>0</v>
      </c>
      <c r="D106" s="15"/>
      <c r="E106" s="15"/>
      <c r="F106" s="15"/>
      <c r="G106" s="15"/>
      <c r="H106" s="15"/>
      <c r="I106" s="51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INDIRECT("'"&amp;INDIRECT("Main!B33")&amp;"'!C107")+SUM(E127+E154+E181)</f>
        <v>0</v>
      </c>
      <c r="D107" s="15"/>
      <c r="E107" s="15"/>
      <c r="F107" s="15"/>
      <c r="G107" s="15"/>
      <c r="H107" s="15"/>
      <c r="I107" s="51"/>
    </row>
    <row r="108" ht="24.75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24.75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24.75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24.75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"&amp;IF(Main!B2,TEXT(EDATE(Main!B3,27),"mmmm dd yyyy"),TEXT(Main!B3+((Main!B5-Main!B3)*27+27),"mmmm dd yyyy"))&amp;" to "&amp;IF(Main!B2,TEXT(EDATE(Main!B3,28)-1,"mmmm dd yyyy"),TEXT(Main!B3+((Main!B5-Main!B3)*28+27),"mmmm dd yyyy"))</f>
        <v>Debts Or Credits For the Comming July 11 2027 to August 10 2027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"&amp;IF(Main!B2,TEXT(EDATE(Main!B3,27)-1,"mmmm yyyy"),TEXT(Main!B3+((Main!B5-Main!B3)*27+26),"mmmm yyyy"))</f>
        <v>Balance Brought Forward From July 2027</v>
      </c>
      <c r="B116" s="58"/>
      <c r="C116" s="59"/>
      <c r="D116" s="59"/>
      <c r="E116" s="72" cm="1">
        <f ca="1" t="array" ref="E116">INDIRECT("'"&amp;INDIRECT("Main!B33")&amp;"'!E190")</f>
        <v>0</v>
      </c>
      <c r="F116" s="15"/>
      <c r="G116" s="15"/>
      <c r="H116" s="15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4.7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4.7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4.7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4.7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24.7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"&amp;IF(Main!B2,TEXT(EDATE(Main!B3,28),"mmmm dd yyyy"),TEXT(Main!B3+((Main!B5-Main!B3)*28+28),"dd mmmm yyyy"))&amp;" to "&amp;IF(Main!B2,TEXT(EDATE(Main!B3,29)-1,"mmmm dd yyyy"),TEXT(Main!B3+((Main!B5-Main!B3)*29+28),"mmmm dd yyyy"))</f>
        <v>Debts Or Credits For the Comming August 11 2027 to September 10 2027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"&amp;IF(Main!B2,TEXT(EDATE(Main!B3,28)-1,"mmmm yyyy"),TEXT(Main!B3+((Main!B5-Main!B3)*28+27),"mmmm yyyy"))</f>
        <v>Balance Brought Forward From August 2027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"&amp;IF(Main!B2,TEXT(EDATE(Main!B3,29),"mmmm dd yyyy"),TEXT(Main!B3+((Main!B5-Main!B3)*29+29),"mmmm dd yyyy"))&amp;" to "&amp;IF(Main!B2,TEXT(EDATE(Main!B3,30)-1,"mmmm dd yyyy"),TEXT(Main!B3+((Main!B5-Main!B3)*30+29),"mmmm dd yyyy"))</f>
        <v>Debts Or Credits For the Comming September 11 2027 to October 10 2027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"&amp;IF(Main!B2,TEXT(EDATE(Main!B3,29)-1,"mmmm yyyy"),TEXT(Main!B3+((Main!B5-Main!B3)*29+28),"mmmm yyyy"))</f>
        <v>Balance Brought Forward From September 2027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ht="24.75" customHeight="1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24.75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ht="24.75" customHeight="1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24.75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ht="24.75" customHeight="1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ht="24.75" customHeight="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24.75" customHeight="1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spans="1:9">
      <c r="A193" s="44"/>
      <c r="B193" s="44"/>
      <c r="C193" s="44"/>
      <c r="D193" s="44"/>
      <c r="E193" s="44"/>
      <c r="F193" s="44"/>
      <c r="G193" s="44"/>
      <c r="H193" s="44"/>
      <c r="I193" s="44"/>
    </row>
  </sheetData>
  <sheetProtection sheet="1" formatCells="0" formatColumns="0" formatRows="0" objects="1"/>
  <protectedRanges>
    <protectedRange sqref="A10:G15 A22:G27 A34:G39 C47:C54 C57:C65 C68:C74 C77:C84 C87:C94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1" priority="14" operator="greaterThanOrEqual">
      <formula>0</formula>
    </cfRule>
    <cfRule type="cellIs" dxfId="2" priority="13" operator="lessThan">
      <formula>0</formula>
    </cfRule>
  </conditionalFormatting>
  <conditionalFormatting sqref="C75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77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98">
    <cfRule type="cellIs" dxfId="2" priority="28" operator="lessThan">
      <formula>0</formula>
    </cfRule>
    <cfRule type="cellIs" dxfId="5" priority="27" operator="greaterThanOrEqual">
      <formula>0</formula>
    </cfRule>
  </conditionalFormatting>
  <conditionalFormatting sqref="E116">
    <cfRule type="cellIs" dxfId="3" priority="20" operator="greaterThanOrEqual">
      <formula>0</formula>
    </cfRule>
    <cfRule type="cellIs" dxfId="4" priority="19" operator="lessThan">
      <formula>0</formula>
    </cfRule>
  </conditionalFormatting>
  <conditionalFormatting sqref="E136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43">
    <cfRule type="cellIs" dxfId="3" priority="38" operator="greaterThanOrEqual">
      <formula>0</formula>
    </cfRule>
    <cfRule type="cellIs" dxfId="4" priority="37" operator="lessThan">
      <formula>0</formula>
    </cfRule>
  </conditionalFormatting>
  <conditionalFormatting sqref="E163">
    <cfRule type="cellIs" dxfId="3" priority="40" operator="greaterThanOrEqual">
      <formula>0</formula>
    </cfRule>
    <cfRule type="cellIs" dxfId="4" priority="39" operator="lessThan">
      <formula>0</formula>
    </cfRule>
  </conditionalFormatting>
  <conditionalFormatting sqref="E170">
    <cfRule type="cellIs" dxfId="3" priority="32" operator="greaterThanOrEqual">
      <formula>0</formula>
    </cfRule>
    <cfRule type="cellIs" dxfId="4" priority="31" operator="lessThan">
      <formula>0</formula>
    </cfRule>
  </conditionalFormatting>
  <conditionalFormatting sqref="E190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C57:C66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68:C69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70:C7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78:C79">
    <cfRule type="cellIs" dxfId="1" priority="18" operator="equal">
      <formula>0</formula>
    </cfRule>
    <cfRule type="cellIs" dxfId="2" priority="17" operator="greaterThan">
      <formula>0</formula>
    </cfRule>
  </conditionalFormatting>
  <conditionalFormatting sqref="C80:C84">
    <cfRule type="cellIs" dxfId="1" priority="47" operator="equal">
      <formula>0</formula>
    </cfRule>
    <cfRule type="cellIs" dxfId="2" priority="46" operator="greaterThan">
      <formula>0</formula>
    </cfRule>
  </conditionalFormatting>
  <conditionalFormatting sqref="C87:C89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C90:C91">
    <cfRule type="cellIs" dxfId="1" priority="16" operator="equal">
      <formula>0</formula>
    </cfRule>
    <cfRule type="cellIs" dxfId="2" priority="15" operator="greaterThan">
      <formula>0</formula>
    </cfRule>
  </conditionalFormatting>
  <conditionalFormatting sqref="C92:C94">
    <cfRule type="cellIs" dxfId="1" priority="45" operator="equal">
      <formula>0</formula>
    </cfRule>
    <cfRule type="cellIs" dxfId="2" priority="44" operator="greaterThan">
      <formula>0</formula>
    </cfRule>
  </conditionalFormatting>
  <conditionalFormatting sqref="C99:C109">
    <cfRule type="cellIs" dxfId="2" priority="2" operator="lessThan">
      <formula>0</formula>
    </cfRule>
    <cfRule type="cellIs" dxfId="5" priority="1" operator="greaterThanOrEqual">
      <formula>0</formula>
    </cfRule>
  </conditionalFormatting>
  <conditionalFormatting sqref="E118:E127">
    <cfRule type="cellIs" dxfId="1" priority="26" operator="lessThanOrEqual">
      <formula>0</formula>
    </cfRule>
    <cfRule type="cellIs" dxfId="2" priority="25" operator="greaterThan">
      <formula>0</formula>
    </cfRule>
  </conditionalFormatting>
  <conditionalFormatting sqref="E145:E154">
    <cfRule type="cellIs" dxfId="1" priority="6" operator="lessThanOrEqual">
      <formula>0</formula>
    </cfRule>
    <cfRule type="cellIs" dxfId="2" priority="5" operator="greaterThan">
      <formula>0</formula>
    </cfRule>
  </conditionalFormatting>
  <conditionalFormatting sqref="E172:E181">
    <cfRule type="cellIs" dxfId="1" priority="4" operator="lessThanOrEqual">
      <formula>0</formula>
    </cfRule>
    <cfRule type="cellIs" dxfId="2" priority="3" operator="greaterThan">
      <formula>0</formula>
    </cfRule>
  </conditionalFormatting>
  <conditionalFormatting sqref="C47:C55 C85 C95:C96">
    <cfRule type="cellIs" dxfId="1" priority="65" operator="equal">
      <formula>0</formula>
    </cfRule>
  </conditionalFormatting>
  <conditionalFormatting sqref="C47:C55 C85 C95:C96 E144 E155:E162">
    <cfRule type="cellIs" dxfId="2" priority="64" operator="greaterThan">
      <formula>0</formula>
    </cfRule>
  </conditionalFormatting>
  <conditionalFormatting sqref="E117 E128:E135">
    <cfRule type="cellIs" dxfId="1" priority="53" operator="equal">
      <formula>0</formula>
    </cfRule>
    <cfRule type="cellIs" dxfId="2" priority="52" operator="greaterThan">
      <formula>0</formula>
    </cfRule>
  </conditionalFormatting>
  <conditionalFormatting sqref="E144 E155:E162">
    <cfRule type="cellIs" dxfId="5" priority="41" operator="equal">
      <formula>0</formula>
    </cfRule>
  </conditionalFormatting>
  <conditionalFormatting sqref="E171 E182:E189">
    <cfRule type="cellIs" dxfId="5" priority="36" operator="equal">
      <formula>0</formula>
    </cfRule>
    <cfRule type="cellIs" dxfId="2" priority="35" operator="greaterThan">
      <formula>0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C5" sqref="C5:G5"/>
    </sheetView>
  </sheetViews>
  <sheetFormatPr defaultColWidth="9" defaultRowHeight="17.6"/>
  <cols>
    <col min="1" max="2" width="20.625" style="1" customWidth="1"/>
    <col min="3" max="3" width="30.25" style="1" customWidth="1"/>
    <col min="4" max="8" width="20.625" style="1" customWidth="1"/>
    <col min="9" max="16384" width="9" style="1"/>
  </cols>
  <sheetData>
    <row r="1" ht="24.75" customHeight="1" spans="1:9">
      <c r="A1" s="2" t="str">
        <f>"Forecasts For the Year "&amp;IF(Main!B2,TEXT(EDATE(Main!B3,30),"mmmm yyyy"),TEXT(Main!B3+((Main!B5-Main!B3)*30+30),"mmmm yyyy"))&amp;" to "&amp;IF(Main!B2,TEXT(EDATE(Main!B3,33)-1,"mmmm yyyy"),TEXT(Main!B3+((Main!B5-Main!B3)*33+32),"mmmm yyyy"))</f>
        <v>Forecasts For the Year October 2027 to January 2028</v>
      </c>
      <c r="B1" s="2"/>
      <c r="C1" s="2"/>
      <c r="D1" s="2"/>
      <c r="E1" s="2"/>
      <c r="F1" s="2"/>
      <c r="G1" s="2"/>
      <c r="H1" s="44"/>
      <c r="I1" s="44"/>
    </row>
    <row r="2" ht="24.75" customHeight="1" spans="1:9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  <c r="H2" s="44"/>
      <c r="I2" s="44"/>
    </row>
    <row r="3" ht="24.75" customHeight="1" spans="1:9">
      <c r="A3" s="6"/>
      <c r="B3" s="7" t="s">
        <v>63</v>
      </c>
      <c r="C3" s="8">
        <f ca="1">E190</f>
        <v>0</v>
      </c>
      <c r="D3" s="8"/>
      <c r="E3" s="8"/>
      <c r="F3" s="8"/>
      <c r="G3" s="8"/>
      <c r="H3" s="44"/>
      <c r="I3" s="44"/>
    </row>
    <row r="4" ht="24.75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24.75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24.75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IF(Main!B2,TEXT(EDATE(Main!B3,30),"dd mmmm yyyy"),TEXT(Main!B3+((Main!B5-Main!B3)*30+30),"dd mmmm yyyy"))&amp;" - "&amp;IF(Main!B2,TEXT(EDATE(Main!B3,31)-1,"dd mmmm yyyy"),TEXT(Main!B3+((Main!B5-Main!B3)*31+30),"dd mmmm yyyy"))&amp;" / "&amp;" (Revenue / Deferred Debts Or Expenses)"</f>
        <v>11 October 2027 - 10 November 2027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IF(Main!B2,TEXT(EDATE(Main!B3,31),"dd mmmm yyyy"),TEXT(Main!B3+((Main!B5-Main!B3)*31+31),"dd mmmm yyyy"))&amp;" - "&amp;IF(Main!B2,TEXT(EDATE(Main!B3,32)-1,"dd mmmm yyyy"),TEXT(Main!B3+((Main!B5-Main!B3)*32+31),"dd mmmm yyyy"))&amp;" / "&amp;" (Revenue / Deferred Debts Or Expenses)"</f>
        <v>11 November 2027 - 10 December 2027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IF(Main!B2,TEXT(EDATE(Main!B3,32),"dd mmmm yyyy"),TEXT(Main!B3+((Main!B5-Main!B3)*32+32),"dd mmmm yyyy"))&amp;" - "&amp;IF(Main!B2,TEXT(EDATE(Main!B3,33)-1,"dd mmmm yyyy"),TEXT(Main!B3+((Main!B5-Main!B3)*33+32),"dd mmmm yyyy"))&amp;" / "&amp;" (Revenue / Deferred Debts Or Expenses)"</f>
        <v>11 December 2027 - 10 January 2028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24.75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24.75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24.75" customHeight="1" spans="1:9">
      <c r="A44" s="29" t="str">
        <f>"Fixed Expense For the Year "&amp;IF(Main!B2,TEXT(EDATE(Main!B3,30),"mmmm yyyy"),TEXT(Main!B3+((Main!B5-Main!B3)*30+30),"mmmm yyyy"))&amp;" to "&amp;IF(Main!B2,TEXT(EDATE(Main!B3,33)-1,"mmmm yyyy"),TEXT(Main!B3+((Main!B5-Main!B3)*33+32),"mmmm yyyy"))</f>
        <v>Fixed Expense For the Year October 2027 to January 2028</v>
      </c>
      <c r="B44" s="30"/>
      <c r="C44" s="31"/>
      <c r="D44" s="15"/>
      <c r="E44" s="15"/>
      <c r="F44" s="15"/>
      <c r="G44" s="15"/>
      <c r="H44" s="15"/>
      <c r="I44" s="51"/>
    </row>
    <row r="45" ht="24.75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24.75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24.75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24.75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24.75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24.75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55.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24.75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24.75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24.75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24.75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24.75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24.75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24.75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24.75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24.75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24.75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24.7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24.75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24.75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24.75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INDIRECT("'"&amp;INDIRECT("Main!B36")&amp;"'!C98")+SUM(E118+E145+E172)</f>
        <v>0</v>
      </c>
      <c r="D98" s="15"/>
      <c r="E98" s="93"/>
      <c r="F98" s="15"/>
      <c r="G98" s="15"/>
      <c r="H98" s="15"/>
      <c r="I98" s="51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INDIRECT("'"&amp;INDIRECT("Main!B36")&amp;"'!C99")+SUM(E119+E146+E173)</f>
        <v>0</v>
      </c>
      <c r="D99" s="15"/>
      <c r="E99" s="15"/>
      <c r="F99" s="15"/>
      <c r="G99" s="15"/>
      <c r="H99" s="15"/>
      <c r="I99" s="51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INDIRECT("'"&amp;INDIRECT("Main!B36")&amp;"'!C100")+SUM(E120+E147+E174)</f>
        <v>0</v>
      </c>
      <c r="D100" s="15"/>
      <c r="E100" s="15"/>
      <c r="F100" s="15"/>
      <c r="G100" s="15"/>
      <c r="H100" s="15"/>
      <c r="I100" s="51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INDIRECT("'"&amp;INDIRECT("Main!B36")&amp;"'!C101")+SUM(E121+E148+E175)</f>
        <v>0</v>
      </c>
      <c r="D101" s="15"/>
      <c r="E101" s="15"/>
      <c r="F101" s="15"/>
      <c r="G101" s="15"/>
      <c r="H101" s="15"/>
      <c r="I101" s="51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INDIRECT("'"&amp;INDIRECT("Main!B36")&amp;"'!C102")+SUM(E122+E149+E176)</f>
        <v>0</v>
      </c>
      <c r="D102" s="15"/>
      <c r="E102" s="15"/>
      <c r="F102" s="15"/>
      <c r="G102" s="15"/>
      <c r="H102" s="15"/>
      <c r="I102" s="51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INDIRECT("'"&amp;INDIRECT("Main!B36")&amp;"'!C103")+SUM(E123+E150+E177)</f>
        <v>0</v>
      </c>
      <c r="D103" s="15"/>
      <c r="E103" s="15"/>
      <c r="F103" s="15"/>
      <c r="G103" s="15"/>
      <c r="H103" s="15"/>
      <c r="I103" s="51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INDIRECT("'"&amp;INDIRECT("Main!B36")&amp;"'!C104")+SUM(E124+E151+E178)</f>
        <v>0</v>
      </c>
      <c r="D104" s="15"/>
      <c r="E104" s="15"/>
      <c r="F104" s="15"/>
      <c r="G104" s="15"/>
      <c r="H104" s="15"/>
      <c r="I104" s="51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INDIRECT("'"&amp;INDIRECT("Main!B36")&amp;"'!C105")+SUM(E125+E152+E179)</f>
        <v>0</v>
      </c>
      <c r="D105" s="15"/>
      <c r="E105" s="15"/>
      <c r="F105" s="15"/>
      <c r="G105" s="15"/>
      <c r="H105" s="15"/>
      <c r="I105" s="51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INDIRECT("'"&amp;INDIRECT("Main!B36")&amp;"'!C106")+SUM(E126+E153+E180)</f>
        <v>0</v>
      </c>
      <c r="D106" s="15"/>
      <c r="E106" s="15"/>
      <c r="F106" s="15"/>
      <c r="G106" s="15"/>
      <c r="H106" s="15"/>
      <c r="I106" s="51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INDIRECT("'"&amp;INDIRECT("Main!B36")&amp;"'!C107")+SUM(E127+E154+E181)</f>
        <v>0</v>
      </c>
      <c r="D107" s="15"/>
      <c r="E107" s="15"/>
      <c r="F107" s="15"/>
      <c r="G107" s="15"/>
      <c r="H107" s="15"/>
      <c r="I107" s="51"/>
    </row>
    <row r="108" ht="24.75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24.75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24.75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24.75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"&amp;IF(Main!B2,TEXT(EDATE(Main!B3,30),"mmmm dd yyyy"),TEXT(Main!B3+((Main!B5-Main!B3)*30+30),"mmmm dd yyyy"))&amp;" to "&amp;IF(Main!B2,TEXT(EDATE(Main!B3,31)-1,"mmmm dd yyyy"),TEXT(Main!B3+((Main!B5-Main!B3)*31+30),"mmmm dd yyyy"))</f>
        <v>Debts Or Credits For the Comming October 11 2027 to November 10 2027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"&amp;IF(Main!B2,TEXT(EDATE(Main!B3,30)-1,"mmmm yyyy"),TEXT(Main!B3+((Main!B5-Main!B3)*30+29),"mmmm yyyy"))</f>
        <v>Balance Brought Forward From October 2027</v>
      </c>
      <c r="B116" s="58"/>
      <c r="C116" s="59"/>
      <c r="D116" s="59"/>
      <c r="E116" s="72" cm="1">
        <f ca="1" t="array" ref="E116">INDIRECT("'"&amp;INDIRECT("Main!B36")&amp;"'!E190")</f>
        <v>0</v>
      </c>
      <c r="F116" s="15"/>
      <c r="G116" s="15"/>
      <c r="H116" s="15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4.7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4.7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4.7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4.7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24.7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"&amp;IF(Main!B2,TEXT(EDATE(Main!B3,31),"mmmm dd yyyy"),TEXT(Main!B3+((Main!B5-Main!B3)*31+31),"dd mmmm yyyy"))&amp;" to "&amp;IF(Main!B2,TEXT(EDATE(Main!B3,32)-1,"mmmm dd yyyy"),TEXT(Main!B3+((Main!B5-Main!B3)*32+31),"mmmm dd yyyy"))</f>
        <v>Debts Or Credits For the Comming November 11 2027 to December 10 2027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"&amp;IF(Main!B2,TEXT(EDATE(Main!B3,31)-1,"mmmm yyyy"),TEXT(Main!B3+((Main!B5-Main!B3)*31+30),"mmmm yyyy"))</f>
        <v>Balance Brought Forward From November 2027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"&amp;IF(Main!B2,TEXT(EDATE(Main!B3,32),"mmmm dd yyyy"),TEXT(Main!B3+((Main!B5-Main!B3)*32+32),"mmmm dd yyyy"))&amp;" to "&amp;IF(Main!B2,TEXT(EDATE(Main!B3,33)-1,"mmmm dd yyyy"),TEXT(Main!B3+((Main!B5-Main!B3)*33+32),"mmmm dd yyyy"))</f>
        <v>Debts Or Credits For the Comming December 11 2027 to January 10 2028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"&amp;IF(Main!B2,TEXT(EDATE(Main!B3,32)-1,"mmmm yyyy"),TEXT(Main!B3+((Main!B5-Main!B3)*32+31),"mmmm yyyy"))</f>
        <v>Balance Brought Forward From December 2027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ht="24.75" customHeight="1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24.75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24.75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ht="24.75" customHeight="1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24.75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ht="24.75" customHeight="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24.75" customHeight="1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spans="1:9">
      <c r="A193" s="44"/>
      <c r="B193" s="44"/>
      <c r="C193" s="44"/>
      <c r="D193" s="44"/>
      <c r="E193" s="44"/>
      <c r="F193" s="44"/>
      <c r="G193" s="44"/>
      <c r="H193" s="44"/>
      <c r="I193" s="44"/>
    </row>
  </sheetData>
  <sheetProtection sheet="1" formatCells="0" formatColumns="0" formatRows="0" objects="1"/>
  <protectedRanges>
    <protectedRange sqref="A10:G15 A22:G27 A34:G39 C47:C54 C57:C65 C68:C74 C77:C84 C87:C94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1" priority="14" operator="greaterThanOrEqual">
      <formula>0</formula>
    </cfRule>
    <cfRule type="cellIs" dxfId="2" priority="13" operator="lessThan">
      <formula>0</formula>
    </cfRule>
  </conditionalFormatting>
  <conditionalFormatting sqref="C75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77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98">
    <cfRule type="cellIs" dxfId="2" priority="28" operator="lessThan">
      <formula>0</formula>
    </cfRule>
    <cfRule type="cellIs" dxfId="5" priority="27" operator="greaterThanOrEqual">
      <formula>0</formula>
    </cfRule>
  </conditionalFormatting>
  <conditionalFormatting sqref="E116">
    <cfRule type="cellIs" dxfId="3" priority="20" operator="greaterThanOrEqual">
      <formula>0</formula>
    </cfRule>
    <cfRule type="cellIs" dxfId="4" priority="19" operator="lessThan">
      <formula>0</formula>
    </cfRule>
  </conditionalFormatting>
  <conditionalFormatting sqref="E136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43">
    <cfRule type="cellIs" dxfId="3" priority="38" operator="greaterThanOrEqual">
      <formula>0</formula>
    </cfRule>
    <cfRule type="cellIs" dxfId="4" priority="37" operator="lessThan">
      <formula>0</formula>
    </cfRule>
  </conditionalFormatting>
  <conditionalFormatting sqref="E163">
    <cfRule type="cellIs" dxfId="3" priority="40" operator="greaterThanOrEqual">
      <formula>0</formula>
    </cfRule>
    <cfRule type="cellIs" dxfId="4" priority="39" operator="lessThan">
      <formula>0</formula>
    </cfRule>
  </conditionalFormatting>
  <conditionalFormatting sqref="E170">
    <cfRule type="cellIs" dxfId="3" priority="32" operator="greaterThanOrEqual">
      <formula>0</formula>
    </cfRule>
    <cfRule type="cellIs" dxfId="4" priority="31" operator="lessThan">
      <formula>0</formula>
    </cfRule>
  </conditionalFormatting>
  <conditionalFormatting sqref="E190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C57:C66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68:C69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70:C7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78:C79">
    <cfRule type="cellIs" dxfId="1" priority="18" operator="equal">
      <formula>0</formula>
    </cfRule>
    <cfRule type="cellIs" dxfId="2" priority="17" operator="greaterThan">
      <formula>0</formula>
    </cfRule>
  </conditionalFormatting>
  <conditionalFormatting sqref="C80:C84">
    <cfRule type="cellIs" dxfId="1" priority="47" operator="equal">
      <formula>0</formula>
    </cfRule>
    <cfRule type="cellIs" dxfId="2" priority="46" operator="greaterThan">
      <formula>0</formula>
    </cfRule>
  </conditionalFormatting>
  <conditionalFormatting sqref="C87:C89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C90:C91">
    <cfRule type="cellIs" dxfId="1" priority="16" operator="equal">
      <formula>0</formula>
    </cfRule>
    <cfRule type="cellIs" dxfId="2" priority="15" operator="greaterThan">
      <formula>0</formula>
    </cfRule>
  </conditionalFormatting>
  <conditionalFormatting sqref="C92:C94">
    <cfRule type="cellIs" dxfId="1" priority="45" operator="equal">
      <formula>0</formula>
    </cfRule>
    <cfRule type="cellIs" dxfId="2" priority="44" operator="greaterThan">
      <formula>0</formula>
    </cfRule>
  </conditionalFormatting>
  <conditionalFormatting sqref="C99:C109">
    <cfRule type="cellIs" dxfId="2" priority="2" operator="lessThan">
      <formula>0</formula>
    </cfRule>
    <cfRule type="cellIs" dxfId="5" priority="1" operator="greaterThanOrEqual">
      <formula>0</formula>
    </cfRule>
  </conditionalFormatting>
  <conditionalFormatting sqref="E118:E127">
    <cfRule type="cellIs" dxfId="1" priority="26" operator="lessThanOrEqual">
      <formula>0</formula>
    </cfRule>
    <cfRule type="cellIs" dxfId="2" priority="25" operator="greaterThan">
      <formula>0</formula>
    </cfRule>
  </conditionalFormatting>
  <conditionalFormatting sqref="E145:E154">
    <cfRule type="cellIs" dxfId="1" priority="6" operator="lessThanOrEqual">
      <formula>0</formula>
    </cfRule>
    <cfRule type="cellIs" dxfId="2" priority="5" operator="greaterThan">
      <formula>0</formula>
    </cfRule>
  </conditionalFormatting>
  <conditionalFormatting sqref="E172:E181">
    <cfRule type="cellIs" dxfId="1" priority="4" operator="lessThanOrEqual">
      <formula>0</formula>
    </cfRule>
    <cfRule type="cellIs" dxfId="2" priority="3" operator="greaterThan">
      <formula>0</formula>
    </cfRule>
  </conditionalFormatting>
  <conditionalFormatting sqref="C47:C55 C85 C95:C96">
    <cfRule type="cellIs" dxfId="1" priority="65" operator="equal">
      <formula>0</formula>
    </cfRule>
  </conditionalFormatting>
  <conditionalFormatting sqref="C47:C55 C85 C95:C96 E144 E155:E162">
    <cfRule type="cellIs" dxfId="2" priority="64" operator="greaterThan">
      <formula>0</formula>
    </cfRule>
  </conditionalFormatting>
  <conditionalFormatting sqref="E117 E128:E135">
    <cfRule type="cellIs" dxfId="1" priority="53" operator="equal">
      <formula>0</formula>
    </cfRule>
    <cfRule type="cellIs" dxfId="2" priority="52" operator="greaterThan">
      <formula>0</formula>
    </cfRule>
  </conditionalFormatting>
  <conditionalFormatting sqref="E144 E155:E162">
    <cfRule type="cellIs" dxfId="5" priority="41" operator="equal">
      <formula>0</formula>
    </cfRule>
  </conditionalFormatting>
  <conditionalFormatting sqref="E171 E182:E189">
    <cfRule type="cellIs" dxfId="5" priority="36" operator="equal">
      <formula>0</formula>
    </cfRule>
    <cfRule type="cellIs" dxfId="2" priority="35" operator="greaterThan">
      <formula>0</formula>
    </cfRule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C5" sqref="C5:G5"/>
    </sheetView>
  </sheetViews>
  <sheetFormatPr defaultColWidth="9" defaultRowHeight="17.6"/>
  <cols>
    <col min="1" max="1" width="20.625" style="1" customWidth="1"/>
    <col min="2" max="2" width="26" style="1" customWidth="1"/>
    <col min="3" max="3" width="33" style="1" customWidth="1"/>
    <col min="4" max="7" width="20.625" style="1" customWidth="1"/>
    <col min="8" max="8" width="9" style="1"/>
    <col min="9" max="10" width="20.625" style="1" customWidth="1"/>
    <col min="11" max="16384" width="9" style="1"/>
  </cols>
  <sheetData>
    <row r="1" ht="24.75" customHeight="1" spans="1:9">
      <c r="A1" s="2" t="str">
        <f>"Forecasts For the Year "&amp;IF(Main!B2,TEXT(EDATE(Main!B3,33),"mmmm yyyy"),TEXT(Main!B3+((Main!B5-Main!B3)*33+33),"mmmm yyyy"))&amp;" to "&amp;IF(Main!B2,TEXT(EDATE(Main!B3,36)-1,"mmmm yyyy"),TEXT(Main!B3+((Main!B5-Main!B3)*36+35),"mmmm yyyy"))</f>
        <v>Forecasts For the Year January 2028 to April 2028</v>
      </c>
      <c r="B1" s="2"/>
      <c r="C1" s="2"/>
      <c r="D1" s="2"/>
      <c r="E1" s="2"/>
      <c r="F1" s="2"/>
      <c r="G1" s="2"/>
      <c r="H1" s="44"/>
      <c r="I1" s="44"/>
    </row>
    <row r="2" ht="24.75" customHeight="1" spans="1:9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  <c r="H2" s="44"/>
      <c r="I2" s="44"/>
    </row>
    <row r="3" ht="24.75" customHeight="1" spans="1:9">
      <c r="A3" s="6"/>
      <c r="B3" s="7" t="s">
        <v>63</v>
      </c>
      <c r="C3" s="8">
        <f ca="1">E190</f>
        <v>0</v>
      </c>
      <c r="D3" s="8"/>
      <c r="E3" s="8"/>
      <c r="F3" s="8"/>
      <c r="G3" s="8"/>
      <c r="H3" s="44"/>
      <c r="I3" s="44"/>
    </row>
    <row r="4" ht="24.75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24.75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24.75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IF(Main!B2,TEXT(EDATE(Main!B3,33),"dd mmmm yyyy"),TEXT(Main!B3+((Main!B5-Main!B3)*33+33),"dd mmmm yyyy"))&amp;" - "&amp;IF(Main!B2,TEXT(EDATE(Main!B3,34)-1,"dd mmmm yyyy"),TEXT(Main!B3+((Main!B5-Main!B3)*34+33),"dd mmmm yyyy"))&amp;" / "&amp;" (Revenue / Deferred Debts Or Expenses)"</f>
        <v>11 January 2028 - 10 February 2028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IF(Main!B2,TEXT(EDATE(Main!B3,34),"dd mmmm yyyy"),TEXT(Main!B3+((Main!B5-Main!B3)*34+34),"dd mmmm yyyy"))&amp;" - "&amp;IF(Main!B2,TEXT(EDATE(Main!B3,35)-1,"dd mmmm yyyy"),TEXT(Main!B3+((Main!B5-Main!B3)*35+34),"dd mmmm yyyy"))&amp;" / "&amp;" (Revenue / Deferred Debts Or Expenses)"</f>
        <v>11 February 2028 - 10 March 2028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IF(Main!B2,TEXT(EDATE(Main!B3,35),"dd mmmm yyyy"),TEXT(Main!B3+((Main!B5-Main!B3)*35+35),"dd mmmm yyyy"))&amp;" - "&amp;IF(Main!B2,TEXT(EDATE(Main!B3,36)-1,"dd mmmm yyyy"),TEXT(Main!B3+((Main!B5-Main!B3)*36+35),"dd mmmm yyyy"))&amp;" / "&amp;" (Revenue / Deferred Debts Or Expenses)"</f>
        <v>11 March 2028 - 10 April 2028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24.75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24.75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24.75" customHeight="1" spans="1:9">
      <c r="A44" s="29" t="str">
        <f>"Fixed Expense For the Year "&amp;IF(Main!B2,TEXT(EDATE(Main!B3,33),"mmmm yyyy"),TEXT(Main!B3+((Main!B5-Main!B3)*33+33),"mmmm yyyy"))&amp;" to "&amp;IF(Main!B2,TEXT(EDATE(Main!B3,36)-1,"mmmm yyyy"),TEXT(Main!B3+((Main!B5-Main!B3)*36+35),"mmmm yyyy"))</f>
        <v>Fixed Expense For the Year January 2028 to April 2028</v>
      </c>
      <c r="B44" s="30"/>
      <c r="C44" s="31"/>
      <c r="D44" s="15"/>
      <c r="E44" s="15"/>
      <c r="F44" s="15"/>
      <c r="G44" s="15"/>
      <c r="H44" s="15"/>
      <c r="I44" s="51"/>
    </row>
    <row r="45" ht="24.75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24.75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24.75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24.75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24.75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24.75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24.7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24.75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24.75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24.75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24.75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24.75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24.75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24.75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24.75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24.75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24.75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24.7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24.75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24.75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24.75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INDIRECT("'"&amp;INDIRECT("Main!B39")&amp;"'!C98")+SUM(E118+E145+E172)</f>
        <v>0</v>
      </c>
      <c r="D98" s="15"/>
      <c r="E98" s="93"/>
      <c r="F98" s="15"/>
      <c r="G98" s="15"/>
      <c r="H98" s="15"/>
      <c r="I98" s="51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INDIRECT("'"&amp;INDIRECT("Main!B39")&amp;"'!C99")+SUM(E119+E146+E173)</f>
        <v>0</v>
      </c>
      <c r="D99" s="15"/>
      <c r="E99" s="15"/>
      <c r="F99" s="15"/>
      <c r="G99" s="15"/>
      <c r="H99" s="15"/>
      <c r="I99" s="51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INDIRECT("'"&amp;INDIRECT("Main!B39")&amp;"'!C100")+SUM(E120+E147+E174)</f>
        <v>0</v>
      </c>
      <c r="D100" s="15"/>
      <c r="E100" s="15"/>
      <c r="F100" s="15"/>
      <c r="G100" s="15"/>
      <c r="H100" s="15"/>
      <c r="I100" s="51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INDIRECT("'"&amp;INDIRECT("Main!B39")&amp;"'!C101")+SUM(E121+E148+E175)</f>
        <v>0</v>
      </c>
      <c r="D101" s="15"/>
      <c r="E101" s="15"/>
      <c r="F101" s="15"/>
      <c r="G101" s="15"/>
      <c r="H101" s="15"/>
      <c r="I101" s="51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INDIRECT("'"&amp;INDIRECT("Main!B39")&amp;"'!C102")+SUM(E122+E149+E176)</f>
        <v>0</v>
      </c>
      <c r="D102" s="15"/>
      <c r="E102" s="15"/>
      <c r="F102" s="15"/>
      <c r="G102" s="15"/>
      <c r="H102" s="15"/>
      <c r="I102" s="51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INDIRECT("'"&amp;INDIRECT("Main!B39")&amp;"'!C103")+SUM(E123+E150+E177)</f>
        <v>0</v>
      </c>
      <c r="D103" s="15"/>
      <c r="E103" s="15"/>
      <c r="F103" s="15"/>
      <c r="G103" s="15"/>
      <c r="H103" s="15"/>
      <c r="I103" s="51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INDIRECT("'"&amp;INDIRECT("Main!B39")&amp;"'!C104")+SUM(E124+E151+E178)</f>
        <v>0</v>
      </c>
      <c r="D104" s="15"/>
      <c r="E104" s="15"/>
      <c r="F104" s="15"/>
      <c r="G104" s="15"/>
      <c r="H104" s="15"/>
      <c r="I104" s="51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INDIRECT("'"&amp;INDIRECT("Main!B39")&amp;"'!C105")+SUM(E125+E152+E179)</f>
        <v>0</v>
      </c>
      <c r="D105" s="15"/>
      <c r="E105" s="15"/>
      <c r="F105" s="15"/>
      <c r="G105" s="15"/>
      <c r="H105" s="15"/>
      <c r="I105" s="51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INDIRECT("'"&amp;INDIRECT("Main!B39")&amp;"'!C106")+SUM(E126+E153+E180)</f>
        <v>0</v>
      </c>
      <c r="D106" s="15"/>
      <c r="E106" s="15"/>
      <c r="F106" s="15"/>
      <c r="G106" s="15"/>
      <c r="H106" s="15"/>
      <c r="I106" s="51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INDIRECT("'"&amp;INDIRECT("Main!B39")&amp;"'!C107")+SUM(E127+E154+E181)</f>
        <v>0</v>
      </c>
      <c r="D107" s="15"/>
      <c r="E107" s="15"/>
      <c r="F107" s="15"/>
      <c r="G107" s="15"/>
      <c r="H107" s="15"/>
      <c r="I107" s="51"/>
    </row>
    <row r="108" ht="24.75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24.75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24.75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24.75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"&amp;IF(Main!B2,TEXT(EDATE(Main!B3,33),"mmmm dd yyyy"),TEXT(Main!B3+((Main!B5-Main!B3)*33+33),"mmmm dd yyyy"))&amp;" to "&amp;IF(Main!B2,TEXT(EDATE(Main!B3,34)-1,"mmmm dd yyyy"),TEXT(Main!B3+((Main!B5-Main!B3)*34+33),"mmmm dd yyyy"))</f>
        <v>Debts Or Credits For the Comming January 11 2028 to February 10 2028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"&amp;IF(Main!B2,TEXT(EDATE(Main!B3,33)-1,"mmmm yyyy"),TEXT(Main!B3+((Main!B5-Main!B3)*33+32),"mmmm yyyy"))</f>
        <v>Balance Brought Forward From January 2028</v>
      </c>
      <c r="B116" s="58"/>
      <c r="C116" s="59"/>
      <c r="D116" s="59"/>
      <c r="E116" s="72" cm="1">
        <f ca="1" t="array" ref="E116">INDIRECT("'"&amp;INDIRECT("Main!B39")&amp;"'!E190")</f>
        <v>0</v>
      </c>
      <c r="F116" s="15"/>
      <c r="G116" s="15"/>
      <c r="H116" s="15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4.7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4.7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4.7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4.7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24.7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"&amp;IF(Main!B2,TEXT(EDATE(Main!B3,34),"mmmm dd yyyy"),TEXT(Main!B3+((Main!B5-Main!B3)*34+34),"dd mmmm yyyy"))&amp;" to "&amp;IF(Main!B2,TEXT(EDATE(Main!B3,35)-1,"mmmm dd yyyy"),TEXT(Main!B3+((Main!B5-Main!B3)*35+34),"mmmm dd yyyy"))</f>
        <v>Debts Or Credits For the Comming February 11 2028 to March 10 2028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"&amp;IF(Main!B2,TEXT(EDATE(Main!B3,34)-1,"mmmm yyyy"),TEXT(Main!B3+((Main!B5-Main!B3)*34+33),"mmmm yyyy"))</f>
        <v>Balance Brought Forward From February 2028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"&amp;IF(Main!B2,TEXT(EDATE(Main!B3,35),"mmmm dd yyyy"),TEXT(Main!B3+((Main!B5-Main!B3)*35+35),"mmmm dd yyyy"))&amp;" to "&amp;IF(Main!B2,TEXT(EDATE(Main!B3,36)-1,"mmmm dd yyyy"),TEXT(Main!B3+((Main!B5-Main!B3)*36+35),"mmmm dd yyyy"))</f>
        <v>Debts Or Credits For the Comming March 11 2028 to April 10 2028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"&amp;IF(Main!B2,TEXT(EDATE(Main!B3,35)-1,"mmmm yyyy"),TEXT(Main!B3+((Main!B5-Main!B3)*35+34),"mmmm yyyy"))</f>
        <v>Balance Brought Forward From March 2028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ht="24.75" customHeight="1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24.75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24.75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ht="24.75" customHeight="1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24.75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ht="24.75" customHeight="1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24.75" customHeight="1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ht="24.75" customHeight="1" spans="1:9">
      <c r="A193" s="44"/>
      <c r="B193" s="44"/>
      <c r="C193" s="44"/>
      <c r="D193" s="44"/>
      <c r="E193" s="44"/>
      <c r="F193" s="44"/>
      <c r="G193" s="44"/>
      <c r="H193" s="44"/>
      <c r="I193" s="44"/>
    </row>
  </sheetData>
  <sheetProtection sheet="1" formatCells="0" formatColumns="0" formatRows="0" objects="1"/>
  <protectedRanges>
    <protectedRange sqref="A10:G15 A22:G27 A34:G39 C47:C54 C57:C65 C68:C74 C77:C84 C87:C94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1" priority="14" operator="greaterThanOrEqual">
      <formula>0</formula>
    </cfRule>
    <cfRule type="cellIs" dxfId="2" priority="13" operator="lessThan">
      <formula>0</formula>
    </cfRule>
  </conditionalFormatting>
  <conditionalFormatting sqref="C75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77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98">
    <cfRule type="cellIs" dxfId="2" priority="28" operator="lessThan">
      <formula>0</formula>
    </cfRule>
    <cfRule type="cellIs" dxfId="5" priority="27" operator="greaterThanOrEqual">
      <formula>0</formula>
    </cfRule>
  </conditionalFormatting>
  <conditionalFormatting sqref="E116">
    <cfRule type="cellIs" dxfId="3" priority="20" operator="greaterThanOrEqual">
      <formula>0</formula>
    </cfRule>
    <cfRule type="cellIs" dxfId="4" priority="19" operator="lessThan">
      <formula>0</formula>
    </cfRule>
  </conditionalFormatting>
  <conditionalFormatting sqref="E136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43">
    <cfRule type="cellIs" dxfId="3" priority="38" operator="greaterThanOrEqual">
      <formula>0</formula>
    </cfRule>
    <cfRule type="cellIs" dxfId="4" priority="37" operator="lessThan">
      <formula>0</formula>
    </cfRule>
  </conditionalFormatting>
  <conditionalFormatting sqref="E163">
    <cfRule type="cellIs" dxfId="3" priority="40" operator="greaterThanOrEqual">
      <formula>0</formula>
    </cfRule>
    <cfRule type="cellIs" dxfId="4" priority="39" operator="lessThan">
      <formula>0</formula>
    </cfRule>
  </conditionalFormatting>
  <conditionalFormatting sqref="E170">
    <cfRule type="cellIs" dxfId="3" priority="32" operator="greaterThanOrEqual">
      <formula>0</formula>
    </cfRule>
    <cfRule type="cellIs" dxfId="4" priority="31" operator="lessThan">
      <formula>0</formula>
    </cfRule>
  </conditionalFormatting>
  <conditionalFormatting sqref="E190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C57:C66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68:C69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70:C7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78:C79">
    <cfRule type="cellIs" dxfId="1" priority="18" operator="equal">
      <formula>0</formula>
    </cfRule>
    <cfRule type="cellIs" dxfId="2" priority="17" operator="greaterThan">
      <formula>0</formula>
    </cfRule>
  </conditionalFormatting>
  <conditionalFormatting sqref="C80:C84">
    <cfRule type="cellIs" dxfId="1" priority="47" operator="equal">
      <formula>0</formula>
    </cfRule>
    <cfRule type="cellIs" dxfId="2" priority="46" operator="greaterThan">
      <formula>0</formula>
    </cfRule>
  </conditionalFormatting>
  <conditionalFormatting sqref="C87:C89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C90:C91">
    <cfRule type="cellIs" dxfId="1" priority="16" operator="equal">
      <formula>0</formula>
    </cfRule>
    <cfRule type="cellIs" dxfId="2" priority="15" operator="greaterThan">
      <formula>0</formula>
    </cfRule>
  </conditionalFormatting>
  <conditionalFormatting sqref="C92:C94">
    <cfRule type="cellIs" dxfId="1" priority="45" operator="equal">
      <formula>0</formula>
    </cfRule>
    <cfRule type="cellIs" dxfId="2" priority="44" operator="greaterThan">
      <formula>0</formula>
    </cfRule>
  </conditionalFormatting>
  <conditionalFormatting sqref="C99:C109">
    <cfRule type="cellIs" dxfId="2" priority="2" operator="lessThan">
      <formula>0</formula>
    </cfRule>
    <cfRule type="cellIs" dxfId="5" priority="1" operator="greaterThanOrEqual">
      <formula>0</formula>
    </cfRule>
  </conditionalFormatting>
  <conditionalFormatting sqref="E118:E127">
    <cfRule type="cellIs" dxfId="1" priority="26" operator="lessThanOrEqual">
      <formula>0</formula>
    </cfRule>
    <cfRule type="cellIs" dxfId="2" priority="25" operator="greaterThan">
      <formula>0</formula>
    </cfRule>
  </conditionalFormatting>
  <conditionalFormatting sqref="E145:E154">
    <cfRule type="cellIs" dxfId="1" priority="6" operator="lessThanOrEqual">
      <formula>0</formula>
    </cfRule>
    <cfRule type="cellIs" dxfId="2" priority="5" operator="greaterThan">
      <formula>0</formula>
    </cfRule>
  </conditionalFormatting>
  <conditionalFormatting sqref="E172:E181">
    <cfRule type="cellIs" dxfId="1" priority="4" operator="lessThanOrEqual">
      <formula>0</formula>
    </cfRule>
    <cfRule type="cellIs" dxfId="2" priority="3" operator="greaterThan">
      <formula>0</formula>
    </cfRule>
  </conditionalFormatting>
  <conditionalFormatting sqref="C47:C55 C85 C95:C96">
    <cfRule type="cellIs" dxfId="1" priority="65" operator="equal">
      <formula>0</formula>
    </cfRule>
  </conditionalFormatting>
  <conditionalFormatting sqref="C47:C55 C85 C95:C96 E144 E155:E162">
    <cfRule type="cellIs" dxfId="2" priority="64" operator="greaterThan">
      <formula>0</formula>
    </cfRule>
  </conditionalFormatting>
  <conditionalFormatting sqref="E117 E128:E135">
    <cfRule type="cellIs" dxfId="1" priority="53" operator="equal">
      <formula>0</formula>
    </cfRule>
    <cfRule type="cellIs" dxfId="2" priority="52" operator="greaterThan">
      <formula>0</formula>
    </cfRule>
  </conditionalFormatting>
  <conditionalFormatting sqref="E144 E155:E162">
    <cfRule type="cellIs" dxfId="5" priority="41" operator="equal">
      <formula>0</formula>
    </cfRule>
  </conditionalFormatting>
  <conditionalFormatting sqref="E171 E182:E189">
    <cfRule type="cellIs" dxfId="5" priority="36" operator="equal">
      <formula>0</formula>
    </cfRule>
    <cfRule type="cellIs" dxfId="2" priority="35" operator="greaterThan">
      <formula>0</formula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4"/>
  <sheetViews>
    <sheetView topLeftCell="A9" workbookViewId="0">
      <selection activeCell="C5" sqref="C5:G5"/>
    </sheetView>
  </sheetViews>
  <sheetFormatPr defaultColWidth="9" defaultRowHeight="17.6"/>
  <cols>
    <col min="1" max="2" width="20.625" style="1" customWidth="1"/>
    <col min="3" max="3" width="28.75" style="1" customWidth="1"/>
    <col min="4" max="8" width="20.625" style="1" customWidth="1"/>
    <col min="9" max="16384" width="9" style="1"/>
  </cols>
  <sheetData>
    <row r="1" ht="24.75" customHeight="1" spans="1:9">
      <c r="A1" s="2" t="str">
        <f>"Forecasts For the Year "&amp;IF(Main!B2,TEXT(EDATE(Main!B3,36),"mmmm yyyy"),TEXT(Main!B3+((Main!B5-Main!B3)*36+36),"mmmm yyyy"))&amp;" to "&amp;IF(Main!B2,TEXT(EDATE(Main!B3,39)-1,"mmmm yyyy"),TEXT(Main!B3+((Main!B5-Main!B3)*39+38),"mmmm yyyy"))</f>
        <v>Forecasts For the Year April 2028 to July 2028</v>
      </c>
      <c r="B1" s="2"/>
      <c r="C1" s="2"/>
      <c r="D1" s="2"/>
      <c r="E1" s="2"/>
      <c r="F1" s="2"/>
      <c r="G1" s="2"/>
      <c r="H1" s="44"/>
      <c r="I1" s="44"/>
    </row>
    <row r="2" ht="24.75" customHeight="1" spans="1:9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  <c r="H2" s="44"/>
      <c r="I2" s="44"/>
    </row>
    <row r="3" ht="24.75" customHeight="1" spans="1:9">
      <c r="A3" s="6"/>
      <c r="B3" s="7" t="s">
        <v>63</v>
      </c>
      <c r="C3" s="8">
        <f ca="1">E190</f>
        <v>0</v>
      </c>
      <c r="D3" s="8"/>
      <c r="E3" s="8"/>
      <c r="F3" s="8"/>
      <c r="G3" s="8"/>
      <c r="H3" s="44"/>
      <c r="I3" s="44"/>
    </row>
    <row r="4" ht="24.75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24.75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24.75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IF(Main!B2,TEXT(EDATE(Main!B3,36),"dd mmmm yyyy"),TEXT(Main!B3+((Main!B5-Main!B3)*36+36),"dd mmmm yyyy"))&amp;" - "&amp;IF(Main!B2,TEXT(EDATE(Main!B3,37)-1,"dd mmmm yyyy"),TEXT(Main!B3+((Main!B5-Main!B3)*37+36),"dd mmmm yyyy"))&amp;" / "&amp;" (Revenue / Deferred Debts Or Expenses)"</f>
        <v>11 April 2028 - 10 May 2028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IF(Main!B2,TEXT(EDATE(Main!B3,37),"dd mmmm yyyy"),TEXT(Main!B3+((Main!B5-Main!B3)*37+37),"dd mmmm yyyy"))&amp;" - "&amp;IF(Main!B2,TEXT(EDATE(Main!B3,38)-1,"dd mmmm yyyy"),TEXT(Main!B3+((Main!B5-Main!B3)*38+37),"dd mmmm yyyy"))&amp;" / "&amp;" (Revenue / Deferred Debts Or Expenses)"</f>
        <v>11 May 2028 - 10 June 2028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IF(Main!B2,TEXT(EDATE(Main!B3,38),"dd mmmm yyyy"),TEXT(Main!B3+((Main!B5-Main!B3)*38+38),"dd mmmm yyyy"))&amp;" - "&amp;IF(Main!B2,TEXT(EDATE(Main!B3,39)-1,"dd mmmm yyyy"),TEXT(Main!B3+((Main!B5-Main!B3)*39+38),"dd mmmm yyyy"))&amp;" / "&amp;" (Revenue / Deferred Debts Or Expenses)"</f>
        <v>11 June 2028 - 10 July 2028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24.75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24.75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24.75" customHeight="1" spans="1:9">
      <c r="A44" s="29" t="str">
        <f>"Fixed Expense For the Year "&amp;IF(Main!B2,TEXT(EDATE(Main!B3,36),"mmmm yyyy"),TEXT(Main!B3+((Main!B5-Main!B3)*36+36),"mmmm yyyy"))&amp;" to "&amp;IF(Main!B2,TEXT(EDATE(Main!B3,39)-1,"mmmm yyyy"),TEXT(Main!B3+((Main!B5-Main!B3)*39+38),"mmmm yyyy"))</f>
        <v>Fixed Expense For the Year April 2028 to July 2028</v>
      </c>
      <c r="B44" s="30"/>
      <c r="C44" s="31"/>
      <c r="D44" s="15"/>
      <c r="E44" s="15"/>
      <c r="F44" s="15"/>
      <c r="G44" s="15"/>
      <c r="H44" s="15"/>
      <c r="I44" s="51"/>
    </row>
    <row r="45" ht="24.75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24.75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24.75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24.75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24.75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24.75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24.7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24.75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24.75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24.75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24.75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24.75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24.75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24.75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24.75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24.75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24.75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24.7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24.75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24.75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24.75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INDIRECT("'"&amp;INDIRECT("Main!B42")&amp;"'!C98")+SUM(E118+E145+E172)</f>
        <v>0</v>
      </c>
      <c r="D98" s="15"/>
      <c r="E98" s="93"/>
      <c r="F98" s="15"/>
      <c r="G98" s="15"/>
      <c r="H98" s="15"/>
      <c r="I98" s="51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INDIRECT("'"&amp;INDIRECT("Main!B42")&amp;"'!C99")+SUM(E119+E146+E173)</f>
        <v>0</v>
      </c>
      <c r="D99" s="15"/>
      <c r="E99" s="15"/>
      <c r="F99" s="15"/>
      <c r="G99" s="15"/>
      <c r="H99" s="15"/>
      <c r="I99" s="51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INDIRECT("'"&amp;INDIRECT("Main!B42")&amp;"'!C100")+SUM(E120+E147+E174)</f>
        <v>0</v>
      </c>
      <c r="D100" s="15"/>
      <c r="E100" s="15"/>
      <c r="F100" s="15"/>
      <c r="G100" s="15"/>
      <c r="H100" s="15"/>
      <c r="I100" s="51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INDIRECT("'"&amp;INDIRECT("Main!B42")&amp;"'!C101")+SUM(E121+E148+E175)</f>
        <v>0</v>
      </c>
      <c r="D101" s="15"/>
      <c r="E101" s="15"/>
      <c r="F101" s="15"/>
      <c r="G101" s="15"/>
      <c r="H101" s="15"/>
      <c r="I101" s="51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INDIRECT("'"&amp;INDIRECT("Main!B42")&amp;"'!C102")+SUM(E122+E149+E176)</f>
        <v>0</v>
      </c>
      <c r="D102" s="15"/>
      <c r="E102" s="15"/>
      <c r="F102" s="15"/>
      <c r="G102" s="15"/>
      <c r="H102" s="15"/>
      <c r="I102" s="51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INDIRECT("'"&amp;INDIRECT("Main!B42")&amp;"'!C103")+SUM(E123+E150+E177)</f>
        <v>0</v>
      </c>
      <c r="D103" s="15"/>
      <c r="E103" s="15"/>
      <c r="F103" s="15"/>
      <c r="G103" s="15"/>
      <c r="H103" s="15"/>
      <c r="I103" s="51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INDIRECT("'"&amp;INDIRECT("Main!B42")&amp;"'!C104")+SUM(E124+E151+E178)</f>
        <v>0</v>
      </c>
      <c r="D104" s="15"/>
      <c r="E104" s="15"/>
      <c r="F104" s="15"/>
      <c r="G104" s="15"/>
      <c r="H104" s="15"/>
      <c r="I104" s="51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INDIRECT("'"&amp;INDIRECT("Main!B42")&amp;"'!C105")+SUM(E125+E152+E179)</f>
        <v>0</v>
      </c>
      <c r="D105" s="15"/>
      <c r="E105" s="15"/>
      <c r="F105" s="15"/>
      <c r="G105" s="15"/>
      <c r="H105" s="15"/>
      <c r="I105" s="51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INDIRECT("'"&amp;INDIRECT("Main!B42")&amp;"'!C106")+SUM(E126+E153+E180)</f>
        <v>0</v>
      </c>
      <c r="D106" s="15"/>
      <c r="E106" s="15"/>
      <c r="F106" s="15"/>
      <c r="G106" s="15"/>
      <c r="H106" s="15"/>
      <c r="I106" s="51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INDIRECT("'"&amp;INDIRECT("Main!B42")&amp;"'!C107")+SUM(E127+E154+E181)</f>
        <v>0</v>
      </c>
      <c r="D107" s="15"/>
      <c r="E107" s="15"/>
      <c r="F107" s="15"/>
      <c r="G107" s="15"/>
      <c r="H107" s="15"/>
      <c r="I107" s="51"/>
    </row>
    <row r="108" ht="24.75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24.75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24.75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24.75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"&amp;IF(Main!B2,TEXT(EDATE(Main!B3,36),"mmmm dd yyyy"),TEXT(Main!B3+((Main!B5-Main!B3)*36+36),"mmmm dd yyyy"))&amp;" to "&amp;IF(Main!B2,TEXT(EDATE(Main!B3,37)-1,"mmmm dd yyyy"),TEXT(Main!B3+((Main!B5-Main!B3)*37+36),"mmmm dd yyyy"))</f>
        <v>Debts Or Credits For the Comming April 11 2028 to May 10 2028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"&amp;IF(Main!B2,TEXT(EDATE(Main!B3,37)-1,"mmmm yyyy"),TEXT(Main!B3+((Main!B5-Main!B3)*37+36),"mmmm yyyy"))</f>
        <v>Balance Brought Forward From May 2028</v>
      </c>
      <c r="B116" s="58"/>
      <c r="C116" s="59"/>
      <c r="D116" s="59"/>
      <c r="E116" s="72" cm="1">
        <f ca="1" t="array" ref="E116">INDIRECT("'"&amp;INDIRECT("Main!B42")&amp;"'!E190")</f>
        <v>0</v>
      </c>
      <c r="F116" s="15"/>
      <c r="G116" s="15"/>
      <c r="H116" s="15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4.7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4.7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4.7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4.7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24.7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"&amp;IF(Main!B2,TEXT(EDATE(Main!B3,37),"mmmm dd yyyy"),TEXT(Main!B3+((Main!B5-Main!B3)*37+37),"dd mmmm yyyy"))&amp;" to "&amp;IF(Main!B2,TEXT(EDATE(Main!B3,38)-1,"mmmm dd yyyy"),TEXT(Main!B3+((Main!B5-Main!B3)*38+37),"mmmm dd yyyy"))</f>
        <v>Debts Or Credits For the Comming May 11 2028 to June 10 2028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"&amp;IF(Main!B2,TEXT(EDATE(Main!B3,37)-1,"mmmm yyyy"),TEXT(Main!B3+((Main!B5-Main!B3)*37+36),"mmmm yyyy"))</f>
        <v>Balance Brought Forward From May 2028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"&amp;IF(Main!B2,TEXT(EDATE(Main!B3,38),"mmmm dd yyyy"),TEXT(Main!B3+((Main!B5-Main!B3)*38+38),"mmmm dd yyyy"))&amp;" to "&amp;IF(Main!B2,TEXT(EDATE(Main!B3,39)-1,"mmmm dd yyyy"),TEXT(Main!B3+((Main!B5-Main!B3)*39+38),"mmmm dd yyyy"))</f>
        <v>Debts Or Credits For the Comming June 11 2028 to July 10 2028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"&amp;IF(Main!B2,TEXT(EDATE(Main!B3,38)-1,"mmmm yyyy"),TEXT(Main!B3+((Main!B5-Main!B3)*38+37),"mmmm yyyy"))</f>
        <v>Balance Brought Forward From June 2028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ht="24.75" customHeight="1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24.75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24.75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ht="24.75" customHeight="1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24.75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ht="24.75" customHeight="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24.75" customHeight="1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ht="24.75" customHeight="1" spans="1:9">
      <c r="A193" s="44"/>
      <c r="B193" s="44"/>
      <c r="C193" s="44"/>
      <c r="D193" s="44"/>
      <c r="E193" s="44"/>
      <c r="F193" s="44"/>
      <c r="G193" s="44"/>
      <c r="H193" s="44"/>
      <c r="I193" s="44"/>
    </row>
    <row r="194" ht="24.75" customHeight="1"/>
  </sheetData>
  <sheetProtection sheet="1" formatCells="0" formatColumns="0" formatRows="0" objects="1"/>
  <protectedRanges>
    <protectedRange sqref="A10:G15 A22:G27 A34:G39 C47:C54 C57:C65 C68:C74 C77:C84 C87:C94 C98:C107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1" priority="14" operator="greaterThanOrEqual">
      <formula>0</formula>
    </cfRule>
    <cfRule type="cellIs" dxfId="2" priority="13" operator="lessThan">
      <formula>0</formula>
    </cfRule>
  </conditionalFormatting>
  <conditionalFormatting sqref="C75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77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98">
    <cfRule type="cellIs" dxfId="2" priority="28" operator="lessThan">
      <formula>0</formula>
    </cfRule>
    <cfRule type="cellIs" dxfId="5" priority="27" operator="greaterThanOrEqual">
      <formula>0</formula>
    </cfRule>
  </conditionalFormatting>
  <conditionalFormatting sqref="E116">
    <cfRule type="cellIs" dxfId="3" priority="20" operator="greaterThanOrEqual">
      <formula>0</formula>
    </cfRule>
    <cfRule type="cellIs" dxfId="4" priority="19" operator="lessThan">
      <formula>0</formula>
    </cfRule>
  </conditionalFormatting>
  <conditionalFormatting sqref="E136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43">
    <cfRule type="cellIs" dxfId="3" priority="38" operator="greaterThanOrEqual">
      <formula>0</formula>
    </cfRule>
    <cfRule type="cellIs" dxfId="4" priority="37" operator="lessThan">
      <formula>0</formula>
    </cfRule>
  </conditionalFormatting>
  <conditionalFormatting sqref="E163">
    <cfRule type="cellIs" dxfId="3" priority="40" operator="greaterThanOrEqual">
      <formula>0</formula>
    </cfRule>
    <cfRule type="cellIs" dxfId="4" priority="39" operator="lessThan">
      <formula>0</formula>
    </cfRule>
  </conditionalFormatting>
  <conditionalFormatting sqref="E170">
    <cfRule type="cellIs" dxfId="3" priority="32" operator="greaterThanOrEqual">
      <formula>0</formula>
    </cfRule>
    <cfRule type="cellIs" dxfId="4" priority="31" operator="lessThan">
      <formula>0</formula>
    </cfRule>
  </conditionalFormatting>
  <conditionalFormatting sqref="E190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C57:C66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68:C69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70:C7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78:C79">
    <cfRule type="cellIs" dxfId="1" priority="18" operator="equal">
      <formula>0</formula>
    </cfRule>
    <cfRule type="cellIs" dxfId="2" priority="17" operator="greaterThan">
      <formula>0</formula>
    </cfRule>
  </conditionalFormatting>
  <conditionalFormatting sqref="C80:C84">
    <cfRule type="cellIs" dxfId="1" priority="47" operator="equal">
      <formula>0</formula>
    </cfRule>
    <cfRule type="cellIs" dxfId="2" priority="46" operator="greaterThan">
      <formula>0</formula>
    </cfRule>
  </conditionalFormatting>
  <conditionalFormatting sqref="C87:C89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C90:C91">
    <cfRule type="cellIs" dxfId="1" priority="16" operator="equal">
      <formula>0</formula>
    </cfRule>
    <cfRule type="cellIs" dxfId="2" priority="15" operator="greaterThan">
      <formula>0</formula>
    </cfRule>
  </conditionalFormatting>
  <conditionalFormatting sqref="C92:C94">
    <cfRule type="cellIs" dxfId="1" priority="45" operator="equal">
      <formula>0</formula>
    </cfRule>
    <cfRule type="cellIs" dxfId="2" priority="44" operator="greaterThan">
      <formula>0</formula>
    </cfRule>
  </conditionalFormatting>
  <conditionalFormatting sqref="C99:C109">
    <cfRule type="cellIs" dxfId="2" priority="2" operator="lessThan">
      <formula>0</formula>
    </cfRule>
    <cfRule type="cellIs" dxfId="5" priority="1" operator="greaterThanOrEqual">
      <formula>0</formula>
    </cfRule>
  </conditionalFormatting>
  <conditionalFormatting sqref="E118:E127">
    <cfRule type="cellIs" dxfId="1" priority="26" operator="lessThanOrEqual">
      <formula>0</formula>
    </cfRule>
    <cfRule type="cellIs" dxfId="2" priority="25" operator="greaterThan">
      <formula>0</formula>
    </cfRule>
  </conditionalFormatting>
  <conditionalFormatting sqref="E145:E154">
    <cfRule type="cellIs" dxfId="1" priority="6" operator="lessThanOrEqual">
      <formula>0</formula>
    </cfRule>
    <cfRule type="cellIs" dxfId="2" priority="5" operator="greaterThan">
      <formula>0</formula>
    </cfRule>
  </conditionalFormatting>
  <conditionalFormatting sqref="E172:E181">
    <cfRule type="cellIs" dxfId="1" priority="4" operator="lessThanOrEqual">
      <formula>0</formula>
    </cfRule>
    <cfRule type="cellIs" dxfId="2" priority="3" operator="greaterThan">
      <formula>0</formula>
    </cfRule>
  </conditionalFormatting>
  <conditionalFormatting sqref="C47:C55 C85 C95:C96">
    <cfRule type="cellIs" dxfId="1" priority="65" operator="equal">
      <formula>0</formula>
    </cfRule>
  </conditionalFormatting>
  <conditionalFormatting sqref="C47:C55 C85 C95:C96 E144 E155:E162">
    <cfRule type="cellIs" dxfId="2" priority="64" operator="greaterThan">
      <formula>0</formula>
    </cfRule>
  </conditionalFormatting>
  <conditionalFormatting sqref="E117 E128:E135">
    <cfRule type="cellIs" dxfId="1" priority="53" operator="equal">
      <formula>0</formula>
    </cfRule>
    <cfRule type="cellIs" dxfId="2" priority="52" operator="greaterThan">
      <formula>0</formula>
    </cfRule>
  </conditionalFormatting>
  <conditionalFormatting sqref="E144 E155:E162">
    <cfRule type="cellIs" dxfId="5" priority="41" operator="equal">
      <formula>0</formula>
    </cfRule>
  </conditionalFormatting>
  <conditionalFormatting sqref="E171 E182:E189">
    <cfRule type="cellIs" dxfId="5" priority="36" operator="equal">
      <formula>0</formula>
    </cfRule>
    <cfRule type="cellIs" dxfId="2" priority="35" operator="greaterThan">
      <formula>0</formula>
    </cfRule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C5" sqref="C5:G5"/>
    </sheetView>
  </sheetViews>
  <sheetFormatPr defaultColWidth="9" defaultRowHeight="17.6"/>
  <cols>
    <col min="1" max="2" width="20.625" style="1" customWidth="1"/>
    <col min="3" max="3" width="35.25" style="1" customWidth="1"/>
    <col min="4" max="9" width="20.625" style="1" customWidth="1"/>
    <col min="10" max="16384" width="9" style="1"/>
  </cols>
  <sheetData>
    <row r="1" ht="24.75" customHeight="1" spans="1:9">
      <c r="A1" s="2" t="str">
        <f>"Forecasts For the Year "&amp;IF(Main!B2,TEXT(EDATE(Main!B3,39),"mmmm yyyy"),TEXT(Main!B3+((Main!B5-Main!B3)*39+39),"mmmm yyyy"))&amp;" to "&amp;IF(Main!B2,TEXT(EDATE(Main!B3,42)-1,"mmmm yyyy"),TEXT(Main!B3+((Main!B5-Main!B3)*42+41),"mmmm yyyy"))</f>
        <v>Forecasts For the Year July 2028 to October 2028</v>
      </c>
      <c r="B1" s="2"/>
      <c r="C1" s="2"/>
      <c r="D1" s="2"/>
      <c r="E1" s="2"/>
      <c r="F1" s="2"/>
      <c r="G1" s="2"/>
      <c r="H1" s="44"/>
      <c r="I1" s="44"/>
    </row>
    <row r="2" ht="24.75" customHeight="1" spans="1:9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  <c r="H2" s="44"/>
      <c r="I2" s="44"/>
    </row>
    <row r="3" ht="24.75" customHeight="1" spans="1:9">
      <c r="A3" s="6"/>
      <c r="B3" s="7" t="s">
        <v>63</v>
      </c>
      <c r="C3" s="8">
        <f ca="1">E190</f>
        <v>0</v>
      </c>
      <c r="D3" s="8"/>
      <c r="E3" s="8"/>
      <c r="F3" s="8"/>
      <c r="G3" s="8"/>
      <c r="H3" s="44"/>
      <c r="I3" s="44"/>
    </row>
    <row r="4" ht="24.75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24.75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24.75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IF(Main!B2,TEXT(EDATE(Main!B3,39),"dd mmmm yyyy"),TEXT(Main!B3+((Main!B5-Main!B3)*39+39),"dd mmmm yyyy"))&amp;" - "&amp;IF(Main!B2,TEXT(EDATE(Main!B3,40)-1,"dd mmmm yyyy"),TEXT(Main!B3+((Main!B5-Main!B3)*40+39),"dd mmmm yyyy"))&amp;" / "&amp;" (Revenue / Deferred Debts Or Expenses)"</f>
        <v>11 July 2028 - 10 August 2028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IF(Main!B2,TEXT(EDATE(Main!B3,40),"dd mmmm yyyy"),TEXT(Main!B3+((Main!B5-Main!B3)*40+40),"dd mmmm yyyy"))&amp;" - "&amp;IF(Main!B2,TEXT(EDATE(Main!B3,41)-1,"dd mmmm yyyy"),TEXT(Main!B3+((Main!B5-Main!B3)*41+40),"dd mmmm yyyy"))&amp;" / "&amp;" (Revenue / Deferred Debts Or Expenses)"</f>
        <v>11 August 2028 - 10 September 2028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IF(Main!B2,TEXT(EDATE(Main!B3,41),"dd mmmm yyyy"),TEXT(Main!B3+((Main!B5-Main!B3)*41+41),"dd mmmm yyyy"))&amp;" - "&amp;IF(Main!B2,TEXT(EDATE(Main!B3,42)-1,"dd mmmm yyyy"),TEXT(Main!B3+((Main!B5-Main!B3)*42+41),"dd mmmm yyyy"))&amp;" / "&amp;" (Revenue / Deferred Debts Or Expenses)"</f>
        <v>11 September 2028 - 10 October 2028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24.75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24.75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24.75" customHeight="1" spans="1:9">
      <c r="A44" s="29" t="str">
        <f>"Fixed Expense For the Year "&amp;IF(Main!B2,TEXT(EDATE(Main!B3,39),"mmmm yyyy"),TEXT(Main!B3+((Main!B5-Main!B3)*39+39),"mmmm yyyy"))&amp;" to "&amp;IF(Main!B2,TEXT(EDATE(Main!B3,42)-1,"mmmm yyyy"),TEXT(Main!B3+((Main!B5-Main!B3)*42+41),"mmmm yyyy"))</f>
        <v>Fixed Expense For the Year July 2028 to October 2028</v>
      </c>
      <c r="B44" s="30"/>
      <c r="C44" s="31"/>
      <c r="D44" s="15"/>
      <c r="E44" s="15"/>
      <c r="F44" s="15"/>
      <c r="G44" s="15"/>
      <c r="H44" s="15"/>
      <c r="I44" s="51"/>
    </row>
    <row r="45" ht="24.75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24.75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24.75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24.75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24.75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24.75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24.7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24.75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24.75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24.75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24.75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24.75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24.75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24.75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24.75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24.75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24.75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24.7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24.75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24.75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24.75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INDIRECT("'"&amp;INDIRECT("Main!B45")&amp;"'!C98")+SUM(E118+E145+E172)</f>
        <v>0</v>
      </c>
      <c r="D98" s="15"/>
      <c r="E98" s="93"/>
      <c r="F98" s="15"/>
      <c r="G98" s="15"/>
      <c r="H98" s="15"/>
      <c r="I98" s="51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INDIRECT("'"&amp;INDIRECT("Main!B45")&amp;"'!C99")+SUM(E119+E146+E173)</f>
        <v>0</v>
      </c>
      <c r="D99" s="15"/>
      <c r="E99" s="15"/>
      <c r="F99" s="15"/>
      <c r="G99" s="15"/>
      <c r="H99" s="15"/>
      <c r="I99" s="51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INDIRECT("'"&amp;INDIRECT("Main!B45")&amp;"'!C100")+SUM(E120+E147+E174)</f>
        <v>0</v>
      </c>
      <c r="D100" s="15"/>
      <c r="E100" s="15"/>
      <c r="F100" s="15"/>
      <c r="G100" s="15"/>
      <c r="H100" s="15"/>
      <c r="I100" s="51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INDIRECT("'"&amp;INDIRECT("Main!B45")&amp;"'!C101")+SUM(E121+E148+E175)</f>
        <v>0</v>
      </c>
      <c r="D101" s="15"/>
      <c r="E101" s="15"/>
      <c r="F101" s="15"/>
      <c r="G101" s="15"/>
      <c r="H101" s="15"/>
      <c r="I101" s="51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INDIRECT("'"&amp;INDIRECT("Main!B45")&amp;"'!C102")+SUM(E122+E149+E176)</f>
        <v>0</v>
      </c>
      <c r="D102" s="15"/>
      <c r="E102" s="15"/>
      <c r="F102" s="15"/>
      <c r="G102" s="15"/>
      <c r="H102" s="15"/>
      <c r="I102" s="51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INDIRECT("'"&amp;INDIRECT("Main!B45")&amp;"'!C103")+SUM(E123+E150+E177)</f>
        <v>0</v>
      </c>
      <c r="D103" s="15"/>
      <c r="E103" s="15"/>
      <c r="F103" s="15"/>
      <c r="G103" s="15"/>
      <c r="H103" s="15"/>
      <c r="I103" s="51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INDIRECT("'"&amp;INDIRECT("Main!B45")&amp;"'!C104")+SUM(E124+E151+E178)</f>
        <v>0</v>
      </c>
      <c r="D104" s="15"/>
      <c r="E104" s="15"/>
      <c r="F104" s="15"/>
      <c r="G104" s="15"/>
      <c r="H104" s="15"/>
      <c r="I104" s="51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INDIRECT("'"&amp;INDIRECT("Main!B45")&amp;"'!C105")+SUM(E125+E152+E179)</f>
        <v>0</v>
      </c>
      <c r="D105" s="15"/>
      <c r="E105" s="15"/>
      <c r="F105" s="15"/>
      <c r="G105" s="15"/>
      <c r="H105" s="15"/>
      <c r="I105" s="51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INDIRECT("'"&amp;INDIRECT("Main!B45")&amp;"'!C105")+SUM(E125+E152+E179)</f>
        <v>0</v>
      </c>
      <c r="D106" s="15"/>
      <c r="E106" s="15"/>
      <c r="F106" s="15"/>
      <c r="G106" s="15"/>
      <c r="H106" s="15"/>
      <c r="I106" s="51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INDIRECT("'"&amp;INDIRECT("Main!B45")&amp;"'!C107")+SUM(E127+E154+E181)</f>
        <v>0</v>
      </c>
      <c r="D107" s="15"/>
      <c r="E107" s="15"/>
      <c r="F107" s="15"/>
      <c r="G107" s="15"/>
      <c r="H107" s="15"/>
      <c r="I107" s="51"/>
    </row>
    <row r="108" ht="24.75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24.75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24.75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24.75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"&amp;IF(Main!B2,TEXT(EDATE(Main!B3,39),"mmmm dd yyyy"),TEXT(Main!B3+((Main!B5-Main!B3)*39+39),"mmmm dd yyyy"))&amp;" to "&amp;IF(Main!B2,TEXT(EDATE(Main!B3,40)-1,"mmmm dd yyyy"),TEXT(Main!B3+((Main!B5-Main!B3)*40+39),"mmmm dd yyyy"))</f>
        <v>Debts Or Credits For the Comming July 11 2028 to August 10 2028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"&amp;IF(Main!B2,TEXT(EDATE(Main!B3,39)-1,"mmmm yyyy"),TEXT(Main!B3+((Main!B5-Main!B3)*39+38),"mmmm yyyy"))</f>
        <v>Balance Brought Forward From July 2028</v>
      </c>
      <c r="B116" s="58"/>
      <c r="C116" s="59"/>
      <c r="D116" s="59"/>
      <c r="E116" s="72" cm="1">
        <f ca="1" t="array" ref="E116">INDIRECT("'"&amp;INDIRECT("Main!B45")&amp;"'!E190")</f>
        <v>0</v>
      </c>
      <c r="F116" s="15"/>
      <c r="G116" s="15"/>
      <c r="H116" s="15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4.7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4.7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4.7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4.7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24.7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"&amp;IF(Main!B2,TEXT(EDATE(Main!B3,40),"mmmm dd yyyy"),TEXT(Main!B3+((Main!B5-Main!B3)*40+40),"dd mmmm yyyy"))&amp;" to "&amp;IF(Main!B2,TEXT(EDATE(Main!B3,41)-1,"mmmm dd yyyy"),TEXT(Main!B3+((Main!B5-Main!B3)*41+40),"mmmm dd yyyy"))</f>
        <v>Debts Or Credits For the Comming August 11 2028 to September 10 2028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"&amp;IF(Main!B2,TEXT(EDATE(Main!B3,40)-1,"mmmm yyyy"),TEXT(Main!B3+((Main!B5-Main!B3)*40+39),"mmmm yyyy"))</f>
        <v>Balance Brought Forward From August 2028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"&amp;IF(Main!B2,TEXT(EDATE(Main!B3,41),"mmmm dd yyyy"),TEXT(Main!B3+((Main!B5-Main!B3)*41+41),"mmmm dd yyyy"))&amp;" to "&amp;IF(Main!B2,TEXT(EDATE(Main!B3,42)-1,"mmmm dd yyyy"),TEXT(Main!B3+((Main!B5-Main!B3)*42+41),"mmmm dd yyyy"))</f>
        <v>Debts Or Credits For the Comming September 11 2028 to October 10 2028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"&amp;IF(Main!B2,TEXT(EDATE(Main!B3,41)-1,"mmmm yyyy"),TEXT(Main!B3+((Main!B5-Main!B3)*41+40),"mmmm yyyy"))</f>
        <v>Balance Brought Forward From September 2028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ht="24.75" customHeight="1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24.75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24.75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ht="24.75" customHeight="1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24.75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ht="24.75" customHeight="1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24.75" customHeight="1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ht="24.75" customHeight="1" spans="1:9">
      <c r="A193" s="44"/>
      <c r="B193" s="44"/>
      <c r="C193" s="44"/>
      <c r="D193" s="44"/>
      <c r="E193" s="44"/>
      <c r="F193" s="44"/>
      <c r="G193" s="44"/>
      <c r="H193" s="44"/>
      <c r="I193" s="44"/>
    </row>
  </sheetData>
  <sheetProtection sheet="1" formatCells="0" formatColumns="0" formatRows="0" objects="1"/>
  <protectedRanges>
    <protectedRange sqref="A10:G15 A22:G27 A34:G39 C47:C54 C57:C65 C68:C74 C77:C84 C87:C94 C98:C107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1" priority="14" operator="greaterThanOrEqual">
      <formula>0</formula>
    </cfRule>
    <cfRule type="cellIs" dxfId="2" priority="13" operator="lessThan">
      <formula>0</formula>
    </cfRule>
  </conditionalFormatting>
  <conditionalFormatting sqref="C75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77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98">
    <cfRule type="cellIs" dxfId="2" priority="28" operator="lessThan">
      <formula>0</formula>
    </cfRule>
    <cfRule type="cellIs" dxfId="5" priority="27" operator="greaterThanOrEqual">
      <formula>0</formula>
    </cfRule>
  </conditionalFormatting>
  <conditionalFormatting sqref="E116">
    <cfRule type="cellIs" dxfId="3" priority="20" operator="greaterThanOrEqual">
      <formula>0</formula>
    </cfRule>
    <cfRule type="cellIs" dxfId="4" priority="19" operator="lessThan">
      <formula>0</formula>
    </cfRule>
  </conditionalFormatting>
  <conditionalFormatting sqref="E136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43">
    <cfRule type="cellIs" dxfId="3" priority="38" operator="greaterThanOrEqual">
      <formula>0</formula>
    </cfRule>
    <cfRule type="cellIs" dxfId="4" priority="37" operator="lessThan">
      <formula>0</formula>
    </cfRule>
  </conditionalFormatting>
  <conditionalFormatting sqref="E163">
    <cfRule type="cellIs" dxfId="3" priority="40" operator="greaterThanOrEqual">
      <formula>0</formula>
    </cfRule>
    <cfRule type="cellIs" dxfId="4" priority="39" operator="lessThan">
      <formula>0</formula>
    </cfRule>
  </conditionalFormatting>
  <conditionalFormatting sqref="E170">
    <cfRule type="cellIs" dxfId="3" priority="32" operator="greaterThanOrEqual">
      <formula>0</formula>
    </cfRule>
    <cfRule type="cellIs" dxfId="4" priority="31" operator="lessThan">
      <formula>0</formula>
    </cfRule>
  </conditionalFormatting>
  <conditionalFormatting sqref="E190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C57:C66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68:C69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70:C7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78:C79">
    <cfRule type="cellIs" dxfId="1" priority="18" operator="equal">
      <formula>0</formula>
    </cfRule>
    <cfRule type="cellIs" dxfId="2" priority="17" operator="greaterThan">
      <formula>0</formula>
    </cfRule>
  </conditionalFormatting>
  <conditionalFormatting sqref="C80:C84">
    <cfRule type="cellIs" dxfId="1" priority="47" operator="equal">
      <formula>0</formula>
    </cfRule>
    <cfRule type="cellIs" dxfId="2" priority="46" operator="greaterThan">
      <formula>0</formula>
    </cfRule>
  </conditionalFormatting>
  <conditionalFormatting sqref="C87:C89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C90:C91">
    <cfRule type="cellIs" dxfId="1" priority="16" operator="equal">
      <formula>0</formula>
    </cfRule>
    <cfRule type="cellIs" dxfId="2" priority="15" operator="greaterThan">
      <formula>0</formula>
    </cfRule>
  </conditionalFormatting>
  <conditionalFormatting sqref="C92:C94">
    <cfRule type="cellIs" dxfId="1" priority="45" operator="equal">
      <formula>0</formula>
    </cfRule>
    <cfRule type="cellIs" dxfId="2" priority="44" operator="greaterThan">
      <formula>0</formula>
    </cfRule>
  </conditionalFormatting>
  <conditionalFormatting sqref="C99:C109">
    <cfRule type="cellIs" dxfId="2" priority="2" operator="lessThan">
      <formula>0</formula>
    </cfRule>
    <cfRule type="cellIs" dxfId="5" priority="1" operator="greaterThanOrEqual">
      <formula>0</formula>
    </cfRule>
  </conditionalFormatting>
  <conditionalFormatting sqref="E118:E127">
    <cfRule type="cellIs" dxfId="1" priority="26" operator="lessThanOrEqual">
      <formula>0</formula>
    </cfRule>
    <cfRule type="cellIs" dxfId="2" priority="25" operator="greaterThan">
      <formula>0</formula>
    </cfRule>
  </conditionalFormatting>
  <conditionalFormatting sqref="E145:E154">
    <cfRule type="cellIs" dxfId="1" priority="6" operator="lessThanOrEqual">
      <formula>0</formula>
    </cfRule>
    <cfRule type="cellIs" dxfId="2" priority="5" operator="greaterThan">
      <formula>0</formula>
    </cfRule>
  </conditionalFormatting>
  <conditionalFormatting sqref="E172:E181">
    <cfRule type="cellIs" dxfId="1" priority="4" operator="lessThanOrEqual">
      <formula>0</formula>
    </cfRule>
    <cfRule type="cellIs" dxfId="2" priority="3" operator="greaterThan">
      <formula>0</formula>
    </cfRule>
  </conditionalFormatting>
  <conditionalFormatting sqref="C47:C55 C85 C95:C96">
    <cfRule type="cellIs" dxfId="1" priority="65" operator="equal">
      <formula>0</formula>
    </cfRule>
  </conditionalFormatting>
  <conditionalFormatting sqref="C47:C55 C85 C95:C96 E144 E155:E162">
    <cfRule type="cellIs" dxfId="2" priority="64" operator="greaterThan">
      <formula>0</formula>
    </cfRule>
  </conditionalFormatting>
  <conditionalFormatting sqref="E117 E128:E135">
    <cfRule type="cellIs" dxfId="1" priority="53" operator="equal">
      <formula>0</formula>
    </cfRule>
    <cfRule type="cellIs" dxfId="2" priority="52" operator="greaterThan">
      <formula>0</formula>
    </cfRule>
  </conditionalFormatting>
  <conditionalFormatting sqref="E144 E155:E162">
    <cfRule type="cellIs" dxfId="5" priority="41" operator="equal">
      <formula>0</formula>
    </cfRule>
  </conditionalFormatting>
  <conditionalFormatting sqref="E171 E182:E189">
    <cfRule type="cellIs" dxfId="5" priority="36" operator="equal">
      <formula>0</formula>
    </cfRule>
    <cfRule type="cellIs" dxfId="2" priority="35" operator="greaterThan">
      <formula>0</formula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2" workbookViewId="0">
      <selection activeCell="C5" sqref="C5:G5"/>
    </sheetView>
  </sheetViews>
  <sheetFormatPr defaultColWidth="9" defaultRowHeight="17.6"/>
  <cols>
    <col min="1" max="2" width="20.625" style="1" customWidth="1"/>
    <col min="3" max="3" width="24.75" style="1" customWidth="1"/>
    <col min="4" max="8" width="20.625" style="1" customWidth="1"/>
    <col min="9" max="16384" width="9" style="1"/>
  </cols>
  <sheetData>
    <row r="1" ht="24.75" customHeight="1" spans="1:9">
      <c r="A1" s="2" t="str">
        <f>"Forecasts For the Year "&amp;IF(Main!B2,TEXT(EDATE(Main!B3,42),"mmmm yyyy"),TEXT(Main!B3+((Main!B5-Main!B3)*42+42),"mmmm yyyy"))&amp;" to "&amp;IF(Main!B2,TEXT(EDATE(Main!B3,45)-1,"mmmm yyyy"),TEXT(Main!B3+((Main!B5-Main!B3)*45+44),"mmmm yyyy"))</f>
        <v>Forecasts For the Year October 2028 to January 2029</v>
      </c>
      <c r="B1" s="2"/>
      <c r="C1" s="2"/>
      <c r="D1" s="2"/>
      <c r="E1" s="2"/>
      <c r="F1" s="2"/>
      <c r="G1" s="2"/>
      <c r="H1" s="44"/>
      <c r="I1" s="44"/>
    </row>
    <row r="2" ht="24.75" customHeight="1" spans="1:9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  <c r="H2" s="44"/>
      <c r="I2" s="44"/>
    </row>
    <row r="3" ht="24.75" customHeight="1" spans="1:9">
      <c r="A3" s="6"/>
      <c r="B3" s="7" t="s">
        <v>63</v>
      </c>
      <c r="C3" s="8">
        <f ca="1">E190</f>
        <v>0</v>
      </c>
      <c r="D3" s="8"/>
      <c r="E3" s="8"/>
      <c r="F3" s="8"/>
      <c r="G3" s="8"/>
      <c r="H3" s="44"/>
      <c r="I3" s="44"/>
    </row>
    <row r="4" ht="24.75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24.75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24.75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IF(Main!B2,TEXT(EDATE(Main!B3,42),"dd mmmm yyyy"),TEXT(Main!B3+((Main!B5-Main!B3)*42+42),"dd mmmm yyyy"))&amp;" - "&amp;IF(Main!B2,TEXT(EDATE(Main!B3,43)-1,"dd mmmm yyyy"),TEXT(Main!B3+((Main!B5-Main!B3)*43+42),"dd mmmm yyyy"))&amp;" / "&amp;" (Revenue / Deferred Debts Or Expenses)"</f>
        <v>11 October 2028 - 10 November 2028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IF(Main!B2,TEXT(EDATE(Main!B3,43),"dd mmmm yyyy"),TEXT(Main!B3+((Main!B5-Main!B3)*43+43),"dd mmmm yyyy"))&amp;" - "&amp;IF(Main!B2,TEXT(EDATE(Main!B3,44)-1,"dd mmmm yyyy"),TEXT(Main!B3+((Main!B5-Main!B3)*44+43),"dd mmmm yyyy"))&amp;" / "&amp;" (Revenue / Deferred Debts Or Expenses)"</f>
        <v>11 November 2028 - 10 December 2028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IF(Main!B2,TEXT(EDATE(Main!B3,44),"dd mmmm yyyy"),TEXT(Main!B3+((Main!B5-Main!B3)*44+44),"dd mmmm yyyy"))&amp;" - "&amp;IF(Main!B2,TEXT(EDATE(Main!B3,45)-1,"dd mmmm yyyy"),TEXT(Main!B3+((Main!B5-Main!B3)*45+44),"dd mmmm yyyy"))&amp;" / "&amp;" (Revenue / Deferred Debts Or Expenses)"</f>
        <v>11 December 2028 - 10 January 2029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24.75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24.75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24.75" customHeight="1" spans="1:9">
      <c r="A44" s="29" t="str">
        <f>"Fixed Expense For the Year "&amp;IF(Main!B2,TEXT(EDATE(Main!B3,42),"mmmm yyyy"),TEXT(Main!B3+((Main!B5-Main!B3)*42+42),"mmmm yyyy"))&amp;" to "&amp;IF(Main!B2,TEXT(EDATE(Main!B3,45)-1,"mmmm yyyy"),TEXT(Main!B3+((Main!B5-Main!B3)*45+44),"mmmm yyyy"))</f>
        <v>Fixed Expense For the Year October 2028 to January 2029</v>
      </c>
      <c r="B44" s="30"/>
      <c r="C44" s="31"/>
      <c r="D44" s="15"/>
      <c r="E44" s="15"/>
      <c r="F44" s="15"/>
      <c r="G44" s="15"/>
      <c r="H44" s="15"/>
      <c r="I44" s="51"/>
    </row>
    <row r="45" ht="24.75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24.75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24.75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24.75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24.75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24.75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24.7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24.75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24.75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24.75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24.75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24.75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24.75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24.75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24.75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24.75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24.75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24.7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24.7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24.75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24.75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24.75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INDIRECT("'"&amp;INDIRECT("Main!B48")&amp;"'!C98")+SUM(E118+E145+E172)</f>
        <v>0</v>
      </c>
      <c r="D98" s="15"/>
      <c r="E98" s="93"/>
      <c r="F98" s="15"/>
      <c r="G98" s="15"/>
      <c r="H98" s="15"/>
      <c r="I98" s="51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INDIRECT("'"&amp;INDIRECT("Main!B48")&amp;"'!C99")+SUM(E119+E146+E173)</f>
        <v>0</v>
      </c>
      <c r="D99" s="15"/>
      <c r="E99" s="15"/>
      <c r="F99" s="15"/>
      <c r="G99" s="15"/>
      <c r="H99" s="15"/>
      <c r="I99" s="51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INDIRECT("'"&amp;INDIRECT("Main!B48")&amp;"'!C100")+SUM(E120+E147+E174)</f>
        <v>0</v>
      </c>
      <c r="D100" s="15"/>
      <c r="E100" s="15"/>
      <c r="F100" s="15"/>
      <c r="G100" s="15"/>
      <c r="H100" s="15"/>
      <c r="I100" s="51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INDIRECT("'"&amp;INDIRECT("Main!B48")&amp;"'!C101")+SUM(E121+E148+E175)</f>
        <v>0</v>
      </c>
      <c r="D101" s="15"/>
      <c r="E101" s="15"/>
      <c r="F101" s="15"/>
      <c r="G101" s="15"/>
      <c r="H101" s="15"/>
      <c r="I101" s="51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INDIRECT("'"&amp;INDIRECT("Main!B48")&amp;"'!C102")+SUM(E122+E149+E176)</f>
        <v>0</v>
      </c>
      <c r="D102" s="15"/>
      <c r="E102" s="15"/>
      <c r="F102" s="15"/>
      <c r="G102" s="15"/>
      <c r="H102" s="15"/>
      <c r="I102" s="51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INDIRECT("'"&amp;INDIRECT("Main!B48")&amp;"'!C103")+SUM(E123+E150+E177)</f>
        <v>0</v>
      </c>
      <c r="D103" s="15"/>
      <c r="E103" s="15"/>
      <c r="F103" s="15"/>
      <c r="G103" s="15"/>
      <c r="H103" s="15"/>
      <c r="I103" s="51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INDIRECT("'"&amp;INDIRECT("Main!B48")&amp;"'!C104")+SUM(E124+E151+E178)</f>
        <v>0</v>
      </c>
      <c r="D104" s="15"/>
      <c r="E104" s="15"/>
      <c r="F104" s="15"/>
      <c r="G104" s="15"/>
      <c r="H104" s="15"/>
      <c r="I104" s="51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INDIRECT("'"&amp;INDIRECT("Main!B48")&amp;"'!C105")+SUM(E125+E152+E179)</f>
        <v>0</v>
      </c>
      <c r="D105" s="15"/>
      <c r="E105" s="15"/>
      <c r="F105" s="15"/>
      <c r="G105" s="15"/>
      <c r="H105" s="15"/>
      <c r="I105" s="51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INDIRECT("'"&amp;INDIRECT("Main!B48")&amp;"'!C106")+SUM(E126+E153+E180)</f>
        <v>0</v>
      </c>
      <c r="D106" s="15"/>
      <c r="E106" s="15"/>
      <c r="F106" s="15"/>
      <c r="G106" s="15"/>
      <c r="H106" s="15"/>
      <c r="I106" s="51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INDIRECT("'"&amp;INDIRECT("Main!B48")&amp;"'!C107")+SUM(E127+E154+E181)</f>
        <v>0</v>
      </c>
      <c r="D107" s="15"/>
      <c r="E107" s="15"/>
      <c r="F107" s="15"/>
      <c r="G107" s="15"/>
      <c r="H107" s="15"/>
      <c r="I107" s="51"/>
    </row>
    <row r="108" ht="24.75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24.75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24.75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24.75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"&amp;IF(Main!B2,TEXT(EDATE(Main!B3,42),"mmmm dd yyyy"),TEXT(Main!B3+((Main!B5-Main!B3)*42+42),"mmmm dd yyyy"))&amp;" to "&amp;IF(Main!B2,TEXT(EDATE(Main!B3,43)-1,"mmmm dd yyyy"),TEXT(Main!B3+((Main!B5-Main!B3)*43+42),"mmmm dd yyyy"))</f>
        <v>Debts Or Credits For the Comming October 11 2028 to November 10 2028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"&amp;IF(Main!B2,TEXT(EDATE(Main!B3,42)-1,"mmmm yyyy"),TEXT(Main!B3+((Main!B5-Main!B3)*42+41),"mmmm yyyy"))</f>
        <v>Balance Brought Forward From October 2028</v>
      </c>
      <c r="B116" s="58"/>
      <c r="C116" s="59"/>
      <c r="D116" s="59"/>
      <c r="E116" s="72" cm="1">
        <f ca="1" t="array" ref="E116">INDIRECT("'"&amp;INDIRECT("Main!B48")&amp;"'!E190")</f>
        <v>0</v>
      </c>
      <c r="F116" s="15"/>
      <c r="G116" s="15"/>
      <c r="H116" s="15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4.7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4.7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4.7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4.7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24.7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"&amp;IF(Main!B2,TEXT(EDATE(Main!B3,43),"mmmm dd yyyy"),TEXT(Main!B3+((Main!B5-Main!B3)*43+43),"dd mmmm yyyy"))&amp;" to "&amp;IF(Main!B2,TEXT(EDATE(Main!B3,44)-1,"mmmm dd yyyy"),TEXT(Main!B3+((Main!B5-Main!B3)*44+43),"mmmm dd yyyy"))</f>
        <v>Debts Or Credits For the Comming November 11 2028 to December 10 2028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"&amp;IF(Main!B2,TEXT(EDATE(Main!B3,43)-1,"mmmm yyyy"),TEXT(Main!B3+((Main!B5-Main!B3)*43+42),"mmmm yyyy"))</f>
        <v>Balance Brought Forward From November 2028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"&amp;IF(Main!B2,TEXT(EDATE(Main!B3,44),"mmmm dd yyyy"),TEXT(Main!B3+((Main!B5-Main!B3)*44+44),"mmmm dd yyyy"))&amp;" to "&amp;IF(Main!B2,TEXT(EDATE(Main!B3,45)-1,"mmmm dd yyyy"),TEXT(Main!B3+((Main!B5-Main!B3)*45+44),"mmmm dd yyyy"))</f>
        <v>Debts Or Credits For the Comming December 11 2028 to January 10 2029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"&amp;IF(Main!B2,TEXT(EDATE(Main!B3,44)-1,"mmmm yyyy"),TEXT(Main!B3+((Main!B5-Main!B3)*44+43),"mmmm yyyy"))</f>
        <v>Balance Brought Forward From December 2028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ht="24.75" customHeight="1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24.75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24.75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ht="24.75" customHeight="1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24.75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ht="24.75" customHeight="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24.75" customHeight="1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spans="1:9">
      <c r="A193" s="44"/>
      <c r="B193" s="44"/>
      <c r="C193" s="44"/>
      <c r="D193" s="44"/>
      <c r="E193" s="44"/>
      <c r="F193" s="44"/>
      <c r="G193" s="44"/>
      <c r="H193" s="44"/>
      <c r="I193" s="44"/>
    </row>
  </sheetData>
  <sheetProtection sheet="1" formatCells="0" formatColumns="0" formatRows="0" objects="1"/>
  <protectedRanges>
    <protectedRange sqref="A10:G15 A22:G27 A34:G39 C47:C54 C57:C65 C68:C74 C77:C84 C87:C94 C98:C107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1" priority="14" operator="greaterThanOrEqual">
      <formula>0</formula>
    </cfRule>
    <cfRule type="cellIs" dxfId="2" priority="13" operator="lessThan">
      <formula>0</formula>
    </cfRule>
  </conditionalFormatting>
  <conditionalFormatting sqref="C75">
    <cfRule type="cellIs" dxfId="1" priority="59" operator="equal">
      <formula>0</formula>
    </cfRule>
    <cfRule type="cellIs" dxfId="2" priority="58" operator="greaterThan">
      <formula>0</formula>
    </cfRule>
  </conditionalFormatting>
  <conditionalFormatting sqref="C77">
    <cfRule type="cellIs" dxfId="1" priority="57" operator="equal">
      <formula>0</formula>
    </cfRule>
    <cfRule type="cellIs" dxfId="2" priority="56" operator="greaterThan">
      <formula>0</formula>
    </cfRule>
  </conditionalFormatting>
  <conditionalFormatting sqref="C98">
    <cfRule type="cellIs" dxfId="2" priority="28" operator="lessThan">
      <formula>0</formula>
    </cfRule>
    <cfRule type="cellIs" dxfId="5" priority="27" operator="greaterThanOrEqual">
      <formula>0</formula>
    </cfRule>
  </conditionalFormatting>
  <conditionalFormatting sqref="E116">
    <cfRule type="cellIs" dxfId="3" priority="20" operator="greaterThanOrEqual">
      <formula>0</formula>
    </cfRule>
    <cfRule type="cellIs" dxfId="4" priority="19" operator="lessThan">
      <formula>0</formula>
    </cfRule>
  </conditionalFormatting>
  <conditionalFormatting sqref="E136">
    <cfRule type="cellIs" dxfId="3" priority="51" operator="greaterThanOrEqual">
      <formula>0</formula>
    </cfRule>
    <cfRule type="cellIs" dxfId="4" priority="50" operator="lessThan">
      <formula>0</formula>
    </cfRule>
  </conditionalFormatting>
  <conditionalFormatting sqref="E143">
    <cfRule type="cellIs" dxfId="3" priority="38" operator="greaterThanOrEqual">
      <formula>0</formula>
    </cfRule>
    <cfRule type="cellIs" dxfId="4" priority="37" operator="lessThan">
      <formula>0</formula>
    </cfRule>
  </conditionalFormatting>
  <conditionalFormatting sqref="E163">
    <cfRule type="cellIs" dxfId="3" priority="40" operator="greaterThanOrEqual">
      <formula>0</formula>
    </cfRule>
    <cfRule type="cellIs" dxfId="4" priority="39" operator="lessThan">
      <formula>0</formula>
    </cfRule>
  </conditionalFormatting>
  <conditionalFormatting sqref="E170">
    <cfRule type="cellIs" dxfId="3" priority="32" operator="greaterThanOrEqual">
      <formula>0</formula>
    </cfRule>
    <cfRule type="cellIs" dxfId="4" priority="31" operator="lessThan">
      <formula>0</formula>
    </cfRule>
  </conditionalFormatting>
  <conditionalFormatting sqref="E190">
    <cfRule type="cellIs" dxfId="3" priority="34" operator="greaterThanOrEqual">
      <formula>0</formula>
    </cfRule>
    <cfRule type="cellIs" dxfId="4" priority="33" operator="lessThan">
      <formula>0</formula>
    </cfRule>
  </conditionalFormatting>
  <conditionalFormatting sqref="C57:C66">
    <cfRule type="cellIs" dxfId="1" priority="63" operator="equal">
      <formula>0</formula>
    </cfRule>
    <cfRule type="cellIs" dxfId="2" priority="62" operator="greaterThan">
      <formula>0</formula>
    </cfRule>
  </conditionalFormatting>
  <conditionalFormatting sqref="C68:C69">
    <cfRule type="cellIs" dxfId="1" priority="61" operator="equal">
      <formula>0</formula>
    </cfRule>
    <cfRule type="cellIs" dxfId="2" priority="60" operator="greaterThan">
      <formula>0</formula>
    </cfRule>
  </conditionalFormatting>
  <conditionalFormatting sqref="C70:C74">
    <cfRule type="cellIs" dxfId="1" priority="49" operator="equal">
      <formula>0</formula>
    </cfRule>
    <cfRule type="cellIs" dxfId="2" priority="48" operator="greaterThan">
      <formula>0</formula>
    </cfRule>
  </conditionalFormatting>
  <conditionalFormatting sqref="C78:C79">
    <cfRule type="cellIs" dxfId="1" priority="18" operator="equal">
      <formula>0</formula>
    </cfRule>
    <cfRule type="cellIs" dxfId="2" priority="17" operator="greaterThan">
      <formula>0</formula>
    </cfRule>
  </conditionalFormatting>
  <conditionalFormatting sqref="C80:C84">
    <cfRule type="cellIs" dxfId="1" priority="47" operator="equal">
      <formula>0</formula>
    </cfRule>
    <cfRule type="cellIs" dxfId="2" priority="46" operator="greaterThan">
      <formula>0</formula>
    </cfRule>
  </conditionalFormatting>
  <conditionalFormatting sqref="C87:C89">
    <cfRule type="cellIs" dxfId="1" priority="55" operator="equal">
      <formula>0</formula>
    </cfRule>
    <cfRule type="cellIs" dxfId="2" priority="54" operator="greaterThan">
      <formula>0</formula>
    </cfRule>
  </conditionalFormatting>
  <conditionalFormatting sqref="C90:C91">
    <cfRule type="cellIs" dxfId="1" priority="16" operator="equal">
      <formula>0</formula>
    </cfRule>
    <cfRule type="cellIs" dxfId="2" priority="15" operator="greaterThan">
      <formula>0</formula>
    </cfRule>
  </conditionalFormatting>
  <conditionalFormatting sqref="C92:C94">
    <cfRule type="cellIs" dxfId="1" priority="45" operator="equal">
      <formula>0</formula>
    </cfRule>
    <cfRule type="cellIs" dxfId="2" priority="44" operator="greaterThan">
      <formula>0</formula>
    </cfRule>
  </conditionalFormatting>
  <conditionalFormatting sqref="C99:C109">
    <cfRule type="cellIs" dxfId="2" priority="2" operator="lessThan">
      <formula>0</formula>
    </cfRule>
    <cfRule type="cellIs" dxfId="5" priority="1" operator="greaterThanOrEqual">
      <formula>0</formula>
    </cfRule>
  </conditionalFormatting>
  <conditionalFormatting sqref="E118:E127">
    <cfRule type="cellIs" dxfId="1" priority="26" operator="lessThanOrEqual">
      <formula>0</formula>
    </cfRule>
    <cfRule type="cellIs" dxfId="2" priority="25" operator="greaterThan">
      <formula>0</formula>
    </cfRule>
  </conditionalFormatting>
  <conditionalFormatting sqref="E145:E154">
    <cfRule type="cellIs" dxfId="1" priority="6" operator="lessThanOrEqual">
      <formula>0</formula>
    </cfRule>
    <cfRule type="cellIs" dxfId="2" priority="5" operator="greaterThan">
      <formula>0</formula>
    </cfRule>
  </conditionalFormatting>
  <conditionalFormatting sqref="E172:E181">
    <cfRule type="cellIs" dxfId="1" priority="4" operator="lessThanOrEqual">
      <formula>0</formula>
    </cfRule>
    <cfRule type="cellIs" dxfId="2" priority="3" operator="greaterThan">
      <formula>0</formula>
    </cfRule>
  </conditionalFormatting>
  <conditionalFormatting sqref="C47:C55 C85 C95:C96">
    <cfRule type="cellIs" dxfId="1" priority="65" operator="equal">
      <formula>0</formula>
    </cfRule>
  </conditionalFormatting>
  <conditionalFormatting sqref="C47:C55 C85 C95:C96 E144 E155:E162">
    <cfRule type="cellIs" dxfId="2" priority="64" operator="greaterThan">
      <formula>0</formula>
    </cfRule>
  </conditionalFormatting>
  <conditionalFormatting sqref="E117 E128:E135">
    <cfRule type="cellIs" dxfId="1" priority="53" operator="equal">
      <formula>0</formula>
    </cfRule>
    <cfRule type="cellIs" dxfId="2" priority="52" operator="greaterThan">
      <formula>0</formula>
    </cfRule>
  </conditionalFormatting>
  <conditionalFormatting sqref="E144 E155:E162">
    <cfRule type="cellIs" dxfId="5" priority="41" operator="equal">
      <formula>0</formula>
    </cfRule>
  </conditionalFormatting>
  <conditionalFormatting sqref="E171 E182:E189">
    <cfRule type="cellIs" dxfId="5" priority="36" operator="equal">
      <formula>0</formula>
    </cfRule>
    <cfRule type="cellIs" dxfId="2" priority="35" operator="greaterThan">
      <formula>0</formula>
    </cfRule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D17" sqref="D17"/>
    </sheetView>
  </sheetViews>
  <sheetFormatPr defaultColWidth="9" defaultRowHeight="17.6"/>
  <cols>
    <col min="1" max="1" width="20.625" style="1" customWidth="1"/>
    <col min="2" max="2" width="24.625" style="1" customWidth="1"/>
    <col min="3" max="3" width="35" style="1" customWidth="1"/>
    <col min="4" max="8" width="20.625" style="1" customWidth="1"/>
    <col min="9" max="9" width="9" style="1"/>
    <col min="10" max="10" width="20.625" style="1" customWidth="1"/>
    <col min="11" max="16384" width="9" style="1"/>
  </cols>
  <sheetData>
    <row r="1" ht="24.75" customHeight="1" spans="1:9">
      <c r="A1" s="2" t="str">
        <f>"Forecasts For the Year "&amp;IF(Main!B2,TEXT(EDATE(Main!B3,45),"mmmm yyyy"),TEXT(Main!B3+((Main!B5-Main!B3)*45+45),"mmmm yyyy"))&amp;" to "&amp;IF(Main!B2,TEXT(EDATE(Main!B3,48)-1,"mmmm yyyy"),TEXT(Main!B3+((Main!B5-Main!B3)*48+47),"mmmm yyyy"))</f>
        <v>Forecasts For the Year January 2029 to April 2029</v>
      </c>
      <c r="B1" s="2"/>
      <c r="C1" s="2"/>
      <c r="D1" s="2"/>
      <c r="E1" s="2"/>
      <c r="F1" s="2"/>
      <c r="G1" s="2"/>
      <c r="H1" s="44"/>
      <c r="I1" s="44"/>
    </row>
    <row r="2" ht="24.75" customHeight="1" spans="1:9">
      <c r="A2" s="3" t="s">
        <v>33</v>
      </c>
      <c r="B2" s="4" t="s">
        <v>62</v>
      </c>
      <c r="C2" s="5" cm="1">
        <f ca="1" t="array" ref="C2">INDIRECT("'"&amp;Main!B9&amp;"'!$C$16")</f>
        <v>0</v>
      </c>
      <c r="D2" s="5"/>
      <c r="E2" s="5"/>
      <c r="F2" s="5"/>
      <c r="G2" s="5"/>
      <c r="H2" s="44"/>
      <c r="I2" s="44"/>
    </row>
    <row r="3" ht="24.75" customHeight="1" spans="1:9">
      <c r="A3" s="6"/>
      <c r="B3" s="7" t="s">
        <v>63</v>
      </c>
      <c r="C3" s="8">
        <f ca="1">E190</f>
        <v>0</v>
      </c>
      <c r="D3" s="8"/>
      <c r="E3" s="8"/>
      <c r="F3" s="8"/>
      <c r="G3" s="8"/>
      <c r="H3" s="44"/>
      <c r="I3" s="44"/>
    </row>
    <row r="4" ht="24.75" customHeight="1" spans="1:9">
      <c r="A4" s="9" t="s">
        <v>42</v>
      </c>
      <c r="B4" s="10"/>
      <c r="C4" s="11">
        <f ca="1">SUM(C2:G3)</f>
        <v>0</v>
      </c>
      <c r="D4" s="11"/>
      <c r="E4" s="11"/>
      <c r="F4" s="11"/>
      <c r="G4" s="11"/>
      <c r="H4" s="15"/>
      <c r="I4" s="51"/>
    </row>
    <row r="5" ht="24.75" customHeight="1" spans="1:9">
      <c r="A5" s="12" t="s">
        <v>64</v>
      </c>
      <c r="B5" s="12"/>
      <c r="C5" s="13">
        <f ca="1">C108</f>
        <v>0</v>
      </c>
      <c r="D5" s="14"/>
      <c r="E5" s="14"/>
      <c r="F5" s="14"/>
      <c r="G5" s="14"/>
      <c r="H5" s="15"/>
      <c r="I5" s="51"/>
    </row>
    <row r="6" ht="24.75" customHeight="1" spans="1:9">
      <c r="A6" s="15"/>
      <c r="B6" s="15"/>
      <c r="C6" s="15"/>
      <c r="D6" s="15"/>
      <c r="E6" s="15"/>
      <c r="F6" s="15"/>
      <c r="G6" s="15"/>
      <c r="H6" s="15"/>
      <c r="I6" s="51"/>
    </row>
    <row r="7" ht="24.75" customHeight="1" spans="1:9">
      <c r="A7" s="15"/>
      <c r="B7" s="15"/>
      <c r="C7" s="15"/>
      <c r="D7" s="15"/>
      <c r="E7" s="15"/>
      <c r="F7" s="15"/>
      <c r="G7" s="15"/>
      <c r="H7" s="15"/>
      <c r="I7" s="51"/>
    </row>
    <row r="8" ht="24.75" customHeight="1" spans="1:9">
      <c r="A8" s="16" t="str">
        <f>IF(Main!B2,TEXT(EDATE(Main!B3,45),"dd mmmm yyyy"),TEXT(Main!B3+((Main!B5-Main!B3)*45+45),"dd mmmm yyyy"))&amp;" - "&amp;IF(Main!B2,TEXT(EDATE(Main!B3,46)-1,"dd mmmm yyyy"),TEXT(Main!B3+((Main!B5-Main!B3)*46+45),"dd mmmm yyyy"))&amp;" / "&amp;" (Revenue / Deferred Debts Or Expenses)"</f>
        <v>11 January 2029 - 10 February 2029 /  (Revenue / Deferred Debts Or Expenses)</v>
      </c>
      <c r="B8" s="17"/>
      <c r="C8" s="17"/>
      <c r="D8" s="17"/>
      <c r="E8" s="17"/>
      <c r="F8" s="17"/>
      <c r="G8" s="17"/>
      <c r="H8" s="15"/>
      <c r="I8" s="52"/>
    </row>
    <row r="9" ht="24.75" customHeight="1" spans="1:9">
      <c r="A9" s="18" t="s">
        <v>29</v>
      </c>
      <c r="B9" s="18" t="s">
        <v>43</v>
      </c>
      <c r="C9" s="18"/>
      <c r="D9" s="19" t="s">
        <v>44</v>
      </c>
      <c r="E9" s="19"/>
      <c r="F9" s="19" t="s">
        <v>45</v>
      </c>
      <c r="G9" s="19"/>
      <c r="H9" s="15"/>
      <c r="I9" s="51"/>
    </row>
    <row r="10" ht="24.75" customHeight="1" spans="1:9">
      <c r="A10" s="20"/>
      <c r="B10" s="21"/>
      <c r="C10" s="21"/>
      <c r="D10" s="21"/>
      <c r="E10" s="21"/>
      <c r="F10" s="45">
        <v>0</v>
      </c>
      <c r="G10" s="46"/>
      <c r="H10" s="15"/>
      <c r="I10" s="51"/>
    </row>
    <row r="11" ht="24.75" customHeight="1" spans="1:9">
      <c r="A11" s="20"/>
      <c r="B11" s="22"/>
      <c r="C11" s="23"/>
      <c r="D11" s="24"/>
      <c r="E11" s="47"/>
      <c r="F11" s="45">
        <v>0</v>
      </c>
      <c r="G11" s="46"/>
      <c r="H11" s="15"/>
      <c r="I11" s="51"/>
    </row>
    <row r="12" ht="24.75" customHeight="1" spans="1:9">
      <c r="A12" s="20"/>
      <c r="B12" s="22"/>
      <c r="C12" s="23"/>
      <c r="D12" s="24"/>
      <c r="E12" s="47"/>
      <c r="F12" s="45">
        <v>0</v>
      </c>
      <c r="G12" s="46"/>
      <c r="H12" s="15"/>
      <c r="I12" s="51"/>
    </row>
    <row r="13" ht="24.75" customHeight="1" spans="1:9">
      <c r="A13" s="20"/>
      <c r="B13" s="22"/>
      <c r="C13" s="23"/>
      <c r="D13" s="24"/>
      <c r="E13" s="47"/>
      <c r="F13" s="45">
        <v>0</v>
      </c>
      <c r="G13" s="46"/>
      <c r="H13" s="15"/>
      <c r="I13" s="51"/>
    </row>
    <row r="14" ht="24.75" customHeight="1" spans="1:9">
      <c r="A14" s="20"/>
      <c r="B14" s="22"/>
      <c r="C14" s="23"/>
      <c r="D14" s="24"/>
      <c r="E14" s="47"/>
      <c r="F14" s="45">
        <v>0</v>
      </c>
      <c r="G14" s="46"/>
      <c r="H14" s="15"/>
      <c r="I14" s="51"/>
    </row>
    <row r="15" ht="24.75" customHeight="1" spans="1:9">
      <c r="A15" s="20"/>
      <c r="B15" s="22"/>
      <c r="C15" s="23"/>
      <c r="D15" s="24"/>
      <c r="E15" s="47"/>
      <c r="F15" s="45">
        <v>0</v>
      </c>
      <c r="G15" s="46"/>
      <c r="H15" s="15"/>
      <c r="I15" s="51"/>
    </row>
    <row r="16" ht="24.75" customHeight="1" spans="1:9">
      <c r="A16" s="25"/>
      <c r="B16" s="26"/>
      <c r="C16" s="27"/>
      <c r="D16" s="28" t="s">
        <v>46</v>
      </c>
      <c r="E16" s="48"/>
      <c r="F16" s="49">
        <f>SUM(F10:G15)</f>
        <v>0</v>
      </c>
      <c r="G16" s="50"/>
      <c r="H16" s="15"/>
      <c r="I16" s="51"/>
    </row>
    <row r="17" ht="24.75" customHeight="1" spans="1:9">
      <c r="A17" s="15"/>
      <c r="B17" s="15"/>
      <c r="C17" s="15"/>
      <c r="D17" s="15"/>
      <c r="E17" s="15"/>
      <c r="F17" s="15"/>
      <c r="G17" s="15"/>
      <c r="H17" s="15"/>
      <c r="I17" s="51"/>
    </row>
    <row r="18" ht="24.75" customHeight="1" spans="1:9">
      <c r="A18" s="15"/>
      <c r="B18" s="15"/>
      <c r="C18" s="15"/>
      <c r="D18" s="15"/>
      <c r="E18" s="15"/>
      <c r="F18" s="15"/>
      <c r="G18" s="15"/>
      <c r="H18" s="15"/>
      <c r="I18" s="51"/>
    </row>
    <row r="19" ht="24.75" customHeight="1" spans="1:9">
      <c r="A19" s="15"/>
      <c r="B19" s="15"/>
      <c r="C19" s="15"/>
      <c r="D19" s="15"/>
      <c r="E19" s="15"/>
      <c r="F19" s="15"/>
      <c r="G19" s="15"/>
      <c r="H19" s="15"/>
      <c r="I19" s="51"/>
    </row>
    <row r="20" ht="24.75" customHeight="1" spans="1:9">
      <c r="A20" s="16" t="str">
        <f>IF(Main!B2,TEXT(EDATE(Main!B3,46),"dd mmmm yyyy"),TEXT(Main!B3+((Main!B5-Main!B3)*46+46),"dd mmmm yyyy"))&amp;" - "&amp;IF(Main!B2,TEXT(EDATE(Main!B3,47)-1,"dd mmmm yyyy"),TEXT(Main!B3+((Main!B5-Main!B3)*47+46),"dd mmmm yyyy"))&amp;" / "&amp;" (Revenue / Deferred Debts Or Expenses)"</f>
        <v>11 February 2029 - 10 March 2029 /  (Revenue / Deferred Debts Or Expenses)</v>
      </c>
      <c r="B20" s="17"/>
      <c r="C20" s="17"/>
      <c r="D20" s="17"/>
      <c r="E20" s="17"/>
      <c r="F20" s="17"/>
      <c r="G20" s="17"/>
      <c r="H20" s="15"/>
      <c r="I20" s="51"/>
    </row>
    <row r="21" ht="24.75" customHeight="1" spans="1:9">
      <c r="A21" s="18" t="s">
        <v>29</v>
      </c>
      <c r="B21" s="18" t="s">
        <v>43</v>
      </c>
      <c r="C21" s="18"/>
      <c r="D21" s="19" t="s">
        <v>44</v>
      </c>
      <c r="E21" s="19"/>
      <c r="F21" s="19" t="s">
        <v>45</v>
      </c>
      <c r="G21" s="19"/>
      <c r="H21" s="15"/>
      <c r="I21" s="51"/>
    </row>
    <row r="22" ht="24.75" customHeight="1" spans="1:9">
      <c r="A22" s="20"/>
      <c r="B22" s="21"/>
      <c r="C22" s="21"/>
      <c r="D22" s="21"/>
      <c r="E22" s="21"/>
      <c r="F22" s="45">
        <v>0</v>
      </c>
      <c r="G22" s="46"/>
      <c r="H22" s="15"/>
      <c r="I22" s="51"/>
    </row>
    <row r="23" ht="24.75" customHeight="1" spans="1:9">
      <c r="A23" s="20"/>
      <c r="B23" s="22"/>
      <c r="C23" s="23"/>
      <c r="D23" s="24"/>
      <c r="E23" s="47"/>
      <c r="F23" s="45">
        <v>0</v>
      </c>
      <c r="G23" s="46"/>
      <c r="H23" s="15"/>
      <c r="I23" s="51"/>
    </row>
    <row r="24" ht="24.75" customHeight="1" spans="1:9">
      <c r="A24" s="20"/>
      <c r="B24" s="22"/>
      <c r="C24" s="23"/>
      <c r="D24" s="24"/>
      <c r="E24" s="47"/>
      <c r="F24" s="45">
        <v>0</v>
      </c>
      <c r="G24" s="46"/>
      <c r="H24" s="15"/>
      <c r="I24" s="51"/>
    </row>
    <row r="25" ht="24.75" customHeight="1" spans="1:9">
      <c r="A25" s="20"/>
      <c r="B25" s="22"/>
      <c r="C25" s="23"/>
      <c r="D25" s="24"/>
      <c r="E25" s="47"/>
      <c r="F25" s="45">
        <v>0</v>
      </c>
      <c r="G25" s="46"/>
      <c r="H25" s="15"/>
      <c r="I25" s="51"/>
    </row>
    <row r="26" ht="24.75" customHeight="1" spans="1:9">
      <c r="A26" s="20"/>
      <c r="B26" s="22"/>
      <c r="C26" s="23"/>
      <c r="D26" s="24"/>
      <c r="E26" s="47"/>
      <c r="F26" s="45">
        <v>0</v>
      </c>
      <c r="G26" s="46"/>
      <c r="H26" s="15"/>
      <c r="I26" s="51"/>
    </row>
    <row r="27" ht="24.75" customHeight="1" spans="1:9">
      <c r="A27" s="20"/>
      <c r="B27" s="22"/>
      <c r="C27" s="23"/>
      <c r="D27" s="24"/>
      <c r="E27" s="47"/>
      <c r="F27" s="45">
        <v>0</v>
      </c>
      <c r="G27" s="46"/>
      <c r="H27" s="15"/>
      <c r="I27" s="51"/>
    </row>
    <row r="28" ht="24.75" customHeight="1" spans="1:9">
      <c r="A28" s="25"/>
      <c r="B28" s="26"/>
      <c r="C28" s="27"/>
      <c r="D28" s="28" t="s">
        <v>46</v>
      </c>
      <c r="E28" s="48"/>
      <c r="F28" s="49">
        <f>SUM(F22:G27)</f>
        <v>0</v>
      </c>
      <c r="G28" s="50"/>
      <c r="H28" s="15"/>
      <c r="I28" s="51"/>
    </row>
    <row r="29" ht="24.75" customHeight="1" spans="1:9">
      <c r="A29" s="15"/>
      <c r="B29" s="15"/>
      <c r="C29" s="15"/>
      <c r="D29" s="15"/>
      <c r="E29" s="15"/>
      <c r="F29" s="15"/>
      <c r="G29" s="15"/>
      <c r="H29" s="15"/>
      <c r="I29" s="51"/>
    </row>
    <row r="30" ht="24.75" customHeight="1" spans="1:9">
      <c r="A30" s="15"/>
      <c r="B30" s="15"/>
      <c r="C30" s="15"/>
      <c r="D30" s="15"/>
      <c r="E30" s="15"/>
      <c r="F30" s="15"/>
      <c r="G30" s="15"/>
      <c r="H30" s="15"/>
      <c r="I30" s="51"/>
    </row>
    <row r="31" ht="24.75" customHeight="1" spans="1:9">
      <c r="A31" s="15"/>
      <c r="B31" s="15"/>
      <c r="C31" s="15"/>
      <c r="D31" s="15"/>
      <c r="E31" s="15"/>
      <c r="F31" s="15"/>
      <c r="G31" s="15"/>
      <c r="H31" s="15"/>
      <c r="I31" s="51"/>
    </row>
    <row r="32" ht="24.75" customHeight="1" spans="1:9">
      <c r="A32" s="16" t="str">
        <f>IF(Main!B2,TEXT(EDATE(Main!B3,47),"dd mmmm yyyy"),TEXT(Main!B3+((Main!B5-Main!B3)*47+47),"dd mmmm yyyy"))&amp;" - "&amp;IF(Main!B2,TEXT(EDATE(Main!B3,48)-1,"dd mmmm yyyy"),TEXT(Main!B3+((Main!B5-Main!B3)*48+47),"dd mmmm yyyy"))&amp;" / "&amp;" (Revenue / Deferred Debts Or Expenses)"</f>
        <v>11 March 2029 - 10 April 2029 /  (Revenue / Deferred Debts Or Expenses)</v>
      </c>
      <c r="B32" s="17"/>
      <c r="C32" s="17"/>
      <c r="D32" s="17"/>
      <c r="E32" s="17"/>
      <c r="F32" s="17"/>
      <c r="G32" s="17"/>
      <c r="H32" s="15"/>
      <c r="I32" s="51"/>
    </row>
    <row r="33" ht="24.75" customHeight="1" spans="1:9">
      <c r="A33" s="18" t="s">
        <v>29</v>
      </c>
      <c r="B33" s="18" t="s">
        <v>43</v>
      </c>
      <c r="C33" s="18"/>
      <c r="D33" s="19" t="s">
        <v>44</v>
      </c>
      <c r="E33" s="19"/>
      <c r="F33" s="19" t="s">
        <v>45</v>
      </c>
      <c r="G33" s="19"/>
      <c r="H33" s="15"/>
      <c r="I33" s="51"/>
    </row>
    <row r="34" ht="24.75" customHeight="1" spans="1:9">
      <c r="A34" s="20"/>
      <c r="B34" s="21"/>
      <c r="C34" s="21"/>
      <c r="D34" s="21"/>
      <c r="E34" s="21"/>
      <c r="F34" s="45">
        <v>0</v>
      </c>
      <c r="G34" s="46"/>
      <c r="H34" s="15"/>
      <c r="I34" s="51"/>
    </row>
    <row r="35" ht="24.75" customHeight="1" spans="1:9">
      <c r="A35" s="20"/>
      <c r="B35" s="22"/>
      <c r="C35" s="23"/>
      <c r="D35" s="24"/>
      <c r="E35" s="47"/>
      <c r="F35" s="45">
        <v>0</v>
      </c>
      <c r="G35" s="46"/>
      <c r="H35" s="15"/>
      <c r="I35" s="51"/>
    </row>
    <row r="36" ht="24.75" customHeight="1" spans="1:9">
      <c r="A36" s="20"/>
      <c r="B36" s="22"/>
      <c r="C36" s="23"/>
      <c r="D36" s="24"/>
      <c r="E36" s="47"/>
      <c r="F36" s="45">
        <v>0</v>
      </c>
      <c r="G36" s="46"/>
      <c r="H36" s="15"/>
      <c r="I36" s="52"/>
    </row>
    <row r="37" ht="24.75" customHeight="1" spans="1:9">
      <c r="A37" s="20"/>
      <c r="B37" s="22"/>
      <c r="C37" s="23"/>
      <c r="D37" s="24"/>
      <c r="E37" s="47"/>
      <c r="F37" s="45">
        <v>0</v>
      </c>
      <c r="G37" s="46"/>
      <c r="H37" s="15"/>
      <c r="I37" s="51"/>
    </row>
    <row r="38" ht="24.75" customHeight="1" spans="1:9">
      <c r="A38" s="20"/>
      <c r="B38" s="22"/>
      <c r="C38" s="23"/>
      <c r="D38" s="24"/>
      <c r="E38" s="47"/>
      <c r="F38" s="45">
        <v>0</v>
      </c>
      <c r="G38" s="46"/>
      <c r="H38" s="15"/>
      <c r="I38" s="51"/>
    </row>
    <row r="39" ht="24.75" customHeight="1" spans="1:9">
      <c r="A39" s="20"/>
      <c r="B39" s="22"/>
      <c r="C39" s="23"/>
      <c r="D39" s="24"/>
      <c r="E39" s="47"/>
      <c r="F39" s="45">
        <v>0</v>
      </c>
      <c r="G39" s="46"/>
      <c r="H39" s="15"/>
      <c r="I39" s="51"/>
    </row>
    <row r="40" ht="24.75" customHeight="1" spans="1:9">
      <c r="A40" s="25"/>
      <c r="B40" s="26"/>
      <c r="C40" s="27"/>
      <c r="D40" s="28" t="s">
        <v>46</v>
      </c>
      <c r="E40" s="48"/>
      <c r="F40" s="49">
        <f>SUM(F34:G39)</f>
        <v>0</v>
      </c>
      <c r="G40" s="50"/>
      <c r="H40" s="15"/>
      <c r="I40" s="51"/>
    </row>
    <row r="41" ht="24.75" customHeight="1" spans="1:9">
      <c r="A41" s="15"/>
      <c r="B41" s="15"/>
      <c r="C41" s="15"/>
      <c r="D41" s="15"/>
      <c r="E41" s="15"/>
      <c r="F41" s="15"/>
      <c r="G41" s="15"/>
      <c r="H41" s="15"/>
      <c r="I41" s="51"/>
    </row>
    <row r="42" ht="24.75" customHeight="1" spans="1:9">
      <c r="A42" s="15"/>
      <c r="B42" s="15"/>
      <c r="C42" s="15"/>
      <c r="D42" s="15"/>
      <c r="E42" s="15"/>
      <c r="F42" s="15"/>
      <c r="G42" s="15"/>
      <c r="H42" s="15"/>
      <c r="I42" s="51"/>
    </row>
    <row r="43" ht="24.75" customHeight="1" spans="1:9">
      <c r="A43" s="15"/>
      <c r="B43" s="15"/>
      <c r="C43" s="15"/>
      <c r="D43" s="15"/>
      <c r="E43" s="15"/>
      <c r="F43" s="15"/>
      <c r="G43" s="15"/>
      <c r="H43" s="15"/>
      <c r="I43" s="51"/>
    </row>
    <row r="44" ht="24.75" customHeight="1" spans="1:9">
      <c r="A44" s="29" t="str">
        <f>"Fixed Expense For the Year "&amp;IF(Main!B2,TEXT(EDATE(Main!B3,45),"mmmm yyyy"),TEXT(Main!B3+((Main!B5-Main!B3)*45+45),"mmmm yyyy"))&amp;" to "&amp;IF(Main!B2,TEXT(EDATE(Main!B3,48)-1,"mmmm yyyy"),TEXT(Main!B3+((Main!B5-Main!B3)*48+47),"mmmm yyyy"))</f>
        <v>Fixed Expense For the Year January 2029 to April 2029</v>
      </c>
      <c r="B44" s="30"/>
      <c r="C44" s="31"/>
      <c r="D44" s="15"/>
      <c r="E44" s="15"/>
      <c r="F44" s="15"/>
      <c r="G44" s="15"/>
      <c r="H44" s="15"/>
      <c r="I44" s="51"/>
    </row>
    <row r="45" ht="24.75" customHeight="1" spans="1:9">
      <c r="A45" s="32" t="s">
        <v>43</v>
      </c>
      <c r="B45" s="32" t="s">
        <v>44</v>
      </c>
      <c r="C45" s="2" t="s">
        <v>45</v>
      </c>
      <c r="D45" s="15"/>
      <c r="E45" s="15"/>
      <c r="F45" s="15"/>
      <c r="G45" s="15"/>
      <c r="H45" s="15"/>
      <c r="I45" s="51"/>
    </row>
    <row r="46" ht="24.75" customHeight="1" spans="1:9">
      <c r="A46" s="33" t="str" cm="1">
        <f ca="1" t="array" ref="A46">IF((INDIRECT("'"&amp;INDIRECT("Main!B9")&amp;"'!A60"))=0,"",(INDIRECT("'"&amp;INDIRECT("Main!B9")&amp;"'!A60")))</f>
        <v>Mobile And Communications/ Housing Expenses</v>
      </c>
      <c r="B46" s="34"/>
      <c r="C46" s="35"/>
      <c r="D46" s="15"/>
      <c r="E46" s="15"/>
      <c r="F46" s="15"/>
      <c r="G46" s="15"/>
      <c r="H46" s="15"/>
      <c r="I46" s="51"/>
    </row>
    <row r="47" ht="24.75" customHeight="1" spans="1:9">
      <c r="A47" s="36" t="str" cm="1">
        <f ca="1" t="array" ref="A47">IF((INDIRECT("'"&amp;INDIRECT("Main!B9")&amp;"'!A61"))=0,"",(INDIRECT("'"&amp;INDIRECT("Main!B9")&amp;"'!A61")))</f>
        <v/>
      </c>
      <c r="B47" s="36" t="str" cm="1">
        <f ca="1" t="array" ref="B47">IF((INDIRECT("'"&amp;INDIRECT("Main!B9")&amp;"'!B61"))=0,"",(INDIRECT("'"&amp;INDIRECT("Main!B9")&amp;"'!B61")))</f>
        <v/>
      </c>
      <c r="C47" s="37">
        <v>0</v>
      </c>
      <c r="D47" s="15"/>
      <c r="E47" s="15"/>
      <c r="F47" s="15"/>
      <c r="G47" s="15"/>
      <c r="H47" s="15"/>
      <c r="I47" s="51"/>
    </row>
    <row r="48" ht="24.75" customHeight="1" spans="1:9">
      <c r="A48" s="36" t="str" cm="1">
        <f ca="1" t="array" ref="A48">IF((INDIRECT("'"&amp;INDIRECT("Main!B9")&amp;"'!A62"))=0,"",(INDIRECT("'"&amp;INDIRECT("Main!B9")&amp;"'!A62")))</f>
        <v/>
      </c>
      <c r="B48" s="36" t="str" cm="1">
        <f ca="1" t="array" ref="B48">IF((INDIRECT("'"&amp;INDIRECT("Main!B9")&amp;"'!B62"))=0,"",(INDIRECT("'"&amp;INDIRECT("Main!B9")&amp;"'!B62")))</f>
        <v/>
      </c>
      <c r="C48" s="37">
        <v>0</v>
      </c>
      <c r="D48" s="15"/>
      <c r="E48" s="15"/>
      <c r="F48" s="15"/>
      <c r="G48" s="15"/>
      <c r="H48" s="15"/>
      <c r="I48" s="51"/>
    </row>
    <row r="49" ht="24.75" customHeight="1" spans="1:9">
      <c r="A49" s="36" t="str" cm="1">
        <f ca="1" t="array" ref="A49">IF((INDIRECT("'"&amp;INDIRECT("Main!B9")&amp;"'!A63"))=0,"",(INDIRECT("'"&amp;INDIRECT("Main!B9")&amp;"'!A63")))</f>
        <v/>
      </c>
      <c r="B49" s="36" t="str" cm="1">
        <f ca="1" t="array" ref="B49">IF((INDIRECT("'"&amp;INDIRECT("Main!B9")&amp;"'!B63"))=0,"",(INDIRECT("'"&amp;INDIRECT("Main!B9")&amp;"'!B63")))</f>
        <v/>
      </c>
      <c r="C49" s="37">
        <v>0</v>
      </c>
      <c r="D49" s="15"/>
      <c r="E49" s="15"/>
      <c r="F49" s="15"/>
      <c r="G49" s="15"/>
      <c r="H49" s="15"/>
      <c r="I49" s="51"/>
    </row>
    <row r="50" ht="24.75" customHeight="1" spans="1:9">
      <c r="A50" s="38" t="str" cm="1">
        <f ca="1" t="array" ref="A50">IF((INDIRECT("'"&amp;INDIRECT("Main!B9")&amp;"'!A64"))=0,"",(INDIRECT("'"&amp;INDIRECT("Main!B9")&amp;"'!A64")))</f>
        <v/>
      </c>
      <c r="B50" s="38" t="str" cm="1">
        <f ca="1" t="array" ref="B50">IF((INDIRECT("'"&amp;INDIRECT("Main!B9")&amp;"'!B64"))=0,"",(INDIRECT("'"&amp;INDIRECT("Main!B9")&amp;"'!B64")))</f>
        <v/>
      </c>
      <c r="C50" s="37">
        <v>0</v>
      </c>
      <c r="D50" s="15"/>
      <c r="E50" s="15"/>
      <c r="F50" s="15"/>
      <c r="G50" s="15"/>
      <c r="H50" s="15"/>
      <c r="I50" s="51"/>
    </row>
    <row r="51" ht="24.75" customHeight="1" spans="1:9">
      <c r="A51" s="38" t="str" cm="1">
        <f ca="1" t="array" ref="A51">IF((INDIRECT("'"&amp;INDIRECT("Main!B9")&amp;"'!A65"))=0,"",(INDIRECT("'"&amp;INDIRECT("Main!B9")&amp;"'!A65")))</f>
        <v/>
      </c>
      <c r="B51" s="38" t="str" cm="1">
        <f ca="1" t="array" ref="B51">IF((INDIRECT("'"&amp;INDIRECT("Main!B9")&amp;"'!B65"))=0,"",(INDIRECT("'"&amp;INDIRECT("Main!B9")&amp;"'!B65")))</f>
        <v/>
      </c>
      <c r="C51" s="37">
        <v>0</v>
      </c>
      <c r="D51" s="15"/>
      <c r="E51" s="15"/>
      <c r="F51" s="15"/>
      <c r="G51" s="15"/>
      <c r="H51" s="15"/>
      <c r="I51" s="51"/>
    </row>
    <row r="52" ht="24.75" customHeight="1" spans="1:9">
      <c r="A52" s="38" t="str" cm="1">
        <f ca="1" t="array" ref="A52">IF((INDIRECT("'"&amp;INDIRECT("Main!B9")&amp;"'!A66"))=0,"",(INDIRECT("'"&amp;INDIRECT("Main!B9")&amp;"'!A66")))</f>
        <v/>
      </c>
      <c r="B52" s="38" t="str" cm="1">
        <f ca="1" t="array" ref="B52">IF((INDIRECT("'"&amp;INDIRECT("Main!B9")&amp;"'!B66"))=0,"",(INDIRECT("'"&amp;INDIRECT("Main!B9")&amp;"'!B66")))</f>
        <v/>
      </c>
      <c r="C52" s="37">
        <v>0</v>
      </c>
      <c r="D52" s="15"/>
      <c r="E52" s="15"/>
      <c r="F52" s="15"/>
      <c r="G52" s="15"/>
      <c r="H52" s="15"/>
      <c r="I52" s="51"/>
    </row>
    <row r="53" ht="24.75" customHeight="1" spans="1:9">
      <c r="A53" s="38" t="str" cm="1">
        <f ca="1" t="array" ref="A53">IF((INDIRECT("'"&amp;INDIRECT("Main!B9")&amp;"'!A67"))=0,"",(INDIRECT("'"&amp;INDIRECT("Main!B9")&amp;"'!A67")))</f>
        <v/>
      </c>
      <c r="B53" s="38" t="str" cm="1">
        <f ca="1" t="array" ref="B53">IF((INDIRECT("'"&amp;INDIRECT("Main!B9")&amp;"'!B67"))=0,"",(INDIRECT("'"&amp;INDIRECT("Main!B9")&amp;"'!B67")))</f>
        <v/>
      </c>
      <c r="C53" s="37">
        <v>0</v>
      </c>
      <c r="D53" s="15"/>
      <c r="E53" s="15"/>
      <c r="F53" s="15"/>
      <c r="G53" s="15"/>
      <c r="H53" s="15"/>
      <c r="I53" s="51"/>
    </row>
    <row r="54" ht="24.75" customHeight="1" spans="1:9">
      <c r="A54" s="38" t="str" cm="1">
        <f ca="1" t="array" ref="A54">IF((INDIRECT("'"&amp;INDIRECT("Main!B9")&amp;"'!A68"))=0,"",(INDIRECT("'"&amp;INDIRECT("Main!B9")&amp;"'!A68")))</f>
        <v/>
      </c>
      <c r="B54" s="38" t="str" cm="1">
        <f ca="1" t="array" ref="B54">IF((INDIRECT("'"&amp;INDIRECT("Main!B9")&amp;"'!B68"))=0,"",(INDIRECT("'"&amp;INDIRECT("Main!B9")&amp;"'!B68")))</f>
        <v/>
      </c>
      <c r="C54" s="37">
        <v>0</v>
      </c>
      <c r="D54" s="15"/>
      <c r="E54" s="15"/>
      <c r="F54" s="15"/>
      <c r="G54" s="15"/>
      <c r="H54" s="15"/>
      <c r="I54" s="51"/>
    </row>
    <row r="55" ht="24.75" customHeight="1" spans="1:9">
      <c r="A55" s="39"/>
      <c r="B55" s="40" t="s">
        <v>48</v>
      </c>
      <c r="C55" s="37">
        <f>SUM(C47:C54)</f>
        <v>0</v>
      </c>
      <c r="D55" s="15"/>
      <c r="E55" s="15"/>
      <c r="F55" s="15"/>
      <c r="G55" s="15"/>
      <c r="H55" s="15"/>
      <c r="I55" s="51"/>
    </row>
    <row r="56" ht="24.75" customHeight="1" spans="1:9">
      <c r="A56" s="41" t="str" cm="1">
        <f ca="1" t="array" ref="A56">IF((INDIRECT("'"&amp;INDIRECT("Main!B9")&amp;"'!A70"))=0,"",(INDIRECT("'"&amp;INDIRECT("Main!B9")&amp;"'!A70")))</f>
        <v>Credit Card Installments/Government Installments</v>
      </c>
      <c r="B56" s="42"/>
      <c r="C56" s="43"/>
      <c r="D56" s="15"/>
      <c r="E56" s="15"/>
      <c r="F56" s="15"/>
      <c r="G56" s="15"/>
      <c r="H56" s="15"/>
      <c r="I56" s="51"/>
    </row>
    <row r="57" ht="24.75" customHeight="1" spans="1:9">
      <c r="A57" s="36" t="str" cm="1">
        <f ca="1" t="array" ref="A57">IF((INDIRECT("'"&amp;INDIRECT("Main!B9")&amp;"'!A71"))=0,"",(INDIRECT("'"&amp;INDIRECT("Main!B9")&amp;"'!A71")))</f>
        <v/>
      </c>
      <c r="B57" s="36" t="str" cm="1">
        <f ca="1" t="array" ref="B57">IF((INDIRECT("'"&amp;INDIRECT("Main!B9")&amp;"'!B71"))=0,"",(INDIRECT("'"&amp;INDIRECT("Main!B9")&amp;"'!B71")))</f>
        <v/>
      </c>
      <c r="C57" s="37">
        <v>0</v>
      </c>
      <c r="D57" s="15"/>
      <c r="E57" s="15"/>
      <c r="F57" s="15"/>
      <c r="G57" s="15"/>
      <c r="H57" s="15"/>
      <c r="I57" s="51"/>
    </row>
    <row r="58" ht="24.75" customHeight="1" spans="1:9">
      <c r="A58" s="36" t="str" cm="1">
        <f ca="1" t="array" ref="A58">IF((INDIRECT("'"&amp;INDIRECT("Main!B9")&amp;"'!A72"))=0,"",(INDIRECT("'"&amp;INDIRECT("Main!B9")&amp;"'!A72")))</f>
        <v/>
      </c>
      <c r="B58" s="36" t="str" cm="1">
        <f ca="1" t="array" ref="B58">IF((INDIRECT("'"&amp;INDIRECT("Main!B9")&amp;"'!B72"))=0,"",(INDIRECT("'"&amp;INDIRECT("Main!B9")&amp;"'!B72")))</f>
        <v/>
      </c>
      <c r="C58" s="37">
        <v>0</v>
      </c>
      <c r="D58" s="15"/>
      <c r="E58" s="15"/>
      <c r="F58" s="15"/>
      <c r="G58" s="15"/>
      <c r="H58" s="15"/>
      <c r="I58" s="51"/>
    </row>
    <row r="59" ht="24.75" customHeight="1" spans="1:9">
      <c r="A59" s="36" t="str" cm="1">
        <f ca="1" t="array" ref="A59">IF((INDIRECT("'"&amp;INDIRECT("Main!B9")&amp;"'!A73"))=0,"",(INDIRECT("'"&amp;INDIRECT("Main!B9")&amp;"'!A73")))</f>
        <v/>
      </c>
      <c r="B59" s="36" t="str" cm="1">
        <f ca="1" t="array" ref="B59">IF((INDIRECT("'"&amp;INDIRECT("Main!B9")&amp;"'!B73"))=0,"",(INDIRECT("'"&amp;INDIRECT("Main!B9")&amp;"'!B73")))</f>
        <v/>
      </c>
      <c r="C59" s="37">
        <v>0</v>
      </c>
      <c r="D59" s="15"/>
      <c r="E59" s="15"/>
      <c r="F59" s="15"/>
      <c r="G59" s="15"/>
      <c r="H59" s="15"/>
      <c r="I59" s="51"/>
    </row>
    <row r="60" ht="24.75" customHeight="1" spans="1:9">
      <c r="A60" s="38" t="str" cm="1">
        <f ca="1" t="array" ref="A60">IF((INDIRECT("'"&amp;INDIRECT("Main!B9")&amp;"'!A74"))=0,"",(INDIRECT("'"&amp;INDIRECT("Main!B9")&amp;"'!A74")))</f>
        <v/>
      </c>
      <c r="B60" s="38" t="str" cm="1">
        <f ca="1" t="array" ref="B60">IF((INDIRECT("'"&amp;INDIRECT("Main!B9")&amp;"'!B74"))=0,"",(INDIRECT("'"&amp;INDIRECT("Main!B9")&amp;"'!B74")))</f>
        <v/>
      </c>
      <c r="C60" s="37">
        <v>0</v>
      </c>
      <c r="D60" s="15"/>
      <c r="E60" s="15"/>
      <c r="F60" s="15"/>
      <c r="G60" s="15"/>
      <c r="H60" s="15"/>
      <c r="I60" s="51"/>
    </row>
    <row r="61" ht="24.75" customHeight="1" spans="1:9">
      <c r="A61" s="38" t="str" cm="1">
        <f ca="1" t="array" ref="A61">IF((INDIRECT("'"&amp;INDIRECT("Main!B9")&amp;"'!A75"))=0,"",(INDIRECT("'"&amp;INDIRECT("Main!B9")&amp;"'!A75")))</f>
        <v/>
      </c>
      <c r="B61" s="38" t="str" cm="1">
        <f ca="1" t="array" ref="B61">IF((INDIRECT("'"&amp;INDIRECT("Main!B9")&amp;"'!B75"))=0,"",(INDIRECT("'"&amp;INDIRECT("Main!B9")&amp;"'!B75")))</f>
        <v/>
      </c>
      <c r="C61" s="37">
        <v>0</v>
      </c>
      <c r="D61" s="15"/>
      <c r="E61" s="15"/>
      <c r="F61" s="15"/>
      <c r="G61" s="15"/>
      <c r="H61" s="15"/>
      <c r="I61" s="51"/>
    </row>
    <row r="62" ht="24.75" customHeight="1" spans="1:9">
      <c r="A62" s="38" t="str" cm="1">
        <f ca="1" t="array" ref="A62">IF((INDIRECT("'"&amp;INDIRECT("Main!B9")&amp;"'!A76"))=0,"",(INDIRECT("'"&amp;INDIRECT("Main!B9")&amp;"'!A76")))</f>
        <v/>
      </c>
      <c r="B62" s="38" t="str" cm="1">
        <f ca="1" t="array" ref="B62">IF((INDIRECT("'"&amp;INDIRECT("Main!B9")&amp;"'!B76"))=0,"",(INDIRECT("'"&amp;INDIRECT("Main!B9")&amp;"'!B76")))</f>
        <v/>
      </c>
      <c r="C62" s="37">
        <v>0</v>
      </c>
      <c r="D62" s="15"/>
      <c r="E62" s="15"/>
      <c r="F62" s="15"/>
      <c r="G62" s="15"/>
      <c r="H62" s="15"/>
      <c r="I62" s="51"/>
    </row>
    <row r="63" ht="24.75" customHeight="1" spans="1:9">
      <c r="A63" s="38" t="str" cm="1">
        <f ca="1" t="array" ref="A63">IF((INDIRECT("'"&amp;INDIRECT("Main!B9")&amp;"'!A77"))=0,"",(INDIRECT("'"&amp;INDIRECT("Main!B9")&amp;"'!A77")))</f>
        <v/>
      </c>
      <c r="B63" s="38" t="str" cm="1">
        <f ca="1" t="array" ref="B63">IF((INDIRECT("'"&amp;INDIRECT("Main!B9")&amp;"'!B77"))=0,"",(INDIRECT("'"&amp;INDIRECT("Main!B9")&amp;"'!B77")))</f>
        <v/>
      </c>
      <c r="C63" s="37">
        <v>0</v>
      </c>
      <c r="D63" s="15"/>
      <c r="E63" s="15"/>
      <c r="F63" s="15"/>
      <c r="G63" s="15"/>
      <c r="H63" s="15"/>
      <c r="I63" s="51"/>
    </row>
    <row r="64" ht="24.75" customHeight="1" spans="1:9">
      <c r="A64" s="38" t="str" cm="1">
        <f ca="1" t="array" ref="A64">IF((INDIRECT("'"&amp;INDIRECT("Main!B9")&amp;"'!A78"))=0,"",(INDIRECT("'"&amp;INDIRECT("Main!B9")&amp;"'!A78")))</f>
        <v/>
      </c>
      <c r="B64" s="38" t="str" cm="1">
        <f ca="1" t="array" ref="B64">IF((INDIRECT("'"&amp;INDIRECT("Main!B9")&amp;"'!B78"))=0,"",(INDIRECT("'"&amp;INDIRECT("Main!B9")&amp;"'!B78")))</f>
        <v/>
      </c>
      <c r="C64" s="37">
        <v>0</v>
      </c>
      <c r="D64" s="15"/>
      <c r="E64" s="15"/>
      <c r="F64" s="15"/>
      <c r="G64" s="15"/>
      <c r="H64" s="15"/>
      <c r="I64" s="51"/>
    </row>
    <row r="65" ht="24.75" customHeight="1" spans="1:9">
      <c r="A65" s="38" t="str" cm="1">
        <f ca="1" t="array" ref="A65">IF((INDIRECT("'"&amp;INDIRECT("Main!B9")&amp;"'!A79"))=0,"",(INDIRECT("'"&amp;INDIRECT("Main!B9")&amp;"'!A79")))</f>
        <v/>
      </c>
      <c r="B65" s="38" t="str" cm="1">
        <f ca="1" t="array" ref="B65">IF((INDIRECT("'"&amp;INDIRECT("Main!B9")&amp;"'!B79"))=0,"",(INDIRECT("'"&amp;INDIRECT("Main!B9")&amp;"'!B79")))</f>
        <v/>
      </c>
      <c r="C65" s="37">
        <v>0</v>
      </c>
      <c r="D65" s="15"/>
      <c r="E65" s="15"/>
      <c r="F65" s="15"/>
      <c r="G65" s="15"/>
      <c r="H65" s="15"/>
      <c r="I65" s="51"/>
    </row>
    <row r="66" ht="24.75" customHeight="1" spans="1:9">
      <c r="A66" s="53"/>
      <c r="B66" s="40" t="s">
        <v>48</v>
      </c>
      <c r="C66" s="37">
        <f>SUM(C57:C65)</f>
        <v>0</v>
      </c>
      <c r="D66" s="15"/>
      <c r="E66" s="15"/>
      <c r="F66" s="15"/>
      <c r="G66" s="15"/>
      <c r="H66" s="15"/>
      <c r="I66" s="51"/>
    </row>
    <row r="67" ht="24.75" customHeight="1" spans="1:9">
      <c r="A67" s="41" t="str" cm="1">
        <f ca="1" t="array" ref="A67">IF((INDIRECT("'"&amp;INDIRECT("Main!B9")&amp;"'!A81"))=0,"",(INDIRECT("'"&amp;INDIRECT("Main!B9")&amp;"'!A81")))</f>
        <v>Donation</v>
      </c>
      <c r="B67" s="42"/>
      <c r="C67" s="43"/>
      <c r="D67" s="15"/>
      <c r="E67" s="15"/>
      <c r="F67" s="15"/>
      <c r="G67" s="15"/>
      <c r="H67" s="15"/>
      <c r="I67" s="51"/>
    </row>
    <row r="68" ht="24.75" customHeight="1" spans="1:9">
      <c r="A68" s="38" t="str" cm="1">
        <f ca="1" t="array" ref="A68">IF((INDIRECT("'"&amp;INDIRECT("Main!B9")&amp;"'!A82"))=0,"",(INDIRECT("'"&amp;INDIRECT("Main!B9")&amp;"'!A82")))</f>
        <v/>
      </c>
      <c r="B68" s="38" t="str" cm="1">
        <f ca="1" t="array" ref="B68">IF((INDIRECT("'"&amp;INDIRECT("Main!B9")&amp;"'!B82"))=0,"",(INDIRECT("'"&amp;INDIRECT("Main!B9")&amp;"'!B82")))</f>
        <v/>
      </c>
      <c r="C68" s="37">
        <v>0</v>
      </c>
      <c r="D68" s="15"/>
      <c r="E68" s="15"/>
      <c r="F68" s="15"/>
      <c r="G68" s="15"/>
      <c r="H68" s="15"/>
      <c r="I68" s="51"/>
    </row>
    <row r="69" ht="24.75" customHeight="1" spans="1:9">
      <c r="A69" s="36" t="str" cm="1">
        <f ca="1" t="array" ref="A69">IF((INDIRECT("'"&amp;INDIRECT("Main!B9")&amp;"'!A83"))=0,"",(INDIRECT("'"&amp;INDIRECT("Main!B9")&amp;"'!A83")))</f>
        <v/>
      </c>
      <c r="B69" s="36" t="str" cm="1">
        <f ca="1" t="array" ref="B69">IF((INDIRECT("'"&amp;INDIRECT("Main!B9")&amp;"'!B83"))=0,"",(INDIRECT("'"&amp;INDIRECT("Main!B9")&amp;"'!B83")))</f>
        <v/>
      </c>
      <c r="C69" s="37">
        <v>0</v>
      </c>
      <c r="D69" s="15"/>
      <c r="E69" s="15"/>
      <c r="F69" s="15"/>
      <c r="G69" s="15"/>
      <c r="H69" s="15"/>
      <c r="I69" s="51"/>
    </row>
    <row r="70" ht="24.75" customHeight="1" spans="1:9">
      <c r="A70" s="38" t="str" cm="1">
        <f ca="1" t="array" ref="A70">IF((INDIRECT("'"&amp;INDIRECT("Main!B9")&amp;"'!A84"))=0,"",(INDIRECT("'"&amp;INDIRECT("Main!B9")&amp;"'!A84")))</f>
        <v/>
      </c>
      <c r="B70" s="38" t="str" cm="1">
        <f ca="1" t="array" ref="B70">IF((INDIRECT("'"&amp;INDIRECT("Main!B9")&amp;"'!B84"))=0,"",(INDIRECT("'"&amp;INDIRECT("Main!B9")&amp;"'!B84")))</f>
        <v/>
      </c>
      <c r="C70" s="37">
        <v>0</v>
      </c>
      <c r="D70" s="15"/>
      <c r="E70" s="15"/>
      <c r="F70" s="15"/>
      <c r="G70" s="15"/>
      <c r="H70" s="15"/>
      <c r="I70" s="51"/>
    </row>
    <row r="71" ht="24.75" customHeight="1" spans="1:9">
      <c r="A71" s="38" t="str" cm="1">
        <f ca="1" t="array" ref="A71">IF((INDIRECT("'"&amp;INDIRECT("Main!B9")&amp;"'!A85"))=0,"",(INDIRECT("'"&amp;INDIRECT("Main!B9")&amp;"'!A85")))</f>
        <v/>
      </c>
      <c r="B71" s="38" t="str" cm="1">
        <f ca="1" t="array" ref="B71">IF((INDIRECT("'"&amp;INDIRECT("Main!B9")&amp;"'!B85"))=0,"",(INDIRECT("'"&amp;INDIRECT("Main!B9")&amp;"'!B85")))</f>
        <v/>
      </c>
      <c r="C71" s="37">
        <v>0</v>
      </c>
      <c r="D71" s="15"/>
      <c r="E71" s="15"/>
      <c r="F71" s="15"/>
      <c r="G71" s="15"/>
      <c r="H71" s="15"/>
      <c r="I71" s="51"/>
    </row>
    <row r="72" ht="24.75" customHeight="1" spans="1:9">
      <c r="A72" s="38" t="str" cm="1">
        <f ca="1" t="array" ref="A72">IF((INDIRECT("'"&amp;INDIRECT("Main!B9")&amp;"'!A86"))=0,"",(INDIRECT("'"&amp;INDIRECT("Main!B9")&amp;"'!A86")))</f>
        <v/>
      </c>
      <c r="B72" s="38" t="str" cm="1">
        <f ca="1" t="array" ref="B72">IF((INDIRECT("'"&amp;INDIRECT("Main!B9")&amp;"'!B86"))=0,"",(INDIRECT("'"&amp;INDIRECT("Main!B9")&amp;"'!B86")))</f>
        <v/>
      </c>
      <c r="C72" s="37">
        <v>0</v>
      </c>
      <c r="D72" s="15"/>
      <c r="E72" s="15"/>
      <c r="F72" s="15"/>
      <c r="G72" s="15"/>
      <c r="H72" s="15"/>
      <c r="I72" s="51"/>
    </row>
    <row r="73" ht="24.75" customHeight="1" spans="1:9">
      <c r="A73" s="38" t="str" cm="1">
        <f ca="1" t="array" ref="A73">IF((INDIRECT("'"&amp;INDIRECT("Main!B9")&amp;"'!A87"))=0,"",(INDIRECT("'"&amp;INDIRECT("Main!B9")&amp;"'!A87")))</f>
        <v/>
      </c>
      <c r="B73" s="38" t="str" cm="1">
        <f ca="1" t="array" ref="B73">IF((INDIRECT("'"&amp;INDIRECT("Main!B9")&amp;"'!B87"))=0,"",(INDIRECT("'"&amp;INDIRECT("Main!B9")&amp;"'!B87")))</f>
        <v/>
      </c>
      <c r="C73" s="37">
        <v>0</v>
      </c>
      <c r="D73" s="15"/>
      <c r="E73" s="15"/>
      <c r="F73" s="15"/>
      <c r="G73" s="15"/>
      <c r="H73" s="15"/>
      <c r="I73" s="51"/>
    </row>
    <row r="74" ht="24.75" customHeight="1" spans="1:9">
      <c r="A74" s="38" t="str" cm="1">
        <f ca="1" t="array" ref="A74">IF((INDIRECT("'"&amp;INDIRECT("Main!B9")&amp;"'!A88"))=0,"",(INDIRECT("'"&amp;INDIRECT("Main!B9")&amp;"'!A88")))</f>
        <v/>
      </c>
      <c r="B74" s="38" t="str" cm="1">
        <f ca="1" t="array" ref="B74">IF((INDIRECT("'"&amp;INDIRECT("Main!B9")&amp;"'!B88"))=0,"",(INDIRECT("'"&amp;INDIRECT("Main!B9")&amp;"'!B88")))</f>
        <v/>
      </c>
      <c r="C74" s="37">
        <v>0</v>
      </c>
      <c r="D74" s="15"/>
      <c r="E74" s="15"/>
      <c r="F74" s="15"/>
      <c r="G74" s="15"/>
      <c r="H74" s="15"/>
      <c r="I74" s="51"/>
    </row>
    <row r="75" ht="24.75" customHeight="1" spans="1:9">
      <c r="A75" s="53"/>
      <c r="B75" s="40" t="s">
        <v>48</v>
      </c>
      <c r="C75" s="37">
        <f>SUM(C68:C74)</f>
        <v>0</v>
      </c>
      <c r="D75" s="15"/>
      <c r="E75" s="15"/>
      <c r="F75" s="15"/>
      <c r="G75" s="15"/>
      <c r="H75" s="15"/>
      <c r="I75" s="51"/>
    </row>
    <row r="76" ht="24.75" customHeight="1" spans="1:9">
      <c r="A76" s="41" t="str" cm="1">
        <f ca="1" t="array" ref="A76">IF((INDIRECT("'"&amp;INDIRECT("Main!B9")&amp;"'!A90"))=0,"",(INDIRECT("'"&amp;INDIRECT("Main!B9")&amp;"'!A90")))</f>
        <v>Insurance (Personal / Properties / Medical)</v>
      </c>
      <c r="B76" s="42"/>
      <c r="C76" s="43"/>
      <c r="D76" s="15"/>
      <c r="E76" s="15"/>
      <c r="F76" s="15"/>
      <c r="G76" s="15"/>
      <c r="H76" s="15"/>
      <c r="I76" s="51"/>
    </row>
    <row r="77" ht="24.75" customHeight="1" spans="1:9">
      <c r="A77" s="36" t="str" cm="1">
        <f ca="1" t="array" ref="A77">IF((INDIRECT("'"&amp;INDIRECT("Main!B9")&amp;"'!A91"))=0,"",(INDIRECT("'"&amp;INDIRECT("Main!B9")&amp;"'!A91")))</f>
        <v/>
      </c>
      <c r="B77" s="36" t="str" cm="1">
        <f ca="1" t="array" ref="B77">IF((INDIRECT("'"&amp;INDIRECT("Main!B9")&amp;"'!B91"))=0,"",(INDIRECT("'"&amp;INDIRECT("Main!B9")&amp;"'!B91")))</f>
        <v/>
      </c>
      <c r="C77" s="37">
        <v>0</v>
      </c>
      <c r="D77" s="15"/>
      <c r="E77" s="15"/>
      <c r="F77" s="15"/>
      <c r="G77" s="15"/>
      <c r="H77" s="15"/>
      <c r="I77" s="51"/>
    </row>
    <row r="78" ht="24.75" customHeight="1" spans="1:9">
      <c r="A78" s="36" t="str" cm="1">
        <f ca="1" t="array" ref="A78">IF((INDIRECT("'"&amp;INDIRECT("Main!B9")&amp;"'!A92"))=0,"",(INDIRECT("'"&amp;INDIRECT("Main!B9")&amp;"'!A92")))</f>
        <v/>
      </c>
      <c r="B78" s="36" t="str" cm="1">
        <f ca="1" t="array" ref="B78">IF((INDIRECT("'"&amp;INDIRECT("Main!B9")&amp;"'!B92"))=0,"",(INDIRECT("'"&amp;INDIRECT("Main!B9")&amp;"'!B92")))</f>
        <v/>
      </c>
      <c r="C78" s="37">
        <v>0</v>
      </c>
      <c r="D78" s="15"/>
      <c r="E78" s="15"/>
      <c r="F78" s="15"/>
      <c r="G78" s="15"/>
      <c r="H78" s="15"/>
      <c r="I78" s="51"/>
    </row>
    <row r="79" ht="24.75" customHeight="1" spans="1:9">
      <c r="A79" s="36" t="str" cm="1">
        <f ca="1" t="array" ref="A79">IF((INDIRECT("'"&amp;INDIRECT("Main!B9")&amp;"'!A93"))=0,"",(INDIRECT("'"&amp;INDIRECT("Main!B9")&amp;"'!A93")))</f>
        <v/>
      </c>
      <c r="B79" s="36" t="str" cm="1">
        <f ca="1" t="array" ref="B79">IF((INDIRECT("'"&amp;INDIRECT("Main!B9")&amp;"'!B93"))=0,"",(INDIRECT("'"&amp;INDIRECT("Main!B9")&amp;"'!B93")))</f>
        <v/>
      </c>
      <c r="C79" s="37">
        <v>0</v>
      </c>
      <c r="D79" s="15"/>
      <c r="E79" s="15"/>
      <c r="F79" s="15"/>
      <c r="G79" s="15"/>
      <c r="H79" s="15"/>
      <c r="I79" s="51"/>
    </row>
    <row r="80" ht="24.75" customHeight="1" spans="1:9">
      <c r="A80" s="38" t="str" cm="1">
        <f ca="1" t="array" ref="A80">IF((INDIRECT("'"&amp;INDIRECT("Main!B9")&amp;"'!A94"))=0,"",(INDIRECT("'"&amp;INDIRECT("Main!B9")&amp;"'!A94")))</f>
        <v/>
      </c>
      <c r="B80" s="38" t="str" cm="1">
        <f ca="1" t="array" ref="B80">IF((INDIRECT("'"&amp;INDIRECT("Main!B9")&amp;"'!B94"))=0,"",(INDIRECT("'"&amp;INDIRECT("Main!B9")&amp;"'!B94")))</f>
        <v/>
      </c>
      <c r="C80" s="37">
        <v>0</v>
      </c>
      <c r="D80" s="15"/>
      <c r="E80" s="15"/>
      <c r="F80" s="15"/>
      <c r="G80" s="15"/>
      <c r="H80" s="15"/>
      <c r="I80" s="51"/>
    </row>
    <row r="81" ht="24.75" customHeight="1" spans="1:9">
      <c r="A81" s="38" t="str" cm="1">
        <f ca="1" t="array" ref="A81">IF((INDIRECT("'"&amp;INDIRECT("Main!B9")&amp;"'!A95"))=0,"",(INDIRECT("'"&amp;INDIRECT("Main!B9")&amp;"'!A95")))</f>
        <v/>
      </c>
      <c r="B81" s="38" t="str" cm="1">
        <f ca="1" t="array" ref="B81">IF((INDIRECT("'"&amp;INDIRECT("Main!B9")&amp;"'!B95"))=0,"",(INDIRECT("'"&amp;INDIRECT("Main!B9")&amp;"'!B95")))</f>
        <v/>
      </c>
      <c r="C81" s="37">
        <v>0</v>
      </c>
      <c r="D81" s="15"/>
      <c r="E81" s="15"/>
      <c r="F81" s="15"/>
      <c r="G81" s="15"/>
      <c r="H81" s="15"/>
      <c r="I81" s="51"/>
    </row>
    <row r="82" ht="24.75" customHeight="1" spans="1:9">
      <c r="A82" s="38" t="str" cm="1">
        <f ca="1" t="array" ref="A82">IF((INDIRECT("'"&amp;INDIRECT("Main!B9")&amp;"'!A96"))=0,"",(INDIRECT("'"&amp;INDIRECT("Main!B9")&amp;"'!A96")))</f>
        <v/>
      </c>
      <c r="B82" s="38" t="str" cm="1">
        <f ca="1" t="array" ref="B82">IF((INDIRECT("'"&amp;INDIRECT("Main!B9")&amp;"'!B96"))=0,"",(INDIRECT("'"&amp;INDIRECT("Main!B9")&amp;"'!B96")))</f>
        <v/>
      </c>
      <c r="C82" s="37">
        <v>0</v>
      </c>
      <c r="D82" s="15"/>
      <c r="E82" s="15"/>
      <c r="F82" s="15"/>
      <c r="G82" s="15"/>
      <c r="H82" s="15"/>
      <c r="I82" s="51"/>
    </row>
    <row r="83" ht="24.75" customHeight="1" spans="1:9">
      <c r="A83" s="38" t="str" cm="1">
        <f ca="1" t="array" ref="A83">IF((INDIRECT("'"&amp;INDIRECT("Main!B9")&amp;"'!A97"))=0,"",(INDIRECT("'"&amp;INDIRECT("Main!B9")&amp;"'!A97")))</f>
        <v/>
      </c>
      <c r="B83" s="38" t="str" cm="1">
        <f ca="1" t="array" ref="B83">IF((INDIRECT("'"&amp;INDIRECT("Main!B9")&amp;"'!B97"))=0,"",(INDIRECT("'"&amp;INDIRECT("Main!B9")&amp;"'!B97")))</f>
        <v/>
      </c>
      <c r="C83" s="37">
        <v>0</v>
      </c>
      <c r="D83" s="15"/>
      <c r="E83" s="15"/>
      <c r="F83" s="15"/>
      <c r="G83" s="15"/>
      <c r="H83" s="15"/>
      <c r="I83" s="51"/>
    </row>
    <row r="84" ht="24.75" customHeight="1" spans="1:9">
      <c r="A84" s="38" t="str" cm="1">
        <f ca="1" t="array" ref="A84">IF((INDIRECT("'"&amp;INDIRECT("Main!B9")&amp;"'!A98"))=0,"",(INDIRECT("'"&amp;INDIRECT("Main!B9")&amp;"'!A98")))</f>
        <v/>
      </c>
      <c r="B84" s="38" t="str" cm="1">
        <f ca="1" t="array" ref="B84">IF((INDIRECT("'"&amp;INDIRECT("Main!B9")&amp;"'!B98"))=0,"",(INDIRECT("'"&amp;INDIRECT("Main!B9")&amp;"'!B98")))</f>
        <v/>
      </c>
      <c r="C84" s="37">
        <v>0</v>
      </c>
      <c r="D84" s="15"/>
      <c r="E84" s="15"/>
      <c r="F84" s="15"/>
      <c r="G84" s="15"/>
      <c r="H84" s="15"/>
      <c r="I84" s="51"/>
    </row>
    <row r="85" ht="24.75" customHeight="1" spans="1:9">
      <c r="A85" s="53"/>
      <c r="B85" s="40" t="s">
        <v>48</v>
      </c>
      <c r="C85" s="37">
        <f>SUM(C77:C84)</f>
        <v>0</v>
      </c>
      <c r="D85" s="15"/>
      <c r="E85" s="15"/>
      <c r="F85" s="15"/>
      <c r="G85" s="15"/>
      <c r="H85" s="15"/>
      <c r="I85" s="51"/>
    </row>
    <row r="86" ht="24.75" customHeight="1" spans="1:9">
      <c r="A86" s="41" t="str" cm="1">
        <f ca="1" t="array" ref="A86">IF((INDIRECT("'"&amp;INDIRECT("Main!B9")&amp;"'!A100"))=0,"",(INDIRECT("'"&amp;INDIRECT("Main!B9")&amp;"'!A100")))</f>
        <v>Other Expenses</v>
      </c>
      <c r="B86" s="42"/>
      <c r="C86" s="43"/>
      <c r="D86" s="15"/>
      <c r="E86" s="15"/>
      <c r="F86" s="15"/>
      <c r="G86" s="15"/>
      <c r="H86" s="15"/>
      <c r="I86" s="51"/>
    </row>
    <row r="87" ht="24.75" customHeight="1" spans="1:9">
      <c r="A87" s="36" t="str" cm="1">
        <f ca="1" t="array" ref="A87">IF((INDIRECT("'"&amp;INDIRECT("Main!B9")&amp;"'!A101"))=0,"",(INDIRECT("'"&amp;INDIRECT("Main!B9")&amp;"'!A101")))</f>
        <v/>
      </c>
      <c r="B87" s="36" t="str" cm="1">
        <f ca="1" t="array" ref="B87">IF((INDIRECT("'"&amp;INDIRECT("Main!B9")&amp;"'!B101"))=0,"",(INDIRECT("'"&amp;INDIRECT("Main!B9")&amp;"'!B101")))</f>
        <v/>
      </c>
      <c r="C87" s="37">
        <v>0</v>
      </c>
      <c r="D87" s="15"/>
      <c r="E87" s="15"/>
      <c r="F87" s="15"/>
      <c r="G87" s="15"/>
      <c r="H87" s="15"/>
      <c r="I87" s="51"/>
    </row>
    <row r="88" ht="24.75" customHeight="1" spans="1:9">
      <c r="A88" s="36" t="str" cm="1">
        <f ca="1" t="array" ref="A88">IF((INDIRECT("'"&amp;INDIRECT("Main!B9")&amp;"'!A102"))=0,"",(INDIRECT("'"&amp;INDIRECT("Main!B9")&amp;"'!A102")))</f>
        <v/>
      </c>
      <c r="B88" s="36" t="str" cm="1">
        <f ca="1" t="array" ref="B88">IF((INDIRECT("'"&amp;INDIRECT("Main!B9")&amp;"'!B102"))=0,"",(INDIRECT("'"&amp;INDIRECT("Main!B9")&amp;"'!B102")))</f>
        <v/>
      </c>
      <c r="C88" s="37">
        <v>0</v>
      </c>
      <c r="D88" s="15"/>
      <c r="E88" s="15"/>
      <c r="F88" s="15"/>
      <c r="G88" s="15"/>
      <c r="H88" s="15"/>
      <c r="I88" s="51"/>
    </row>
    <row r="89" ht="24.75" customHeight="1" spans="1:9">
      <c r="A89" s="36" t="str" cm="1">
        <f ca="1" t="array" ref="A89">IF((INDIRECT("'"&amp;INDIRECT("Main!B9")&amp;"'!A103"))=0,"",(INDIRECT("'"&amp;INDIRECT("Main!B9")&amp;"'!A103")))</f>
        <v/>
      </c>
      <c r="B89" s="36" t="str" cm="1">
        <f ca="1" t="array" ref="B89">IF((INDIRECT("'"&amp;INDIRECT("Main!B9")&amp;"'!B103"))=0,"",(INDIRECT("'"&amp;INDIRECT("Main!B9")&amp;"'!B103")))</f>
        <v/>
      </c>
      <c r="C89" s="37">
        <v>0</v>
      </c>
      <c r="D89" s="15"/>
      <c r="E89" s="15"/>
      <c r="F89" s="15"/>
      <c r="G89" s="15"/>
      <c r="H89" s="15"/>
      <c r="I89" s="51"/>
    </row>
    <row r="90" ht="40.5" customHeight="1" spans="1:9">
      <c r="A90" s="38" t="str" cm="1">
        <f ca="1" t="array" ref="A90">IF((INDIRECT("'"&amp;INDIRECT("Main!B9")&amp;"'!A104"))=0,"",(INDIRECT("'"&amp;INDIRECT("Main!B9")&amp;"'!A104")))</f>
        <v/>
      </c>
      <c r="B90" s="38" t="str" cm="1">
        <f ca="1" t="array" ref="B90">IF((INDIRECT("'"&amp;INDIRECT("Main!B9")&amp;"'!B104"))=0,"",(INDIRECT("'"&amp;INDIRECT("Main!B9")&amp;"'!B104")))</f>
        <v/>
      </c>
      <c r="C90" s="37">
        <v>0</v>
      </c>
      <c r="D90" s="15"/>
      <c r="E90" s="69"/>
      <c r="F90" s="15"/>
      <c r="G90" s="15"/>
      <c r="H90" s="15"/>
      <c r="I90" s="51"/>
    </row>
    <row r="91" ht="35.25" customHeight="1" spans="1:9">
      <c r="A91" s="38" t="str" cm="1">
        <f ca="1" t="array" ref="A91">IF((INDIRECT("'"&amp;INDIRECT("Main!B9")&amp;"'!A105"))=0,"",(INDIRECT("'"&amp;INDIRECT("Main!B9")&amp;"'!A105")))</f>
        <v/>
      </c>
      <c r="B91" s="38" t="str" cm="1">
        <f ca="1" t="array" ref="B91">IF((INDIRECT("'"&amp;INDIRECT("Main!B9")&amp;"'!B105"))=0,"",(INDIRECT("'"&amp;INDIRECT("Main!B9")&amp;"'!B105")))</f>
        <v/>
      </c>
      <c r="C91" s="37">
        <v>0</v>
      </c>
      <c r="D91" s="15"/>
      <c r="E91" s="15"/>
      <c r="F91" s="15"/>
      <c r="G91" s="15"/>
      <c r="H91" s="15"/>
      <c r="I91" s="51"/>
    </row>
    <row r="92" ht="24.75" customHeight="1" spans="1:9">
      <c r="A92" s="38" t="str" cm="1">
        <f ca="1" t="array" ref="A92">IF((INDIRECT("'"&amp;INDIRECT("Main!B9")&amp;"'!A106"))=0,"",(INDIRECT("'"&amp;INDIRECT("Main!B9")&amp;"'!A106")))</f>
        <v/>
      </c>
      <c r="B92" s="38" t="str" cm="1">
        <f ca="1" t="array" ref="B92">IF((INDIRECT("'"&amp;INDIRECT("Main!B9")&amp;"'!B106"))=0,"",(INDIRECT("'"&amp;INDIRECT("Main!B9")&amp;"'!B106")))</f>
        <v/>
      </c>
      <c r="C92" s="37">
        <v>0</v>
      </c>
      <c r="D92" s="15"/>
      <c r="E92" s="15"/>
      <c r="F92" s="15"/>
      <c r="G92" s="15"/>
      <c r="H92" s="15"/>
      <c r="I92" s="51"/>
    </row>
    <row r="93" ht="24.75" customHeight="1" spans="1:9">
      <c r="A93" s="38" t="str" cm="1">
        <f ca="1" t="array" ref="A93">IF((INDIRECT("'"&amp;INDIRECT("Main!B9")&amp;"'!A107"))=0,"",(INDIRECT("'"&amp;INDIRECT("Main!B9")&amp;"'!A107")))</f>
        <v/>
      </c>
      <c r="B93" s="38" t="str" cm="1">
        <f ca="1" t="array" ref="B93">IF((INDIRECT("'"&amp;INDIRECT("Main!B9")&amp;"'!B107"))=0,"",(INDIRECT("'"&amp;INDIRECT("Main!B9")&amp;"'!B107")))</f>
        <v/>
      </c>
      <c r="C93" s="37">
        <v>0</v>
      </c>
      <c r="D93" s="15"/>
      <c r="E93" s="15"/>
      <c r="F93" s="15"/>
      <c r="G93" s="15"/>
      <c r="H93" s="15"/>
      <c r="I93" s="51"/>
    </row>
    <row r="94" ht="24.75" customHeight="1" spans="1:9">
      <c r="A94" s="38" t="str" cm="1">
        <f ca="1" t="array" ref="A94">IF((INDIRECT("'"&amp;INDIRECT("Main!B9")&amp;"'!A108"))=0,"",(INDIRECT("'"&amp;INDIRECT("Main!B9")&amp;"'!A108")))</f>
        <v/>
      </c>
      <c r="B94" s="38" t="str" cm="1">
        <f ca="1" t="array" ref="B94">IF((INDIRECT("'"&amp;INDIRECT("Main!B9")&amp;"'!B108"))=0,"",(INDIRECT("'"&amp;INDIRECT("Main!B9")&amp;"'!B108")))</f>
        <v/>
      </c>
      <c r="C94" s="37">
        <v>0</v>
      </c>
      <c r="D94" s="15"/>
      <c r="E94" s="15"/>
      <c r="F94" s="15"/>
      <c r="G94" s="15"/>
      <c r="H94" s="15"/>
      <c r="I94" s="51"/>
    </row>
    <row r="95" ht="24.75" customHeight="1" spans="1:9">
      <c r="A95" s="36"/>
      <c r="B95" s="40" t="s">
        <v>48</v>
      </c>
      <c r="C95" s="37">
        <f>SUM(C87:C94)</f>
        <v>0</v>
      </c>
      <c r="D95" s="15"/>
      <c r="E95" s="15"/>
      <c r="F95" s="15"/>
      <c r="G95" s="15"/>
      <c r="H95" s="15"/>
      <c r="I95" s="51"/>
    </row>
    <row r="96" ht="24.75" customHeight="1" spans="1:9">
      <c r="A96" s="53"/>
      <c r="B96" s="40" t="s">
        <v>53</v>
      </c>
      <c r="C96" s="37">
        <f>C55+C66+C75+C85+C95</f>
        <v>0</v>
      </c>
      <c r="D96" s="15"/>
      <c r="E96" s="15"/>
      <c r="F96" s="15"/>
      <c r="G96" s="15"/>
      <c r="H96" s="15"/>
      <c r="I96" s="51"/>
    </row>
    <row r="97" ht="24.75" customHeight="1" spans="1:9">
      <c r="A97" s="41" t="str" cm="1">
        <f ca="1" t="array" ref="A97">IF((INDIRECT("'"&amp;INDIRECT("Main!B9")&amp;"'!A111"))=0,"",(INDIRECT("'"&amp;INDIRECT("Main!B9")&amp;"'!A111")))</f>
        <v>Debts / Borrowed To</v>
      </c>
      <c r="B97" s="42"/>
      <c r="C97" s="43"/>
      <c r="D97" s="15"/>
      <c r="E97" s="15"/>
      <c r="F97" s="15"/>
      <c r="G97" s="15"/>
      <c r="H97" s="15"/>
      <c r="I97" s="51"/>
    </row>
    <row r="98" ht="24.75" customHeight="1" spans="1:9">
      <c r="A98" s="36" t="str" cm="1">
        <f ca="1" t="array" ref="A98">IF((INDIRECT("'"&amp;INDIRECT("Main!B9")&amp;"'!A112"))=0,"",(INDIRECT("'"&amp;INDIRECT("Main!B9")&amp;"'!A112")))</f>
        <v/>
      </c>
      <c r="B98" s="36" t="str" cm="1">
        <f ca="1" t="array" ref="B98">IF((INDIRECT("'"&amp;INDIRECT("Main!B9")&amp;"'!B112"))=0,"",(INDIRECT("'"&amp;INDIRECT("Main!B9")&amp;"'!B112")))</f>
        <v/>
      </c>
      <c r="C98" s="37" cm="1">
        <f ca="1" t="array" ref="C98">INDIRECT("'"&amp;INDIRECT("Main!B51")&amp;"'!C98")+SUM(E118+E145+E172)</f>
        <v>0</v>
      </c>
      <c r="D98" s="15"/>
      <c r="E98" s="70"/>
      <c r="F98" s="15"/>
      <c r="G98" s="15"/>
      <c r="H98" s="15"/>
      <c r="I98" s="51"/>
    </row>
    <row r="99" ht="24.75" customHeight="1" spans="1:9">
      <c r="A99" s="36" t="str" cm="1">
        <f ca="1" t="array" ref="A99">IF((INDIRECT("'"&amp;INDIRECT("Main!B9")&amp;"'!A113"))=0,"",(INDIRECT("'"&amp;INDIRECT("Main!B9")&amp;"'!A113")))</f>
        <v/>
      </c>
      <c r="B99" s="36" t="str" cm="1">
        <f ca="1" t="array" ref="B99">IF((INDIRECT("'"&amp;INDIRECT("Main!B9")&amp;"'!B113"))=0,"",(INDIRECT("'"&amp;INDIRECT("Main!B9")&amp;"'!B113")))</f>
        <v/>
      </c>
      <c r="C99" s="37" cm="1">
        <f ca="1" t="array" ref="C99">INDIRECT("'"&amp;INDIRECT("Main!B51")&amp;"'!C99")+SUM(E119+E146+E173)</f>
        <v>0</v>
      </c>
      <c r="D99" s="15"/>
      <c r="E99" s="15"/>
      <c r="F99" s="15"/>
      <c r="G99" s="15"/>
      <c r="H99" s="15"/>
      <c r="I99" s="51"/>
    </row>
    <row r="100" ht="24.75" customHeight="1" spans="1:9">
      <c r="A100" s="36" t="str" cm="1">
        <f ca="1" t="array" ref="A100">IF((INDIRECT("'"&amp;INDIRECT("Main!B9")&amp;"'!A114"))=0,"",(INDIRECT("'"&amp;INDIRECT("Main!B9")&amp;"'!A114")))</f>
        <v/>
      </c>
      <c r="B100" s="36" t="str" cm="1">
        <f ca="1" t="array" ref="B100">IF((INDIRECT("'"&amp;INDIRECT("Main!B9")&amp;"'!B114"))=0,"",(INDIRECT("'"&amp;INDIRECT("Main!B9")&amp;"'!B114")))</f>
        <v/>
      </c>
      <c r="C100" s="37" cm="1">
        <f ca="1" t="array" ref="C100">INDIRECT("'"&amp;INDIRECT("Main!B51")&amp;"'!C100")+SUM(E120+E147+E174)</f>
        <v>0</v>
      </c>
      <c r="D100" s="15"/>
      <c r="E100" s="15"/>
      <c r="F100" s="15"/>
      <c r="G100" s="15"/>
      <c r="H100" s="15"/>
      <c r="I100" s="51"/>
    </row>
    <row r="101" ht="24.75" customHeight="1" spans="1:9">
      <c r="A101" s="38" t="str" cm="1">
        <f ca="1" t="array" ref="A101">IF((INDIRECT("'"&amp;INDIRECT("Main!B9")&amp;"'!A115"))=0,"",(INDIRECT("'"&amp;INDIRECT("Main!B9")&amp;"'!A115")))</f>
        <v/>
      </c>
      <c r="B101" s="38" t="str" cm="1">
        <f ca="1" t="array" ref="B101">IF((INDIRECT("'"&amp;INDIRECT("Main!B9")&amp;"'!B115"))=0,"",(INDIRECT("'"&amp;INDIRECT("Main!B9")&amp;"'!B115")))</f>
        <v/>
      </c>
      <c r="C101" s="37" cm="1">
        <f ca="1" t="array" ref="C101">INDIRECT("'"&amp;INDIRECT("Main!B51")&amp;"'!C101")+SUM(E121+E148+E175)</f>
        <v>0</v>
      </c>
      <c r="D101" s="15"/>
      <c r="E101" s="15"/>
      <c r="F101" s="15"/>
      <c r="G101" s="15"/>
      <c r="H101" s="15"/>
      <c r="I101" s="51"/>
    </row>
    <row r="102" ht="24.75" customHeight="1" spans="1:9">
      <c r="A102" s="38" t="str" cm="1">
        <f ca="1" t="array" ref="A102">IF((INDIRECT("'"&amp;INDIRECT("Main!B9")&amp;"'!A116"))=0,"",(INDIRECT("'"&amp;INDIRECT("Main!B9")&amp;"'!A116")))</f>
        <v/>
      </c>
      <c r="B102" s="38" t="str" cm="1">
        <f ca="1" t="array" ref="B102">IF((INDIRECT("'"&amp;INDIRECT("Main!B9")&amp;"'!B116"))=0,"",(INDIRECT("'"&amp;INDIRECT("Main!B9")&amp;"'!B116")))</f>
        <v/>
      </c>
      <c r="C102" s="37" cm="1">
        <f ca="1" t="array" ref="C102">INDIRECT("'"&amp;INDIRECT("Main!B51")&amp;"'!C102")+SUM(E122+E149+E176)</f>
        <v>0</v>
      </c>
      <c r="D102" s="15"/>
      <c r="E102" s="15"/>
      <c r="F102" s="15"/>
      <c r="G102" s="15"/>
      <c r="H102" s="15"/>
      <c r="I102" s="51"/>
    </row>
    <row r="103" ht="24.75" customHeight="1" spans="1:9">
      <c r="A103" s="38" t="str" cm="1">
        <f ca="1" t="array" ref="A103">IF((INDIRECT("'"&amp;INDIRECT("Main!B9")&amp;"'!A117"))=0,"",(INDIRECT("'"&amp;INDIRECT("Main!B9")&amp;"'!A117")))</f>
        <v/>
      </c>
      <c r="B103" s="38" t="str" cm="1">
        <f ca="1" t="array" ref="B103">IF((INDIRECT("'"&amp;INDIRECT("Main!B9")&amp;"'!B117"))=0,"",(INDIRECT("'"&amp;INDIRECT("Main!B9")&amp;"'!B117")))</f>
        <v/>
      </c>
      <c r="C103" s="37" cm="1">
        <f ca="1" t="array" ref="C103">INDIRECT("'"&amp;INDIRECT("Main!B51")&amp;"'!C103")+SUM(E123+E150+E177)</f>
        <v>0</v>
      </c>
      <c r="D103" s="15"/>
      <c r="E103" s="15"/>
      <c r="F103" s="15"/>
      <c r="G103" s="15"/>
      <c r="H103" s="15"/>
      <c r="I103" s="51"/>
    </row>
    <row r="104" ht="24.75" customHeight="1" spans="1:9">
      <c r="A104" s="38" t="str" cm="1">
        <f ca="1" t="array" ref="A104">IF((INDIRECT("'"&amp;INDIRECT("Main!B9")&amp;"'!A118"))=0,"",(INDIRECT("'"&amp;INDIRECT("Main!B9")&amp;"'!A118")))</f>
        <v/>
      </c>
      <c r="B104" s="38" t="str" cm="1">
        <f ca="1" t="array" ref="B104">IF((INDIRECT("'"&amp;INDIRECT("Main!B9")&amp;"'!B118"))=0,"",(INDIRECT("'"&amp;INDIRECT("Main!B9")&amp;"'!B118")))</f>
        <v/>
      </c>
      <c r="C104" s="37" cm="1">
        <f ca="1" t="array" ref="C104">INDIRECT("'"&amp;INDIRECT("Main!B51")&amp;"'!C104")+SUM(E124+E151+E178)</f>
        <v>0</v>
      </c>
      <c r="D104" s="15"/>
      <c r="E104" s="15"/>
      <c r="F104" s="15"/>
      <c r="G104" s="15"/>
      <c r="H104" s="15"/>
      <c r="I104" s="51"/>
    </row>
    <row r="105" ht="24.75" customHeight="1" spans="1:9">
      <c r="A105" s="38" t="str" cm="1">
        <f ca="1" t="array" ref="A105">IF((INDIRECT("'"&amp;INDIRECT("Main!B9")&amp;"'!A119"))=0,"",(INDIRECT("'"&amp;INDIRECT("Main!B9")&amp;"'!A119")))</f>
        <v/>
      </c>
      <c r="B105" s="38" t="str" cm="1">
        <f ca="1" t="array" ref="B105">IF((INDIRECT("'"&amp;INDIRECT("Main!B9")&amp;"'!B119"))=0,"",(INDIRECT("'"&amp;INDIRECT("Main!B9")&amp;"'!B119")))</f>
        <v/>
      </c>
      <c r="C105" s="37" cm="1">
        <f ca="1" t="array" ref="C105">INDIRECT("'"&amp;INDIRECT("Main!B51")&amp;"'!C105")+SUM(E125+E152+E179)</f>
        <v>0</v>
      </c>
      <c r="D105" s="15"/>
      <c r="E105" s="15"/>
      <c r="F105" s="15"/>
      <c r="G105" s="15"/>
      <c r="H105" s="15"/>
      <c r="I105" s="51"/>
    </row>
    <row r="106" ht="24.75" customHeight="1" spans="1:9">
      <c r="A106" s="38" t="str" cm="1">
        <f ca="1" t="array" ref="A106">IF((INDIRECT("'"&amp;INDIRECT("Main!B9")&amp;"'!A120"))=0,"",(INDIRECT("'"&amp;INDIRECT("Main!B9")&amp;"'!A120")))</f>
        <v/>
      </c>
      <c r="B106" s="38" t="str" cm="1">
        <f ca="1" t="array" ref="B106">IF((INDIRECT("'"&amp;INDIRECT("Main!B9")&amp;"'!B120"))=0,"",(INDIRECT("'"&amp;INDIRECT("Main!B9")&amp;"'!B120")))</f>
        <v/>
      </c>
      <c r="C106" s="37" cm="1">
        <f ca="1" t="array" ref="C106">INDIRECT("'"&amp;INDIRECT("Main!B51")&amp;"'!C106")+SUM(E126+E153+E180)</f>
        <v>0</v>
      </c>
      <c r="D106" s="15"/>
      <c r="E106" s="15"/>
      <c r="F106" s="15"/>
      <c r="G106" s="15"/>
      <c r="H106" s="15"/>
      <c r="I106" s="51"/>
    </row>
    <row r="107" ht="24.75" customHeight="1" spans="1:9">
      <c r="A107" s="38" t="str" cm="1">
        <f ca="1" t="array" ref="A107">IF((INDIRECT("'"&amp;INDIRECT("Main!B9")&amp;"'!A121"))=0,"",(INDIRECT("'"&amp;INDIRECT("Main!B9")&amp;"'!A121")))</f>
        <v/>
      </c>
      <c r="B107" s="38" t="str" cm="1">
        <f ca="1" t="array" ref="B107">IF((INDIRECT("'"&amp;INDIRECT("Main!B9")&amp;"'!B121"))=0,"",(INDIRECT("'"&amp;INDIRECT("Main!B9")&amp;"'!B121")))</f>
        <v/>
      </c>
      <c r="C107" s="37" cm="1">
        <f ca="1" t="array" ref="C107">INDIRECT("'"&amp;INDIRECT("Main!B51")&amp;"'!C107")+SUM(E127+E154+E181)</f>
        <v>0</v>
      </c>
      <c r="D107" s="15"/>
      <c r="E107" s="15"/>
      <c r="F107" s="15"/>
      <c r="G107" s="15"/>
      <c r="H107" s="15"/>
      <c r="I107" s="51"/>
    </row>
    <row r="108" ht="24.75" customHeight="1" spans="1:9">
      <c r="A108" s="53"/>
      <c r="B108" s="40" t="s">
        <v>55</v>
      </c>
      <c r="C108" s="37">
        <f ca="1">SUM(C98:C107)</f>
        <v>0</v>
      </c>
      <c r="D108" s="15"/>
      <c r="E108" s="15"/>
      <c r="F108" s="15"/>
      <c r="G108" s="15"/>
      <c r="H108" s="15"/>
      <c r="I108" s="51"/>
    </row>
    <row r="109" ht="24.75" customHeight="1" spans="1:9">
      <c r="A109" s="53"/>
      <c r="B109" s="40" t="s">
        <v>56</v>
      </c>
      <c r="C109" s="37">
        <f ca="1">C108-C96</f>
        <v>0</v>
      </c>
      <c r="D109" s="15"/>
      <c r="E109" s="15"/>
      <c r="F109" s="15"/>
      <c r="G109" s="15"/>
      <c r="H109" s="15"/>
      <c r="I109" s="51"/>
    </row>
    <row r="110" ht="24.75" customHeight="1" spans="1:9">
      <c r="A110" s="15"/>
      <c r="B110" s="15"/>
      <c r="C110" s="15"/>
      <c r="D110" s="15"/>
      <c r="E110" s="15"/>
      <c r="F110" s="15"/>
      <c r="G110" s="15"/>
      <c r="H110" s="15"/>
      <c r="I110" s="51"/>
    </row>
    <row r="111" ht="24.75" customHeight="1" spans="1:9">
      <c r="A111" s="15"/>
      <c r="B111" s="15"/>
      <c r="C111" s="15"/>
      <c r="D111" s="15"/>
      <c r="E111" s="15"/>
      <c r="F111" s="15"/>
      <c r="G111" s="15"/>
      <c r="H111" s="15"/>
      <c r="I111" s="51"/>
    </row>
    <row r="112" ht="24.75" customHeight="1" spans="1:9">
      <c r="A112" s="15"/>
      <c r="B112" s="15"/>
      <c r="C112" s="15"/>
      <c r="D112" s="15"/>
      <c r="E112" s="15"/>
      <c r="F112" s="15"/>
      <c r="G112" s="15"/>
      <c r="H112" s="15"/>
      <c r="I112" s="51"/>
    </row>
    <row r="113" ht="24.75" customHeight="1" spans="1:9">
      <c r="A113" s="15"/>
      <c r="B113" s="15"/>
      <c r="C113" s="15"/>
      <c r="D113" s="15"/>
      <c r="E113" s="15"/>
      <c r="F113" s="15"/>
      <c r="G113" s="15"/>
      <c r="H113" s="15"/>
      <c r="I113" s="51"/>
    </row>
    <row r="114" ht="24.75" customHeight="1" spans="1:9">
      <c r="A114" s="54" t="str">
        <f>"Debts Or Credits For the Comming "&amp;IF(Main!B2,TEXT(EDATE(Main!B3,45),"mmmm dd yyyy"),TEXT(Main!B3+((Main!B5-Main!B3)*45+45),"mmmm dd yyyy"))&amp;" to "&amp;IF(Main!B2,TEXT(EDATE(Main!B3,46)-1,"mmmm dd yyyy"),TEXT(Main!B3+((Main!B5-Main!B3)*46+45),"mmmm dd yyyy"))</f>
        <v>Debts Or Credits For the Comming January 11 2029 to February 10 2029</v>
      </c>
      <c r="B114" s="55"/>
      <c r="C114" s="55"/>
      <c r="D114" s="55"/>
      <c r="E114" s="56"/>
      <c r="F114" s="15"/>
      <c r="G114" s="15"/>
      <c r="H114" s="15"/>
      <c r="I114" s="51"/>
    </row>
    <row r="115" ht="24.75" customHeight="1" spans="1:9">
      <c r="A115" s="54" t="s">
        <v>57</v>
      </c>
      <c r="B115" s="56"/>
      <c r="C115" s="54" t="s">
        <v>44</v>
      </c>
      <c r="D115" s="56"/>
      <c r="E115" s="71" t="s">
        <v>45</v>
      </c>
      <c r="F115" s="15"/>
      <c r="G115" s="15"/>
      <c r="H115" s="15"/>
      <c r="I115" s="51"/>
    </row>
    <row r="116" ht="24.75" customHeight="1" spans="1:9">
      <c r="A116" s="57" t="str">
        <f>"Balance Brought Forward From "&amp;IF(Main!B2,TEXT(EDATE(Main!B3,45)-1,"mmmm yyyy"),TEXT(Main!B3+((Main!B5-Main!B3)*45+44),"mmmm yyyy"))</f>
        <v>Balance Brought Forward From January 2029</v>
      </c>
      <c r="B116" s="58"/>
      <c r="C116" s="59"/>
      <c r="D116" s="59"/>
      <c r="E116" s="72" cm="1">
        <f ca="1" t="array" ref="E116">INDIRECT("'"&amp;INDIRECT("Main!B51")&amp;"'!E190")</f>
        <v>0</v>
      </c>
      <c r="F116" s="15"/>
      <c r="G116" s="15"/>
      <c r="H116" s="15"/>
      <c r="I116" s="51"/>
    </row>
    <row r="117" ht="24.75" customHeight="1" spans="1:9">
      <c r="A117" s="60" t="s">
        <v>52</v>
      </c>
      <c r="B117" s="61"/>
      <c r="C117" s="62" t="s">
        <v>58</v>
      </c>
      <c r="D117" s="63"/>
      <c r="E117" s="73"/>
      <c r="F117" s="15"/>
      <c r="G117" s="15"/>
      <c r="H117" s="15"/>
      <c r="I117" s="51"/>
    </row>
    <row r="118" ht="24.75" customHeight="1" spans="1:9">
      <c r="A118" s="64"/>
      <c r="B118" s="65"/>
      <c r="C118" s="66"/>
      <c r="D118" s="67"/>
      <c r="E118" s="37">
        <v>0</v>
      </c>
      <c r="F118" s="15"/>
      <c r="G118" s="15"/>
      <c r="H118" s="15"/>
      <c r="I118" s="51"/>
    </row>
    <row r="119" ht="24.75" customHeight="1" spans="1:9">
      <c r="A119" s="64"/>
      <c r="B119" s="65"/>
      <c r="C119" s="66"/>
      <c r="D119" s="67"/>
      <c r="E119" s="37">
        <v>0</v>
      </c>
      <c r="F119" s="15"/>
      <c r="G119" s="15"/>
      <c r="H119" s="15"/>
      <c r="I119" s="51"/>
    </row>
    <row r="120" ht="24.75" customHeight="1" spans="1:9">
      <c r="A120" s="64"/>
      <c r="B120" s="65"/>
      <c r="C120" s="66"/>
      <c r="D120" s="67"/>
      <c r="E120" s="37">
        <v>0</v>
      </c>
      <c r="F120" s="15"/>
      <c r="G120" s="15"/>
      <c r="H120" s="15"/>
      <c r="I120" s="51"/>
    </row>
    <row r="121" ht="24.75" customHeight="1" spans="1:9">
      <c r="A121" s="64"/>
      <c r="B121" s="65"/>
      <c r="C121" s="66"/>
      <c r="D121" s="67"/>
      <c r="E121" s="37">
        <v>0</v>
      </c>
      <c r="F121" s="15"/>
      <c r="G121" s="15"/>
      <c r="H121" s="15"/>
      <c r="I121" s="51"/>
    </row>
    <row r="122" ht="24.75" customHeight="1" spans="1:9">
      <c r="A122" s="64"/>
      <c r="B122" s="65"/>
      <c r="C122" s="66"/>
      <c r="D122" s="67"/>
      <c r="E122" s="37">
        <v>0</v>
      </c>
      <c r="F122" s="15"/>
      <c r="G122" s="15"/>
      <c r="H122" s="15"/>
      <c r="I122" s="51"/>
    </row>
    <row r="123" ht="24.75" customHeight="1" spans="1:9">
      <c r="A123" s="64"/>
      <c r="B123" s="65"/>
      <c r="C123" s="66"/>
      <c r="D123" s="67"/>
      <c r="E123" s="37">
        <v>0</v>
      </c>
      <c r="F123" s="15"/>
      <c r="G123" s="15"/>
      <c r="H123" s="15"/>
      <c r="I123" s="51"/>
    </row>
    <row r="124" ht="24.75" customHeight="1" spans="1:9">
      <c r="A124" s="64"/>
      <c r="B124" s="65"/>
      <c r="C124" s="66"/>
      <c r="D124" s="67"/>
      <c r="E124" s="37">
        <v>0</v>
      </c>
      <c r="F124" s="15"/>
      <c r="G124" s="15"/>
      <c r="H124" s="15"/>
      <c r="I124" s="51"/>
    </row>
    <row r="125" ht="24.75" customHeight="1" spans="1:9">
      <c r="A125" s="64"/>
      <c r="B125" s="65"/>
      <c r="C125" s="66"/>
      <c r="D125" s="67"/>
      <c r="E125" s="37">
        <v>0</v>
      </c>
      <c r="F125" s="15"/>
      <c r="G125" s="15"/>
      <c r="H125" s="15"/>
      <c r="I125" s="51"/>
    </row>
    <row r="126" ht="24.75" customHeight="1" spans="1:9">
      <c r="A126" s="64"/>
      <c r="B126" s="65"/>
      <c r="C126" s="66"/>
      <c r="D126" s="67"/>
      <c r="E126" s="37">
        <v>0</v>
      </c>
      <c r="F126" s="15"/>
      <c r="G126" s="15"/>
      <c r="H126" s="15"/>
      <c r="I126" s="51"/>
    </row>
    <row r="127" ht="24.75" customHeight="1" spans="1:9">
      <c r="A127" s="64"/>
      <c r="B127" s="65"/>
      <c r="C127" s="66"/>
      <c r="D127" s="67"/>
      <c r="E127" s="37">
        <v>0</v>
      </c>
      <c r="F127" s="15"/>
      <c r="G127" s="15"/>
      <c r="H127" s="15"/>
      <c r="I127" s="51"/>
    </row>
    <row r="128" ht="24.75" customHeight="1" spans="1:9">
      <c r="A128" s="64"/>
      <c r="B128" s="65"/>
      <c r="C128" s="68" t="s">
        <v>59</v>
      </c>
      <c r="D128" s="63"/>
      <c r="E128" s="73"/>
      <c r="F128" s="15"/>
      <c r="G128" s="15"/>
      <c r="H128" s="15"/>
      <c r="I128" s="51"/>
    </row>
    <row r="129" ht="24.75" customHeight="1" spans="1:9">
      <c r="A129" s="64"/>
      <c r="B129" s="65"/>
      <c r="C129" s="74"/>
      <c r="D129" s="75"/>
      <c r="E129" s="88">
        <v>0</v>
      </c>
      <c r="F129" s="15"/>
      <c r="G129" s="15"/>
      <c r="H129" s="15"/>
      <c r="I129" s="51"/>
    </row>
    <row r="130" ht="24.75" customHeight="1" spans="1:9">
      <c r="A130" s="64"/>
      <c r="B130" s="65"/>
      <c r="C130" s="66"/>
      <c r="D130" s="67"/>
      <c r="E130" s="88">
        <v>0</v>
      </c>
      <c r="F130" s="15"/>
      <c r="G130" s="15"/>
      <c r="H130" s="15"/>
      <c r="I130" s="51"/>
    </row>
    <row r="131" ht="24.75" customHeight="1" spans="1:9">
      <c r="A131" s="64"/>
      <c r="B131" s="65"/>
      <c r="C131" s="66"/>
      <c r="D131" s="67"/>
      <c r="E131" s="88">
        <v>0</v>
      </c>
      <c r="F131" s="15"/>
      <c r="G131" s="15"/>
      <c r="H131" s="15"/>
      <c r="I131" s="51"/>
    </row>
    <row r="132" ht="24.75" customHeight="1" spans="1:9">
      <c r="A132" s="64"/>
      <c r="B132" s="65"/>
      <c r="C132" s="66"/>
      <c r="D132" s="67"/>
      <c r="E132" s="88">
        <v>0</v>
      </c>
      <c r="F132" s="15"/>
      <c r="G132" s="15"/>
      <c r="H132" s="15"/>
      <c r="I132" s="51"/>
    </row>
    <row r="133" ht="24.75" customHeight="1" spans="1:9">
      <c r="A133" s="64"/>
      <c r="B133" s="65"/>
      <c r="C133" s="66"/>
      <c r="D133" s="67"/>
      <c r="E133" s="88">
        <v>0</v>
      </c>
      <c r="F133" s="15"/>
      <c r="G133" s="15"/>
      <c r="H133" s="15"/>
      <c r="I133" s="51"/>
    </row>
    <row r="134" ht="24.75" customHeight="1" spans="1:9">
      <c r="A134" s="76"/>
      <c r="B134" s="77"/>
      <c r="C134" s="66"/>
      <c r="D134" s="67"/>
      <c r="E134" s="88">
        <v>0</v>
      </c>
      <c r="F134" s="15"/>
      <c r="G134" s="15"/>
      <c r="H134" s="15"/>
      <c r="I134" s="51"/>
    </row>
    <row r="135" ht="24.75" customHeight="1" spans="1:9">
      <c r="A135" s="57" t="s">
        <v>60</v>
      </c>
      <c r="B135" s="78"/>
      <c r="C135" s="79"/>
      <c r="D135" s="80"/>
      <c r="E135" s="88">
        <f>C96</f>
        <v>0</v>
      </c>
      <c r="F135" s="15"/>
      <c r="G135" s="15"/>
      <c r="H135" s="15"/>
      <c r="I135" s="51"/>
    </row>
    <row r="136" ht="24.75" customHeight="1" spans="1:9">
      <c r="A136" s="81"/>
      <c r="B136" s="82"/>
      <c r="C136" s="83" t="s">
        <v>61</v>
      </c>
      <c r="D136" s="83"/>
      <c r="E136" s="89">
        <f ca="1">(F16+E116)-(SUM(E118:E127)+SUM(E129:E135))</f>
        <v>0</v>
      </c>
      <c r="F136" s="15"/>
      <c r="G136" s="15"/>
      <c r="H136" s="15"/>
      <c r="I136" s="51"/>
    </row>
    <row r="137" ht="24.75" customHeight="1" spans="1:9">
      <c r="A137" s="15"/>
      <c r="B137" s="15"/>
      <c r="C137" s="15"/>
      <c r="D137" s="15"/>
      <c r="E137" s="15"/>
      <c r="F137" s="15"/>
      <c r="G137" s="15"/>
      <c r="H137" s="15"/>
      <c r="I137" s="51"/>
    </row>
    <row r="138" ht="24.75" customHeight="1" spans="1:9">
      <c r="A138" s="15"/>
      <c r="B138" s="15"/>
      <c r="C138" s="15"/>
      <c r="D138" s="15"/>
      <c r="E138" s="15"/>
      <c r="F138" s="15"/>
      <c r="G138" s="15"/>
      <c r="H138" s="15"/>
      <c r="I138" s="51"/>
    </row>
    <row r="139" ht="24.75" customHeight="1" spans="1:9">
      <c r="A139" s="15"/>
      <c r="B139" s="15"/>
      <c r="C139" s="15"/>
      <c r="D139" s="15"/>
      <c r="E139" s="15"/>
      <c r="F139" s="15"/>
      <c r="G139" s="15"/>
      <c r="H139" s="15"/>
      <c r="I139" s="51"/>
    </row>
    <row r="140" ht="24.75" customHeight="1" spans="1:9">
      <c r="A140" s="15"/>
      <c r="B140" s="15"/>
      <c r="C140" s="15"/>
      <c r="D140" s="15"/>
      <c r="E140" s="15"/>
      <c r="F140" s="15"/>
      <c r="G140" s="15"/>
      <c r="H140" s="15"/>
      <c r="I140" s="51"/>
    </row>
    <row r="141" ht="24.75" customHeight="1" spans="1:9">
      <c r="A141" s="54" t="str">
        <f>"Debts Or Credits For the Comming "&amp;IF(Main!B2,TEXT(EDATE(Main!B3,46),"mmmm dd yyyy"),TEXT(Main!B3+((Main!B5-Main!B3)*46+46),"dd mmmm yyyy"))&amp;" to "&amp;IF(Main!B2,TEXT(EDATE(Main!B3,47)-1,"mmmm dd yyyy"),TEXT(Main!B3+((Main!B5-Main!B3)*47+46),"mmmm dd yyyy"))</f>
        <v>Debts Or Credits For the Comming February 11 2029 to March 10 2029</v>
      </c>
      <c r="B141" s="55"/>
      <c r="C141" s="55"/>
      <c r="D141" s="55"/>
      <c r="E141" s="56"/>
      <c r="F141" s="15"/>
      <c r="G141" s="15"/>
      <c r="H141" s="15"/>
      <c r="I141" s="51"/>
    </row>
    <row r="142" ht="24.75" customHeight="1" spans="1:9">
      <c r="A142" s="54" t="s">
        <v>57</v>
      </c>
      <c r="B142" s="56"/>
      <c r="C142" s="84" t="s">
        <v>44</v>
      </c>
      <c r="D142" s="85"/>
      <c r="E142" s="90" t="s">
        <v>45</v>
      </c>
      <c r="F142" s="15"/>
      <c r="G142" s="15"/>
      <c r="H142" s="15"/>
      <c r="I142" s="51"/>
    </row>
    <row r="143" ht="24.75" customHeight="1" spans="1:9">
      <c r="A143" s="57" t="str">
        <f>"Balance Brought Forward From "&amp;IF(Main!B2,TEXT(EDATE(Main!B3,46)-1,"mmmm yyyy"),TEXT(Main!B3+((Main!B5-Main!B3)*46+45),"mmmm yyyy"))</f>
        <v>Balance Brought Forward From February 2029</v>
      </c>
      <c r="B143" s="58"/>
      <c r="C143" s="59"/>
      <c r="D143" s="59"/>
      <c r="E143" s="89">
        <f ca="1">E136</f>
        <v>0</v>
      </c>
      <c r="F143" s="15"/>
      <c r="G143" s="15"/>
      <c r="H143" s="15"/>
      <c r="I143" s="51"/>
    </row>
    <row r="144" ht="24.75" customHeight="1" spans="1:9">
      <c r="A144" s="60" t="s">
        <v>52</v>
      </c>
      <c r="B144" s="61"/>
      <c r="C144" s="86" t="s">
        <v>58</v>
      </c>
      <c r="D144" s="87"/>
      <c r="E144" s="91"/>
      <c r="F144" s="15"/>
      <c r="G144" s="15"/>
      <c r="H144" s="15"/>
      <c r="I144" s="51"/>
    </row>
    <row r="145" ht="24.75" customHeight="1" spans="1:9">
      <c r="A145" s="64"/>
      <c r="B145" s="65"/>
      <c r="C145" s="66"/>
      <c r="D145" s="67"/>
      <c r="E145" s="37">
        <v>0</v>
      </c>
      <c r="F145" s="15"/>
      <c r="G145" s="15"/>
      <c r="H145" s="15"/>
      <c r="I145" s="51"/>
    </row>
    <row r="146" ht="24.75" customHeight="1" spans="1:9">
      <c r="A146" s="64"/>
      <c r="B146" s="65"/>
      <c r="C146" s="66"/>
      <c r="D146" s="67"/>
      <c r="E146" s="37">
        <v>0</v>
      </c>
      <c r="F146" s="15"/>
      <c r="G146" s="15"/>
      <c r="H146" s="15"/>
      <c r="I146" s="51"/>
    </row>
    <row r="147" ht="24.75" customHeight="1" spans="1:9">
      <c r="A147" s="64"/>
      <c r="B147" s="65"/>
      <c r="C147" s="66"/>
      <c r="D147" s="67"/>
      <c r="E147" s="37">
        <v>0</v>
      </c>
      <c r="F147" s="15"/>
      <c r="G147" s="15"/>
      <c r="H147" s="15"/>
      <c r="I147" s="51"/>
    </row>
    <row r="148" ht="24.75" customHeight="1" spans="1:9">
      <c r="A148" s="64"/>
      <c r="B148" s="65"/>
      <c r="C148" s="66"/>
      <c r="D148" s="67"/>
      <c r="E148" s="37">
        <v>0</v>
      </c>
      <c r="F148" s="15"/>
      <c r="G148" s="15"/>
      <c r="H148" s="15"/>
      <c r="I148" s="51"/>
    </row>
    <row r="149" ht="24.75" customHeight="1" spans="1:9">
      <c r="A149" s="64"/>
      <c r="B149" s="65"/>
      <c r="C149" s="66"/>
      <c r="D149" s="67"/>
      <c r="E149" s="37">
        <v>0</v>
      </c>
      <c r="F149" s="15"/>
      <c r="G149" s="15"/>
      <c r="H149" s="15"/>
      <c r="I149" s="51"/>
    </row>
    <row r="150" ht="24.75" customHeight="1" spans="1:9">
      <c r="A150" s="64"/>
      <c r="B150" s="65"/>
      <c r="C150" s="66"/>
      <c r="D150" s="67"/>
      <c r="E150" s="37">
        <v>0</v>
      </c>
      <c r="F150" s="15"/>
      <c r="G150" s="15"/>
      <c r="H150" s="15"/>
      <c r="I150" s="51"/>
    </row>
    <row r="151" ht="24.75" customHeight="1" spans="1:9">
      <c r="A151" s="64"/>
      <c r="B151" s="65"/>
      <c r="C151" s="66"/>
      <c r="D151" s="67"/>
      <c r="E151" s="37">
        <v>0</v>
      </c>
      <c r="F151" s="15"/>
      <c r="G151" s="15"/>
      <c r="H151" s="15"/>
      <c r="I151" s="51"/>
    </row>
    <row r="152" ht="24.75" customHeight="1" spans="1:9">
      <c r="A152" s="64"/>
      <c r="B152" s="65"/>
      <c r="C152" s="66"/>
      <c r="D152" s="67"/>
      <c r="E152" s="37">
        <v>0</v>
      </c>
      <c r="F152" s="15"/>
      <c r="G152" s="15"/>
      <c r="H152" s="15"/>
      <c r="I152" s="51"/>
    </row>
    <row r="153" ht="24.75" customHeight="1" spans="1:9">
      <c r="A153" s="64"/>
      <c r="B153" s="65"/>
      <c r="C153" s="66"/>
      <c r="D153" s="67"/>
      <c r="E153" s="37">
        <v>0</v>
      </c>
      <c r="F153" s="15"/>
      <c r="G153" s="15"/>
      <c r="H153" s="15"/>
      <c r="I153" s="51"/>
    </row>
    <row r="154" ht="24.75" customHeight="1" spans="1:9">
      <c r="A154" s="64"/>
      <c r="B154" s="65"/>
      <c r="C154" s="66"/>
      <c r="D154" s="67"/>
      <c r="E154" s="37">
        <v>0</v>
      </c>
      <c r="F154" s="15"/>
      <c r="G154" s="15"/>
      <c r="H154" s="15"/>
      <c r="I154" s="51"/>
    </row>
    <row r="155" ht="24.75" customHeight="1" spans="1:9">
      <c r="A155" s="64"/>
      <c r="B155" s="65"/>
      <c r="C155" s="68" t="s">
        <v>59</v>
      </c>
      <c r="D155" s="63"/>
      <c r="E155" s="73"/>
      <c r="F155" s="15"/>
      <c r="G155" s="15"/>
      <c r="H155" s="15"/>
      <c r="I155" s="51"/>
    </row>
    <row r="156" ht="24.75" customHeight="1" spans="1:9">
      <c r="A156" s="64"/>
      <c r="B156" s="65"/>
      <c r="C156" s="74"/>
      <c r="D156" s="75"/>
      <c r="E156" s="88">
        <v>0</v>
      </c>
      <c r="F156" s="15"/>
      <c r="G156" s="15"/>
      <c r="H156" s="15"/>
      <c r="I156" s="51"/>
    </row>
    <row r="157" ht="24.75" customHeight="1" spans="1:9">
      <c r="A157" s="64"/>
      <c r="B157" s="65"/>
      <c r="C157" s="66"/>
      <c r="D157" s="67"/>
      <c r="E157" s="88">
        <v>0</v>
      </c>
      <c r="F157" s="15"/>
      <c r="G157" s="15"/>
      <c r="H157" s="15"/>
      <c r="I157" s="51"/>
    </row>
    <row r="158" ht="24.75" customHeight="1" spans="1:9">
      <c r="A158" s="64"/>
      <c r="B158" s="65"/>
      <c r="C158" s="66"/>
      <c r="D158" s="67"/>
      <c r="E158" s="88">
        <v>0</v>
      </c>
      <c r="F158" s="15"/>
      <c r="G158" s="15"/>
      <c r="H158" s="15"/>
      <c r="I158" s="51"/>
    </row>
    <row r="159" ht="24.75" customHeight="1" spans="1:9">
      <c r="A159" s="64"/>
      <c r="B159" s="65"/>
      <c r="C159" s="66"/>
      <c r="D159" s="67"/>
      <c r="E159" s="88">
        <v>0</v>
      </c>
      <c r="F159" s="15"/>
      <c r="G159" s="15"/>
      <c r="H159" s="15"/>
      <c r="I159" s="51"/>
    </row>
    <row r="160" ht="24.75" customHeight="1" spans="1:9">
      <c r="A160" s="64"/>
      <c r="B160" s="65"/>
      <c r="C160" s="66"/>
      <c r="D160" s="67"/>
      <c r="E160" s="88">
        <v>0</v>
      </c>
      <c r="F160" s="15"/>
      <c r="G160" s="15"/>
      <c r="H160" s="15"/>
      <c r="I160" s="51"/>
    </row>
    <row r="161" ht="24.75" customHeight="1" spans="1:9">
      <c r="A161" s="76"/>
      <c r="B161" s="77"/>
      <c r="C161" s="66"/>
      <c r="D161" s="67"/>
      <c r="E161" s="88">
        <v>0</v>
      </c>
      <c r="F161" s="15"/>
      <c r="G161" s="15"/>
      <c r="H161" s="15"/>
      <c r="I161" s="51"/>
    </row>
    <row r="162" ht="24.75" customHeight="1" spans="1:9">
      <c r="A162" s="57" t="s">
        <v>60</v>
      </c>
      <c r="B162" s="78"/>
      <c r="C162" s="79"/>
      <c r="D162" s="80"/>
      <c r="E162" s="88">
        <f>C96</f>
        <v>0</v>
      </c>
      <c r="F162" s="15"/>
      <c r="G162" s="15"/>
      <c r="H162" s="15"/>
      <c r="I162" s="51"/>
    </row>
    <row r="163" ht="24.75" customHeight="1" spans="1:9">
      <c r="A163" s="81"/>
      <c r="B163" s="82"/>
      <c r="C163" s="83" t="s">
        <v>61</v>
      </c>
      <c r="D163" s="83"/>
      <c r="E163" s="92">
        <f ca="1">(F28+E143)-(SUM(E145:E154)+SUM(E156:E162))</f>
        <v>0</v>
      </c>
      <c r="F163" s="15"/>
      <c r="G163" s="15"/>
      <c r="H163" s="15"/>
      <c r="I163" s="51"/>
    </row>
    <row r="164" ht="24.75" customHeight="1" spans="1:9">
      <c r="A164" s="15"/>
      <c r="B164" s="15"/>
      <c r="C164" s="15"/>
      <c r="D164" s="15"/>
      <c r="E164" s="15"/>
      <c r="F164" s="15"/>
      <c r="G164" s="15"/>
      <c r="H164" s="15"/>
      <c r="I164" s="51"/>
    </row>
    <row r="165" ht="24.75" customHeight="1" spans="1:9">
      <c r="A165" s="15"/>
      <c r="B165" s="15"/>
      <c r="C165" s="15"/>
      <c r="D165" s="15"/>
      <c r="E165" s="15"/>
      <c r="F165" s="15"/>
      <c r="G165" s="15"/>
      <c r="H165" s="15"/>
      <c r="I165" s="51"/>
    </row>
    <row r="166" ht="24.75" customHeight="1" spans="1:9">
      <c r="A166" s="15"/>
      <c r="B166" s="15"/>
      <c r="C166" s="15"/>
      <c r="D166" s="15"/>
      <c r="E166" s="15"/>
      <c r="F166" s="15"/>
      <c r="G166" s="15"/>
      <c r="H166" s="15"/>
      <c r="I166" s="51"/>
    </row>
    <row r="167" ht="24.75" customHeight="1" spans="1:9">
      <c r="A167" s="15"/>
      <c r="B167" s="15"/>
      <c r="C167" s="15"/>
      <c r="D167" s="15"/>
      <c r="E167" s="15"/>
      <c r="F167" s="15"/>
      <c r="G167" s="15"/>
      <c r="H167" s="15"/>
      <c r="I167" s="51"/>
    </row>
    <row r="168" ht="24.75" customHeight="1" spans="1:9">
      <c r="A168" s="54" t="str">
        <f>"Debts Or Credits For the Comming "&amp;IF(Main!B2,TEXT(EDATE(Main!B3,47),"mmmm dd yyyy"),TEXT(Main!B3+((Main!B5-Main!B3)*47+47),"mmmm dd yyyy"))&amp;" to "&amp;IF(Main!B2,TEXT(EDATE(Main!B3,48)-1,"mmmm dd yyyy"),TEXT(Main!B3+((Main!B5-Main!B3)*48+47),"mmmm dd yyyy"))</f>
        <v>Debts Or Credits For the Comming March 11 2029 to April 10 2029</v>
      </c>
      <c r="B168" s="55"/>
      <c r="C168" s="55"/>
      <c r="D168" s="55"/>
      <c r="E168" s="56"/>
      <c r="F168" s="15"/>
      <c r="G168" s="15"/>
      <c r="H168" s="15"/>
      <c r="I168" s="51"/>
    </row>
    <row r="169" ht="24.75" customHeight="1" spans="1:9">
      <c r="A169" s="54" t="s">
        <v>57</v>
      </c>
      <c r="B169" s="56"/>
      <c r="C169" s="84" t="s">
        <v>44</v>
      </c>
      <c r="D169" s="85"/>
      <c r="E169" s="90" t="s">
        <v>45</v>
      </c>
      <c r="F169" s="15"/>
      <c r="G169" s="15"/>
      <c r="H169" s="15"/>
      <c r="I169" s="51"/>
    </row>
    <row r="170" ht="24.75" customHeight="1" spans="1:9">
      <c r="A170" s="57" t="str">
        <f>"Balance Brought Forward From "&amp;IF(Main!B2,TEXT(EDATE(Main!B3,47)-1,"mmmm yyyy"),TEXT(Main!B3+((Main!B5-Main!B3)*47+46),"mmmm yyyy"))</f>
        <v>Balance Brought Forward From March 2029</v>
      </c>
      <c r="B170" s="58"/>
      <c r="C170" s="59"/>
      <c r="D170" s="59"/>
      <c r="E170" s="92">
        <f ca="1">E163</f>
        <v>0</v>
      </c>
      <c r="F170" s="15"/>
      <c r="G170" s="15"/>
      <c r="H170" s="15"/>
      <c r="I170" s="51"/>
    </row>
    <row r="171" ht="24.75" customHeight="1" spans="1:9">
      <c r="A171" s="60" t="s">
        <v>52</v>
      </c>
      <c r="B171" s="61"/>
      <c r="C171" s="86" t="s">
        <v>58</v>
      </c>
      <c r="D171" s="87"/>
      <c r="E171" s="91"/>
      <c r="F171" s="15"/>
      <c r="G171" s="15"/>
      <c r="H171" s="15"/>
      <c r="I171" s="51"/>
    </row>
    <row r="172" ht="24.75" customHeight="1" spans="1:9">
      <c r="A172" s="64"/>
      <c r="B172" s="65"/>
      <c r="C172" s="66"/>
      <c r="D172" s="67"/>
      <c r="E172" s="37">
        <v>0</v>
      </c>
      <c r="F172" s="15"/>
      <c r="G172" s="15"/>
      <c r="H172" s="15"/>
      <c r="I172" s="51"/>
    </row>
    <row r="173" ht="24.75" customHeight="1" spans="1:9">
      <c r="A173" s="64"/>
      <c r="B173" s="65"/>
      <c r="C173" s="66"/>
      <c r="D173" s="67"/>
      <c r="E173" s="37">
        <v>0</v>
      </c>
      <c r="F173" s="15"/>
      <c r="G173" s="15"/>
      <c r="H173" s="15"/>
      <c r="I173" s="51"/>
    </row>
    <row r="174" ht="24.75" customHeight="1" spans="1:9">
      <c r="A174" s="64"/>
      <c r="B174" s="65"/>
      <c r="C174" s="66"/>
      <c r="D174" s="67"/>
      <c r="E174" s="37">
        <v>0</v>
      </c>
      <c r="F174" s="15"/>
      <c r="G174" s="15"/>
      <c r="H174" s="15"/>
      <c r="I174" s="51"/>
    </row>
    <row r="175" ht="24.75" customHeight="1" spans="1:9">
      <c r="A175" s="64"/>
      <c r="B175" s="65"/>
      <c r="C175" s="66"/>
      <c r="D175" s="67"/>
      <c r="E175" s="37">
        <v>0</v>
      </c>
      <c r="F175" s="15"/>
      <c r="G175" s="15"/>
      <c r="H175" s="15"/>
      <c r="I175" s="51"/>
    </row>
    <row r="176" ht="24.75" customHeight="1" spans="1:9">
      <c r="A176" s="64"/>
      <c r="B176" s="65"/>
      <c r="C176" s="66"/>
      <c r="D176" s="67"/>
      <c r="E176" s="37">
        <v>0</v>
      </c>
      <c r="F176" s="15"/>
      <c r="G176" s="15"/>
      <c r="H176" s="15"/>
      <c r="I176" s="51"/>
    </row>
    <row r="177" ht="24.75" customHeight="1" spans="1:9">
      <c r="A177" s="64"/>
      <c r="B177" s="65"/>
      <c r="C177" s="66"/>
      <c r="D177" s="67"/>
      <c r="E177" s="37">
        <v>0</v>
      </c>
      <c r="F177" s="15"/>
      <c r="G177" s="15"/>
      <c r="H177" s="15"/>
      <c r="I177" s="51"/>
    </row>
    <row r="178" ht="24.75" customHeight="1" spans="1:9">
      <c r="A178" s="64"/>
      <c r="B178" s="65"/>
      <c r="C178" s="66"/>
      <c r="D178" s="67"/>
      <c r="E178" s="37">
        <v>0</v>
      </c>
      <c r="F178" s="15"/>
      <c r="G178" s="15"/>
      <c r="H178" s="15"/>
      <c r="I178" s="51"/>
    </row>
    <row r="179" ht="24.75" customHeight="1" spans="1:9">
      <c r="A179" s="64"/>
      <c r="B179" s="65"/>
      <c r="C179" s="66"/>
      <c r="D179" s="67"/>
      <c r="E179" s="37">
        <v>0</v>
      </c>
      <c r="F179" s="15"/>
      <c r="G179" s="15"/>
      <c r="H179" s="15"/>
      <c r="I179" s="51"/>
    </row>
    <row r="180" ht="24.75" customHeight="1" spans="1:9">
      <c r="A180" s="64"/>
      <c r="B180" s="65"/>
      <c r="C180" s="66"/>
      <c r="D180" s="67"/>
      <c r="E180" s="37">
        <v>0</v>
      </c>
      <c r="F180" s="15"/>
      <c r="G180" s="15"/>
      <c r="H180" s="15"/>
      <c r="I180" s="51"/>
    </row>
    <row r="181" ht="24.75" customHeight="1" spans="1:9">
      <c r="A181" s="64"/>
      <c r="B181" s="65"/>
      <c r="C181" s="66"/>
      <c r="D181" s="67"/>
      <c r="E181" s="37">
        <v>0</v>
      </c>
      <c r="F181" s="15"/>
      <c r="G181" s="15"/>
      <c r="H181" s="15"/>
      <c r="I181" s="51"/>
    </row>
    <row r="182" spans="1:9">
      <c r="A182" s="64"/>
      <c r="B182" s="65"/>
      <c r="C182" s="68" t="s">
        <v>59</v>
      </c>
      <c r="D182" s="63"/>
      <c r="E182" s="73"/>
      <c r="F182" s="15"/>
      <c r="G182" s="15"/>
      <c r="H182" s="15"/>
      <c r="I182" s="51"/>
    </row>
    <row r="183" ht="24.75" customHeight="1" spans="1:9">
      <c r="A183" s="64"/>
      <c r="B183" s="65"/>
      <c r="C183" s="74"/>
      <c r="D183" s="75"/>
      <c r="E183" s="88">
        <v>0</v>
      </c>
      <c r="F183" s="15"/>
      <c r="G183" s="15"/>
      <c r="H183" s="15"/>
      <c r="I183" s="51"/>
    </row>
    <row r="184" ht="24.75" customHeight="1" spans="1:9">
      <c r="A184" s="64"/>
      <c r="B184" s="65"/>
      <c r="C184" s="66"/>
      <c r="D184" s="67"/>
      <c r="E184" s="88">
        <v>0</v>
      </c>
      <c r="F184" s="15"/>
      <c r="G184" s="15"/>
      <c r="H184" s="15"/>
      <c r="I184" s="51"/>
    </row>
    <row r="185" ht="24.75" customHeight="1" spans="1:9">
      <c r="A185" s="64"/>
      <c r="B185" s="65"/>
      <c r="C185" s="66"/>
      <c r="D185" s="67"/>
      <c r="E185" s="88">
        <v>0</v>
      </c>
      <c r="F185" s="15"/>
      <c r="G185" s="15"/>
      <c r="H185" s="15"/>
      <c r="I185" s="51"/>
    </row>
    <row r="186" ht="24.75" customHeight="1" spans="1:9">
      <c r="A186" s="64"/>
      <c r="B186" s="65"/>
      <c r="C186" s="66"/>
      <c r="D186" s="67"/>
      <c r="E186" s="88">
        <v>0</v>
      </c>
      <c r="F186" s="15"/>
      <c r="G186" s="15"/>
      <c r="H186" s="15"/>
      <c r="I186" s="51"/>
    </row>
    <row r="187" ht="24.75" customHeight="1" spans="1:9">
      <c r="A187" s="64"/>
      <c r="B187" s="65"/>
      <c r="C187" s="66"/>
      <c r="D187" s="67"/>
      <c r="E187" s="88">
        <v>0</v>
      </c>
      <c r="F187" s="15"/>
      <c r="G187" s="15"/>
      <c r="H187" s="15"/>
      <c r="I187" s="51"/>
    </row>
    <row r="188" ht="24.75" customHeight="1" spans="1:9">
      <c r="A188" s="76"/>
      <c r="B188" s="77"/>
      <c r="C188" s="66"/>
      <c r="D188" s="67"/>
      <c r="E188" s="88">
        <v>0</v>
      </c>
      <c r="F188" s="15"/>
      <c r="G188" s="15"/>
      <c r="H188" s="15"/>
      <c r="I188" s="51"/>
    </row>
    <row r="189" ht="24.75" customHeight="1" spans="1:9">
      <c r="A189" s="57" t="s">
        <v>60</v>
      </c>
      <c r="B189" s="78"/>
      <c r="C189" s="79"/>
      <c r="D189" s="80"/>
      <c r="E189" s="88">
        <f>C96</f>
        <v>0</v>
      </c>
      <c r="F189" s="15"/>
      <c r="G189" s="15"/>
      <c r="H189" s="15"/>
      <c r="I189" s="51"/>
    </row>
    <row r="190" ht="24.75" customHeight="1" spans="1:9">
      <c r="A190" s="81"/>
      <c r="B190" s="82"/>
      <c r="C190" s="83" t="s">
        <v>61</v>
      </c>
      <c r="D190" s="83"/>
      <c r="E190" s="92">
        <f ca="1">(F40+E170)-(SUM(E172:E181)+SUM(E183:E189))</f>
        <v>0</v>
      </c>
      <c r="F190" s="15"/>
      <c r="G190" s="15"/>
      <c r="H190" s="15"/>
      <c r="I190" s="51"/>
    </row>
    <row r="191" ht="24.75" customHeight="1" spans="1:9">
      <c r="A191" s="15"/>
      <c r="B191" s="15"/>
      <c r="C191" s="15"/>
      <c r="D191" s="15"/>
      <c r="E191" s="15"/>
      <c r="F191" s="15"/>
      <c r="G191" s="15"/>
      <c r="H191" s="15"/>
      <c r="I191" s="51"/>
    </row>
    <row r="192" ht="24.75" customHeight="1" spans="1:9">
      <c r="A192" s="44"/>
      <c r="B192" s="44"/>
      <c r="C192" s="44"/>
      <c r="D192" s="44"/>
      <c r="E192" s="44"/>
      <c r="F192" s="44"/>
      <c r="G192" s="44"/>
      <c r="H192" s="44"/>
      <c r="I192" s="44"/>
    </row>
    <row r="193" spans="1:9">
      <c r="A193" s="44"/>
      <c r="B193" s="44"/>
      <c r="C193" s="44"/>
      <c r="D193" s="44"/>
      <c r="E193" s="44"/>
      <c r="F193" s="44"/>
      <c r="G193" s="44"/>
      <c r="H193" s="44"/>
      <c r="I193" s="44"/>
    </row>
  </sheetData>
  <sheetProtection sheet="1" formatCells="0" formatColumns="0" formatRows="0" objects="1"/>
  <protectedRanges>
    <protectedRange sqref="A10:G15 A22:G27 A34:G39 C47:C54 C57:C65 C68:C74 C77:C84 C87:C94 C118:E127 C129:E134 C145:E154 C156:E161 C172:E181 C183:E188" name="Values"/>
  </protectedRanges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1" priority="15" operator="greaterThanOrEqual">
      <formula>0</formula>
    </cfRule>
    <cfRule type="cellIs" dxfId="2" priority="14" operator="lessThan">
      <formula>0</formula>
    </cfRule>
  </conditionalFormatting>
  <conditionalFormatting sqref="C75">
    <cfRule type="cellIs" dxfId="1" priority="60" operator="equal">
      <formula>0</formula>
    </cfRule>
    <cfRule type="cellIs" dxfId="2" priority="59" operator="greaterThan">
      <formula>0</formula>
    </cfRule>
  </conditionalFormatting>
  <conditionalFormatting sqref="C77">
    <cfRule type="cellIs" dxfId="1" priority="58" operator="equal">
      <formula>0</formula>
    </cfRule>
    <cfRule type="cellIs" dxfId="2" priority="57" operator="greaterThan">
      <formula>0</formula>
    </cfRule>
  </conditionalFormatting>
  <conditionalFormatting sqref="C98">
    <cfRule type="cellIs" dxfId="2" priority="29" operator="lessThan">
      <formula>0</formula>
    </cfRule>
    <cfRule type="cellIs" dxfId="5" priority="28" operator="greaterThanOrEqual">
      <formula>0</formula>
    </cfRule>
  </conditionalFormatting>
  <conditionalFormatting sqref="E116">
    <cfRule type="cellIs" dxfId="3" priority="21" operator="greaterThanOrEqual">
      <formula>0</formula>
    </cfRule>
    <cfRule type="cellIs" dxfId="4" priority="20" operator="lessThan">
      <formula>0</formula>
    </cfRule>
  </conditionalFormatting>
  <conditionalFormatting sqref="E136">
    <cfRule type="cellIs" dxfId="3" priority="52" operator="greaterThanOrEqual">
      <formula>0</formula>
    </cfRule>
    <cfRule type="cellIs" dxfId="4" priority="51" operator="lessThan">
      <formula>0</formula>
    </cfRule>
  </conditionalFormatting>
  <conditionalFormatting sqref="E143">
    <cfRule type="cellIs" dxfId="3" priority="39" operator="greaterThanOrEqual">
      <formula>0</formula>
    </cfRule>
    <cfRule type="cellIs" dxfId="4" priority="38" operator="lessThan">
      <formula>0</formula>
    </cfRule>
  </conditionalFormatting>
  <conditionalFormatting sqref="E163">
    <cfRule type="cellIs" dxfId="3" priority="41" operator="greaterThanOrEqual">
      <formula>0</formula>
    </cfRule>
    <cfRule type="cellIs" dxfId="4" priority="40" operator="lessThan">
      <formula>0</formula>
    </cfRule>
  </conditionalFormatting>
  <conditionalFormatting sqref="E170">
    <cfRule type="cellIs" dxfId="3" priority="33" operator="greaterThanOrEqual">
      <formula>0</formula>
    </cfRule>
    <cfRule type="cellIs" dxfId="4" priority="32" operator="lessThan">
      <formula>0</formula>
    </cfRule>
  </conditionalFormatting>
  <conditionalFormatting sqref="E190">
    <cfRule type="cellIs" dxfId="3" priority="35" operator="greaterThanOrEqual">
      <formula>0</formula>
    </cfRule>
    <cfRule type="cellIs" dxfId="4" priority="34" operator="lessThan">
      <formula>0</formula>
    </cfRule>
  </conditionalFormatting>
  <conditionalFormatting sqref="C57:C66">
    <cfRule type="cellIs" dxfId="1" priority="64" operator="equal">
      <formula>0</formula>
    </cfRule>
    <cfRule type="cellIs" dxfId="2" priority="63" operator="greaterThan">
      <formula>0</formula>
    </cfRule>
  </conditionalFormatting>
  <conditionalFormatting sqref="C68:C69">
    <cfRule type="cellIs" dxfId="1" priority="62" operator="equal">
      <formula>0</formula>
    </cfRule>
    <cfRule type="cellIs" dxfId="2" priority="61" operator="greaterThan">
      <formula>0</formula>
    </cfRule>
  </conditionalFormatting>
  <conditionalFormatting sqref="C70:C74">
    <cfRule type="cellIs" dxfId="1" priority="50" operator="equal">
      <formula>0</formula>
    </cfRule>
    <cfRule type="cellIs" dxfId="2" priority="49" operator="greaterThan">
      <formula>0</formula>
    </cfRule>
  </conditionalFormatting>
  <conditionalFormatting sqref="C78:C79">
    <cfRule type="cellIs" dxfId="1" priority="19" operator="equal">
      <formula>0</formula>
    </cfRule>
    <cfRule type="cellIs" dxfId="2" priority="18" operator="greaterThan">
      <formula>0</formula>
    </cfRule>
  </conditionalFormatting>
  <conditionalFormatting sqref="C80:C84">
    <cfRule type="cellIs" dxfId="1" priority="48" operator="equal">
      <formula>0</formula>
    </cfRule>
    <cfRule type="cellIs" dxfId="2" priority="47" operator="greaterThan">
      <formula>0</formula>
    </cfRule>
  </conditionalFormatting>
  <conditionalFormatting sqref="C87:C89">
    <cfRule type="cellIs" dxfId="1" priority="56" operator="equal">
      <formula>0</formula>
    </cfRule>
    <cfRule type="cellIs" dxfId="2" priority="55" operator="greaterThan">
      <formula>0</formula>
    </cfRule>
  </conditionalFormatting>
  <conditionalFormatting sqref="C90:C91">
    <cfRule type="cellIs" dxfId="1" priority="17" operator="equal">
      <formula>0</formula>
    </cfRule>
    <cfRule type="cellIs" dxfId="2" priority="16" operator="greaterThan">
      <formula>0</formula>
    </cfRule>
  </conditionalFormatting>
  <conditionalFormatting sqref="C92:C94">
    <cfRule type="cellIs" dxfId="1" priority="46" operator="equal">
      <formula>0</formula>
    </cfRule>
    <cfRule type="cellIs" dxfId="2" priority="45" operator="greaterThan">
      <formula>0</formula>
    </cfRule>
  </conditionalFormatting>
  <conditionalFormatting sqref="C99:C109">
    <cfRule type="cellIs" dxfId="2" priority="2" operator="lessThan">
      <formula>0</formula>
    </cfRule>
    <cfRule type="cellIs" dxfId="5" priority="1" operator="greaterThanOrEqual">
      <formula>0</formula>
    </cfRule>
  </conditionalFormatting>
  <conditionalFormatting sqref="E118:E127">
    <cfRule type="cellIs" dxfId="1" priority="27" operator="lessThanOrEqual">
      <formula>0</formula>
    </cfRule>
    <cfRule type="cellIs" dxfId="2" priority="26" operator="greaterThan">
      <formula>0</formula>
    </cfRule>
  </conditionalFormatting>
  <conditionalFormatting sqref="E145:E154">
    <cfRule type="cellIs" dxfId="1" priority="6" operator="lessThanOrEqual">
      <formula>0</formula>
    </cfRule>
    <cfRule type="cellIs" dxfId="2" priority="5" operator="greaterThan">
      <formula>0</formula>
    </cfRule>
  </conditionalFormatting>
  <conditionalFormatting sqref="E172:E181">
    <cfRule type="cellIs" dxfId="1" priority="4" operator="lessThanOrEqual">
      <formula>0</formula>
    </cfRule>
    <cfRule type="cellIs" dxfId="2" priority="3" operator="greaterThan">
      <formula>0</formula>
    </cfRule>
  </conditionalFormatting>
  <conditionalFormatting sqref="C47:C55 C85 C95:C96">
    <cfRule type="cellIs" dxfId="1" priority="66" operator="equal">
      <formula>0</formula>
    </cfRule>
  </conditionalFormatting>
  <conditionalFormatting sqref="C47:C55 C85 C95:C96 E144 E155:E162">
    <cfRule type="cellIs" dxfId="2" priority="65" operator="greaterThan">
      <formula>0</formula>
    </cfRule>
  </conditionalFormatting>
  <conditionalFormatting sqref="E117 E128:E135">
    <cfRule type="cellIs" dxfId="1" priority="54" operator="equal">
      <formula>0</formula>
    </cfRule>
    <cfRule type="cellIs" dxfId="2" priority="53" operator="greaterThan">
      <formula>0</formula>
    </cfRule>
  </conditionalFormatting>
  <conditionalFormatting sqref="E144 E155:E162">
    <cfRule type="cellIs" dxfId="5" priority="42" operator="equal">
      <formula>0</formula>
    </cfRule>
  </conditionalFormatting>
  <conditionalFormatting sqref="E171 E182:E189">
    <cfRule type="cellIs" dxfId="5" priority="37" operator="equal">
      <formula>0</formula>
    </cfRule>
    <cfRule type="cellIs" dxfId="2" priority="36" operator="greaterThan">
      <formula>0</formula>
    </cfRule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8" master="" otherUserPermission="visible"/>
  <rangeList sheetStid="3" master="" otherUserPermission="visible">
    <arrUserId title="Settings" rangeCreator="" othersAccessPermission="edit"/>
    <arrUserId title="NameOfWorkSheet" rangeCreator="" othersAccessPermission="edit"/>
  </rangeList>
  <rangeList sheetStid="1" master="" otherUserPermission="visible">
    <arrUserId title="Values" rangeCreator="" othersAccessPermission="edit"/>
    <arrUserId title="Label" rangeCreator="" othersAccessPermission="edit"/>
    <arrUserId title="SubHeader" rangeCreator="" othersAccessPermission="edit"/>
  </rangeList>
  <rangeList sheetStid="2" master="" otherUserPermission="visible">
    <arrUserId title="Values" rangeCreator="" othersAccessPermission="edit"/>
  </rangeList>
  <rangeList sheetStid="4" master="" otherUserPermission="visible">
    <arrUserId title="Values" rangeCreator="" othersAccessPermission="edit"/>
  </rangeList>
  <rangeList sheetStid="5" master="" otherUserPermission="visible">
    <arrUserId title="Values" rangeCreator="" othersAccessPermission="edit"/>
  </rangeList>
  <rangeList sheetStid="6" master="" otherUserPermission="visible">
    <arrUserId title="Values" rangeCreator="" othersAccessPermission="edit"/>
  </rangeList>
  <rangeList sheetStid="7" master="" otherUserPermission="visible">
    <arrUserId title="Values" rangeCreator="" othersAccessPermission="edit"/>
  </rangeList>
  <rangeList sheetStid="8" master="" otherUserPermission="visible">
    <arrUserId title="Values" rangeCreator="" othersAccessPermission="edit"/>
  </rangeList>
  <rangeList sheetStid="9" master="" otherUserPermission="visible">
    <arrUserId title="Values" rangeCreator="" othersAccessPermission="edit"/>
  </rangeList>
  <rangeList sheetStid="10" master="" otherUserPermission="visible">
    <arrUserId title="Values" rangeCreator="" othersAccessPermission="edit"/>
  </rangeList>
  <rangeList sheetStid="11" master="" otherUserPermission="visible">
    <arrUserId title="Values" rangeCreator="" othersAccessPermission="edit"/>
  </rangeList>
  <rangeList sheetStid="12" master="" otherUserPermission="visible">
    <arrUserId title="Values" rangeCreator="" othersAccessPermission="edit"/>
  </rangeList>
  <rangeList sheetStid="13" master="" otherUserPermission="visible">
    <arrUserId title="Values" rangeCreator="" othersAccessPermission="edit"/>
  </rangeList>
  <rangeList sheetStid="14" master="" otherUserPermission="visible">
    <arrUserId title="Values" rangeCreator="" othersAccessPermission="edit"/>
  </rangeList>
  <rangeList sheetStid="15" master="" otherUserPermission="visible">
    <arrUserId title="Values" rangeCreator="" othersAccessPermission="edit"/>
  </rangeList>
  <rangeList sheetStid="16" master="" otherUserPermission="visible">
    <arrUserId title="Values" rangeCreator="" othersAccessPermission="edit"/>
  </rangeList>
  <rangeList sheetStid="17" master="" otherUserPermission="visible">
    <arrUserId title="Values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Cover Page</vt:lpstr>
      <vt:lpstr>Main</vt:lpstr>
      <vt:lpstr>Forecast_1</vt:lpstr>
      <vt:lpstr>Forecast_2</vt:lpstr>
      <vt:lpstr>Forecast_3</vt:lpstr>
      <vt:lpstr>Forecast_4</vt:lpstr>
      <vt:lpstr>Forecast_5</vt:lpstr>
      <vt:lpstr>Forecast_6</vt:lpstr>
      <vt:lpstr>Forecast_7</vt:lpstr>
      <vt:lpstr>Forecast_8</vt:lpstr>
      <vt:lpstr>Forecast_9</vt:lpstr>
      <vt:lpstr>Forecast_10</vt:lpstr>
      <vt:lpstr>Forecast_11</vt:lpstr>
      <vt:lpstr>Forecast_12</vt:lpstr>
      <vt:lpstr>Forecast_13</vt:lpstr>
      <vt:lpstr>Forecast_14</vt:lpstr>
      <vt:lpstr>Forecast_15</vt:lpstr>
      <vt:lpstr>Forecast_16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 Lun Alan Tang</cp:lastModifiedBy>
  <dcterms:created xsi:type="dcterms:W3CDTF">2025-03-04T13:27:00Z</dcterms:created>
  <dcterms:modified xsi:type="dcterms:W3CDTF">2025-04-16T18:14:39Z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DBAFD8BFD032A37AC13AC567BB79F506_42</vt:lpwstr>
  </property>
  <property fmtid="{D5CDD505-2E9C-101B-9397-08002B2CF9AE}" pid="3" name="KSOProductBuildVer">
    <vt:lpwstr>1033-6.11.0.8608</vt:lpwstr>
  </property>
</Properties>
</file>