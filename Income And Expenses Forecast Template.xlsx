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Override PartName="/customXml/itemProps1.xml" ContentType="application/vnd.openxmlformats-officedocument.customXmlProperties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metadata.xml" ContentType="application/vnd.openxmlformats-officedocument.spreadsheetml.sheetMetadata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Height="22160"/>
  </bookViews>
  <sheets>
    <sheet name="Cover Page" sheetId="18" r:id="rId1"/>
    <sheet name="Main" sheetId="3" r:id="rId2"/>
    <sheet name="Forecast_1" sheetId="1" r:id="rId3"/>
    <sheet name="Forecast_2" sheetId="2" r:id="rId4"/>
    <sheet name="Forecast_3" sheetId="4" r:id="rId5"/>
    <sheet name="Forecast_4" sheetId="5" r:id="rId6"/>
    <sheet name="Forecast_5" sheetId="6" r:id="rId7"/>
    <sheet name="Forecast_6" sheetId="7" r:id="rId8"/>
    <sheet name="Forecast_7" sheetId="8" r:id="rId9"/>
    <sheet name="Forecast_8" sheetId="9" r:id="rId10"/>
    <sheet name="Forecast_9" sheetId="10" r:id="rId11"/>
    <sheet name="Forecast_10" sheetId="11" r:id="rId12"/>
    <sheet name="Forecast_11" sheetId="12" r:id="rId13"/>
    <sheet name="Forecast_12" sheetId="13" r:id="rId14"/>
    <sheet name="Forecast_13" sheetId="14" r:id="rId15"/>
    <sheet name="Forecast_14" sheetId="15" r:id="rId16"/>
    <sheet name="Forecast_15" sheetId="16" r:id="rId17"/>
    <sheet name="Forecast_16" sheetId="17" r:id="rId1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<sst xmlns="http://schemas.openxmlformats.org/spreadsheetml/2006/main" count="1024" uniqueCount="65">
  <si>
    <t>Income Forecast</t>
  </si>
  <si>
    <t>Your Personal Finance Organizer</t>
  </si>
  <si>
    <t>Money In Terms Of
(tens, hundred, thousands, millions)</t>
  </si>
  <si>
    <t>tens</t>
  </si>
  <si>
    <t>A Month
TRUE or FALSE</t>
  </si>
  <si>
    <t>Date Range Start From
(dd/mm/yyyy)</t>
  </si>
  <si>
    <t>Date Range End To
(A month dd/mm/yyyy)</t>
  </si>
  <si>
    <t>Specify Date Range End To
(dd/mm/yyyy)
(If a month is not checked)</t>
  </si>
  <si>
    <t>Work Sheet Name</t>
  </si>
  <si>
    <t>Forecast_1</t>
  </si>
  <si>
    <t>Forecast_2</t>
  </si>
  <si>
    <t>Forecast_3</t>
  </si>
  <si>
    <t>Forecast_4</t>
  </si>
  <si>
    <t>Forecast_5</t>
  </si>
  <si>
    <t>Forecast_6</t>
  </si>
  <si>
    <t>Forecast_7</t>
  </si>
  <si>
    <t>Forecast_8</t>
  </si>
  <si>
    <t>Forecast_9</t>
  </si>
  <si>
    <t>Forecast_10</t>
  </si>
  <si>
    <t>Forecast_11</t>
  </si>
  <si>
    <t>Forecast_12</t>
  </si>
  <si>
    <t>Forecast_13</t>
  </si>
  <si>
    <t>Forecast_14</t>
  </si>
  <si>
    <t>Forecast_15</t>
  </si>
  <si>
    <t>Forecast_16</t>
  </si>
  <si>
    <t>Monthly Balance</t>
  </si>
  <si>
    <t>Quarterly Debts</t>
  </si>
  <si>
    <t xml:space="preserve">Current </t>
  </si>
  <si>
    <t>Previous</t>
  </si>
  <si>
    <t>Date</t>
  </si>
  <si>
    <t>Last Balance</t>
  </si>
  <si>
    <t>Quarter</t>
  </si>
  <si>
    <t>Debts Amount</t>
  </si>
  <si>
    <t>Assets</t>
  </si>
  <si>
    <t>Bank Account</t>
  </si>
  <si>
    <t>cash</t>
  </si>
  <si>
    <t>Unit Trusts / Charity Trusts</t>
  </si>
  <si>
    <t>Bank Cheque From Tax</t>
  </si>
  <si>
    <t>Payment System (Apps)</t>
  </si>
  <si>
    <t>Payment System (internet)</t>
  </si>
  <si>
    <t>Fixed Assest 
Properties / Data Centers</t>
  </si>
  <si>
    <t>Removable Assets</t>
  </si>
  <si>
    <t>Total</t>
  </si>
  <si>
    <t>Name</t>
  </si>
  <si>
    <t>Description</t>
  </si>
  <si>
    <t>Amount</t>
  </si>
  <si>
    <t>Total Revenue</t>
  </si>
  <si>
    <t>Mobile And Communications/ Housing Expenses</t>
  </si>
  <si>
    <t>Total Expenses</t>
  </si>
  <si>
    <t>Credit Card Installments/Government Installments</t>
  </si>
  <si>
    <t>Donation</t>
  </si>
  <si>
    <t>Insurance (Personal / Properties / Medical)</t>
  </si>
  <si>
    <t>Other Expenses</t>
  </si>
  <si>
    <t>Grand Expenses Total</t>
  </si>
  <si>
    <t>Debts</t>
  </si>
  <si>
    <t>Total Debts</t>
  </si>
  <si>
    <t>Grand Total</t>
  </si>
  <si>
    <t>Principal</t>
  </si>
  <si>
    <t>1. Direct Payback</t>
  </si>
  <si>
    <t>2. Additional Expenses</t>
  </si>
  <si>
    <t>Fixed Expense</t>
  </si>
  <si>
    <r>
      <rPr>
        <b/>
        <sz val="11"/>
        <color rgb="FFFF0000"/>
        <rFont val="Arial"/>
        <charset val="134"/>
      </rPr>
      <t>Total Debts / </t>
    </r>
    <r>
      <rPr>
        <b/>
        <sz val="11"/>
        <color rgb="FF4A86E8"/>
        <rFont val="Arial"/>
        <charset val="134"/>
      </rPr>
      <t>Credits</t>
    </r>
  </si>
  <si>
    <t>Overall</t>
  </si>
  <si>
    <t>Forecasts</t>
  </si>
  <si>
    <t>Net Debts: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</si>
</sst>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9">
    <numFmt numFmtId="41" formatCode="_-* #,##0_-;\-* #,##0_-;_-* &quot;-&quot;_-;_-@_-"/>
    <numFmt numFmtId="42" formatCode="_-&quot;£&quot;* #,##0_-;\-&quot;£&quot;* #,##0_-;_-&quot;£&quot;* &quot;-&quot;_-;_-@_-"/>
    <numFmt numFmtId="43" formatCode="_-* #,##0.00_-;\-* #,##0.00_-;_-* &quot;-&quot;??_-;_-@_-"/>
    <numFmt numFmtId="44" formatCode="_-&quot;£&quot;* #,##0.00_-;\-&quot;£&quot;* #,##0.00_-;_-&quot;£&quot;* &quot;-&quot;??_-;_-@_-"/>
    <numFmt numFmtId="176" formatCode="[$$-409]#,##0.00;[Red]\-[$$-409]#,##0.00"/>
    <numFmt numFmtId="177" formatCode="&quot;$&quot;#,##0.00_);[Red]\(&quot;$&quot;#,##0.00\)"/>
    <numFmt numFmtId="178" formatCode="&quot;$&quot;#,##0.00"/>
    <numFmt numFmtId="179" formatCode="mmm\-yy"/>
    <numFmt numFmtId="180" formatCode="[$-409]d\-mmm\-yyyy;@"/>
  </numFmts>
  <fonts count="45">
    <font>
      <sz val="12"/>
      <color theme="1"/>
      <name val="Aptos Narrow"/>
      <charset val="134"/>
      <scheme val="minor"/>
    </font>
    <font>
      <b/>
      <sz val="14"/>
      <color rgb="FF000000"/>
      <name val="Arial"/>
      <charset val="134"/>
    </font>
    <font>
      <b/>
      <sz val="11"/>
      <color rgb="FF000000"/>
      <name val="Arial"/>
      <charset val="134"/>
    </font>
    <font>
      <b/>
      <sz val="11"/>
      <color rgb="FF4A86E8"/>
      <name val="Arial"/>
      <charset val="134"/>
    </font>
    <font>
      <b/>
      <sz val="11"/>
      <color rgb="FFFF0000"/>
      <name val="Calibri"/>
      <charset val="1"/>
    </font>
    <font>
      <b/>
      <sz val="11"/>
      <color rgb="FFFF0000"/>
      <name val="Arial"/>
      <charset val="134"/>
    </font>
    <font>
      <sz val="12"/>
      <color theme="1"/>
      <name val="Arial"/>
      <charset val="134"/>
    </font>
    <font>
      <b/>
      <sz val="11"/>
      <color theme="0"/>
      <name val="Arial"/>
      <charset val="134"/>
    </font>
    <font>
      <b/>
      <sz val="11"/>
      <color rgb="FFFFFFFF"/>
      <name val="Arial"/>
      <charset val="134"/>
    </font>
    <font>
      <sz val="11"/>
      <color theme="1"/>
      <name val="Arial"/>
      <charset val="134"/>
    </font>
    <font>
      <b/>
      <sz val="12"/>
      <color rgb="FF000000"/>
      <name val="Arial"/>
      <charset val="134"/>
    </font>
    <font>
      <sz val="11"/>
      <color rgb="FF000000"/>
      <name val="Arial"/>
      <charset val="134"/>
    </font>
    <font>
      <b/>
      <sz val="12"/>
      <color rgb="FFFFFFFF"/>
      <name val="Arial"/>
      <charset val="134"/>
    </font>
    <font>
      <sz val="11"/>
      <color rgb="FF000000"/>
      <name val="Calibri"/>
      <charset val="1"/>
    </font>
    <font>
      <b/>
      <sz val="18"/>
      <color theme="1"/>
      <name val="Arial"/>
      <charset val="134"/>
    </font>
    <font>
      <b/>
      <sz val="12"/>
      <color theme="1"/>
      <name val="Arial"/>
      <charset val="134"/>
    </font>
    <font>
      <b/>
      <sz val="11"/>
      <color theme="1"/>
      <name val="Arial"/>
      <charset val="134"/>
    </font>
    <font>
      <b/>
      <sz val="12"/>
      <color theme="0"/>
      <name val="Arial"/>
      <charset val="134"/>
    </font>
    <font>
      <sz val="11"/>
      <color rgb="FF242424"/>
      <name val="Aptos Narrow"/>
      <charset val="1"/>
    </font>
    <font>
      <sz val="72"/>
      <color theme="0"/>
      <name val="Arial Black"/>
      <charset val="134"/>
    </font>
    <font>
      <i/>
      <sz val="26"/>
      <color theme="0"/>
      <name val="Arial Black"/>
      <charset val="134"/>
    </font>
    <font>
      <sz val="11"/>
      <color theme="1"/>
      <name val="Aptos Narrow"/>
      <charset val="134"/>
      <scheme val="minor"/>
    </font>
    <font>
      <u/>
      <sz val="11"/>
      <color rgb="FF0000FF"/>
      <name val="Aptos Narrow"/>
      <charset val="0"/>
      <scheme val="minor"/>
    </font>
    <font>
      <u/>
      <sz val="11"/>
      <color rgb="FF800080"/>
      <name val="Aptos Narrow"/>
      <charset val="0"/>
      <scheme val="minor"/>
    </font>
    <font>
      <sz val="11"/>
      <color rgb="FFFF0000"/>
      <name val="Aptos Narrow"/>
      <charset val="0"/>
      <scheme val="minor"/>
    </font>
    <font>
      <b/>
      <sz val="18"/>
      <color theme="3"/>
      <name val="Aptos Narrow"/>
      <charset val="134"/>
      <scheme val="minor"/>
    </font>
    <font>
      <i/>
      <sz val="11"/>
      <color rgb="FF7F7F7F"/>
      <name val="Aptos Narrow"/>
      <charset val="0"/>
      <scheme val="minor"/>
    </font>
    <font>
      <b/>
      <sz val="15"/>
      <color theme="3"/>
      <name val="Aptos Narrow"/>
      <charset val="134"/>
      <scheme val="minor"/>
    </font>
    <font>
      <b/>
      <sz val="13"/>
      <color theme="3"/>
      <name val="Aptos Narrow"/>
      <charset val="134"/>
      <scheme val="minor"/>
    </font>
    <font>
      <b/>
      <sz val="11"/>
      <color theme="3"/>
      <name val="Aptos Narrow"/>
      <charset val="134"/>
      <scheme val="minor"/>
    </font>
    <font>
      <sz val="11"/>
      <color rgb="FF3F3F76"/>
      <name val="Aptos Narrow"/>
      <charset val="0"/>
      <scheme val="minor"/>
    </font>
    <font>
      <b/>
      <sz val="11"/>
      <color rgb="FF3F3F3F"/>
      <name val="Aptos Narrow"/>
      <charset val="0"/>
      <scheme val="minor"/>
    </font>
    <font>
      <b/>
      <sz val="11"/>
      <color rgb="FFFA7D00"/>
      <name val="Aptos Narrow"/>
      <charset val="0"/>
      <scheme val="minor"/>
    </font>
    <font>
      <b/>
      <sz val="11"/>
      <color rgb="FFFFFFFF"/>
      <name val="Aptos Narrow"/>
      <charset val="0"/>
      <scheme val="minor"/>
    </font>
    <font>
      <sz val="11"/>
      <color rgb="FFFA7D00"/>
      <name val="Aptos Narrow"/>
      <charset val="0"/>
      <scheme val="minor"/>
    </font>
    <font>
      <b/>
      <sz val="11"/>
      <color theme="1"/>
      <name val="Aptos Narrow"/>
      <charset val="0"/>
      <scheme val="minor"/>
    </font>
    <font>
      <sz val="11"/>
      <color rgb="FF006100"/>
      <name val="Aptos Narrow"/>
      <charset val="0"/>
      <scheme val="minor"/>
    </font>
    <font>
      <sz val="11"/>
      <color rgb="FF9C0006"/>
      <name val="Aptos Narrow"/>
      <charset val="0"/>
      <scheme val="minor"/>
    </font>
    <font>
      <sz val="11"/>
      <color rgb="FF9C6500"/>
      <name val="Aptos Narrow"/>
      <charset val="0"/>
      <scheme val="minor"/>
    </font>
    <font>
      <sz val="11"/>
      <color theme="0"/>
      <name val="Aptos Narrow"/>
      <charset val="0"/>
      <scheme val="minor"/>
    </font>
    <font>
      <sz val="11"/>
      <color theme="1"/>
      <name val="Aptos Narrow"/>
      <charset val="0"/>
      <scheme val="minor"/>
    </font>
    <font>
      <b/>
      <sz val="11"/>
      <color rgb="FF4A86E8"/>
      <name val="Calibri"/>
      <charset val="1"/>
    </font>
    <font>
      <b/>
      <sz val="11"/>
      <color rgb="FF000000"/>
      <name val="Calibri"/>
      <charset val="1"/>
    </font>
    <font>
      <b/>
      <sz val="14"/>
      <color rgb="FF000000"/>
      <name val="Calibri"/>
      <charset val="1"/>
    </font>
    <font>
      <sz val="12"/>
      <color rgb="FFFFFFFF"/>
      <name val="Calibri"/>
      <charset val="1"/>
    </font>
  </fonts>
  <fills count="4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FF"/>
        <bgColor rgb="FFFFFFCC"/>
      </patternFill>
    </fill>
    <fill>
      <patternFill patternType="solid">
        <fgColor rgb="FF5B9BD5"/>
        <bgColor indexed="64"/>
      </patternFill>
    </fill>
    <fill>
      <patternFill patternType="solid">
        <fgColor rgb="FF5B9BD5"/>
        <bgColor rgb="FF4A86E8"/>
      </patternFill>
    </fill>
    <fill>
      <patternFill patternType="solid">
        <fgColor rgb="FF00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00"/>
        <bgColor rgb="FFFFFF00"/>
      </patternFill>
    </fill>
    <fill>
      <patternFill patternType="solid">
        <fgColor theme="3" tint="0.249977111117893"/>
        <bgColor indexed="64"/>
      </patternFill>
    </fill>
    <fill>
      <patternFill patternType="solid">
        <fgColor theme="3" tint="0.2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3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auto="1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auto="1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auto="1"/>
      </bottom>
      <diagonal/>
    </border>
    <border>
      <left/>
      <right style="thin">
        <color auto="1"/>
      </right>
      <top style="thin">
        <color rgb="FF000000"/>
      </top>
      <bottom style="thin">
        <color auto="1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rgb="FF000000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55">
    <xf numFmtId="0" fontId="0" fillId="0" borderId="0"/>
    <xf numFmtId="43" fontId="21" fillId="0" borderId="0" applyFont="0" applyFill="0" applyBorder="0" applyAlignment="0" applyProtection="0">
      <alignment vertical="center"/>
    </xf>
    <xf numFmtId="44" fontId="2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41" fontId="21" fillId="0" borderId="0" applyFont="0" applyFill="0" applyBorder="0" applyAlignment="0" applyProtection="0">
      <alignment vertical="center"/>
    </xf>
    <xf numFmtId="42" fontId="21" fillId="0" borderId="0" applyFont="0" applyFill="0" applyBorder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23" fillId="0" borderId="0" applyNumberFormat="0" applyFill="0" applyBorder="0" applyAlignment="0" applyProtection="0">
      <alignment vertical="center"/>
    </xf>
    <xf numFmtId="0" fontId="21" fillId="12" borderId="28" applyNumberFormat="0" applyFont="0" applyAlignment="0" applyProtection="0">
      <alignment vertical="center"/>
    </xf>
    <xf numFmtId="0" fontId="24" fillId="0" borderId="0" applyNumberFormat="0" applyFill="0" applyBorder="0" applyAlignment="0" applyProtection="0">
      <alignment vertical="center"/>
    </xf>
    <xf numFmtId="0" fontId="25" fillId="0" borderId="0" applyNumberFormat="0" applyFill="0" applyBorder="0" applyAlignment="0" applyProtection="0">
      <alignment vertical="center"/>
    </xf>
    <xf numFmtId="0" fontId="26" fillId="0" borderId="0" applyNumberFormat="0" applyFill="0" applyBorder="0" applyAlignment="0" applyProtection="0">
      <alignment vertical="center"/>
    </xf>
    <xf numFmtId="0" fontId="27" fillId="0" borderId="29" applyNumberFormat="0" applyFill="0" applyAlignment="0" applyProtection="0">
      <alignment vertical="center"/>
    </xf>
    <xf numFmtId="0" fontId="28" fillId="0" borderId="29" applyNumberFormat="0" applyFill="0" applyAlignment="0" applyProtection="0">
      <alignment vertical="center"/>
    </xf>
    <xf numFmtId="0" fontId="29" fillId="0" borderId="30" applyNumberFormat="0" applyFill="0" applyAlignment="0" applyProtection="0">
      <alignment vertical="center"/>
    </xf>
    <xf numFmtId="0" fontId="29" fillId="0" borderId="0" applyNumberFormat="0" applyFill="0" applyBorder="0" applyAlignment="0" applyProtection="0">
      <alignment vertical="center"/>
    </xf>
    <xf numFmtId="0" fontId="30" fillId="13" borderId="31" applyNumberFormat="0" applyAlignment="0" applyProtection="0">
      <alignment vertical="center"/>
    </xf>
    <xf numFmtId="0" fontId="31" fillId="14" borderId="32" applyNumberFormat="0" applyAlignment="0" applyProtection="0">
      <alignment vertical="center"/>
    </xf>
    <xf numFmtId="0" fontId="32" fillId="14" borderId="31" applyNumberFormat="0" applyAlignment="0" applyProtection="0">
      <alignment vertical="center"/>
    </xf>
    <xf numFmtId="0" fontId="33" fillId="15" borderId="33" applyNumberFormat="0" applyAlignment="0" applyProtection="0">
      <alignment vertical="center"/>
    </xf>
    <xf numFmtId="0" fontId="34" fillId="0" borderId="34" applyNumberFormat="0" applyFill="0" applyAlignment="0" applyProtection="0">
      <alignment vertical="center"/>
    </xf>
    <xf numFmtId="0" fontId="35" fillId="0" borderId="35" applyNumberFormat="0" applyFill="0" applyAlignment="0" applyProtection="0">
      <alignment vertical="center"/>
    </xf>
    <xf numFmtId="0" fontId="36" fillId="16" borderId="0" applyNumberFormat="0" applyBorder="0" applyAlignment="0" applyProtection="0">
      <alignment vertical="center"/>
    </xf>
    <xf numFmtId="0" fontId="37" fillId="17" borderId="0" applyNumberFormat="0" applyBorder="0" applyAlignment="0" applyProtection="0">
      <alignment vertical="center"/>
    </xf>
    <xf numFmtId="0" fontId="38" fillId="18" borderId="0" applyNumberFormat="0" applyBorder="0" applyAlignment="0" applyProtection="0">
      <alignment vertical="center"/>
    </xf>
    <xf numFmtId="0" fontId="39" fillId="19" borderId="0" applyNumberFormat="0" applyBorder="0" applyAlignment="0" applyProtection="0">
      <alignment vertical="center"/>
    </xf>
    <xf numFmtId="0" fontId="40" fillId="20" borderId="0" applyNumberFormat="0" applyBorder="0" applyAlignment="0" applyProtection="0">
      <alignment vertical="center"/>
    </xf>
    <xf numFmtId="0" fontId="40" fillId="21" borderId="0" applyNumberFormat="0" applyBorder="0" applyAlignment="0" applyProtection="0">
      <alignment vertical="center"/>
    </xf>
    <xf numFmtId="0" fontId="39" fillId="22" borderId="0" applyNumberFormat="0" applyBorder="0" applyAlignment="0" applyProtection="0">
      <alignment vertical="center"/>
    </xf>
    <xf numFmtId="0" fontId="39" fillId="23" borderId="0" applyNumberFormat="0" applyBorder="0" applyAlignment="0" applyProtection="0">
      <alignment vertical="center"/>
    </xf>
    <xf numFmtId="0" fontId="40" fillId="24" borderId="0" applyNumberFormat="0" applyBorder="0" applyAlignment="0" applyProtection="0">
      <alignment vertical="center"/>
    </xf>
    <xf numFmtId="0" fontId="40" fillId="25" borderId="0" applyNumberFormat="0" applyBorder="0" applyAlignment="0" applyProtection="0">
      <alignment vertical="center"/>
    </xf>
    <xf numFmtId="0" fontId="39" fillId="26" borderId="0" applyNumberFormat="0" applyBorder="0" applyAlignment="0" applyProtection="0">
      <alignment vertical="center"/>
    </xf>
    <xf numFmtId="0" fontId="39" fillId="27" borderId="0" applyNumberFormat="0" applyBorder="0" applyAlignment="0" applyProtection="0">
      <alignment vertical="center"/>
    </xf>
    <xf numFmtId="0" fontId="40" fillId="28" borderId="0" applyNumberFormat="0" applyBorder="0" applyAlignment="0" applyProtection="0">
      <alignment vertical="center"/>
    </xf>
    <xf numFmtId="0" fontId="40" fillId="29" borderId="0" applyNumberFormat="0" applyBorder="0" applyAlignment="0" applyProtection="0">
      <alignment vertical="center"/>
    </xf>
    <xf numFmtId="0" fontId="39" fillId="30" borderId="0" applyNumberFormat="0" applyBorder="0" applyAlignment="0" applyProtection="0">
      <alignment vertical="center"/>
    </xf>
    <xf numFmtId="0" fontId="39" fillId="31" borderId="0" applyNumberFormat="0" applyBorder="0" applyAlignment="0" applyProtection="0">
      <alignment vertical="center"/>
    </xf>
    <xf numFmtId="0" fontId="40" fillId="32" borderId="0" applyNumberFormat="0" applyBorder="0" applyAlignment="0" applyProtection="0">
      <alignment vertical="center"/>
    </xf>
    <xf numFmtId="0" fontId="40" fillId="33" borderId="0" applyNumberFormat="0" applyBorder="0" applyAlignment="0" applyProtection="0">
      <alignment vertical="center"/>
    </xf>
    <xf numFmtId="0" fontId="39" fillId="34" borderId="0" applyNumberFormat="0" applyBorder="0" applyAlignment="0" applyProtection="0">
      <alignment vertical="center"/>
    </xf>
    <xf numFmtId="0" fontId="39" fillId="35" borderId="0" applyNumberFormat="0" applyBorder="0" applyAlignment="0" applyProtection="0">
      <alignment vertical="center"/>
    </xf>
    <xf numFmtId="0" fontId="40" fillId="36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39" fillId="38" borderId="0" applyNumberFormat="0" applyBorder="0" applyAlignment="0" applyProtection="0">
      <alignment vertical="center"/>
    </xf>
    <xf numFmtId="0" fontId="39" fillId="39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1" borderId="0" applyNumberFormat="0" applyBorder="0" applyAlignment="0" applyProtection="0">
      <alignment vertical="center"/>
    </xf>
    <xf numFmtId="0" fontId="39" fillId="42" borderId="0" applyNumberFormat="0" applyBorder="0" applyAlignment="0" applyProtection="0">
      <alignment vertical="center"/>
    </xf>
    <xf numFmtId="176" fontId="41" fillId="3" borderId="36">
      <alignment horizontal="center" vertical="center"/>
    </xf>
    <xf numFmtId="49" fontId="42" fillId="0" borderId="0" applyProtection="0">
      <alignment horizontal="center" vertical="center"/>
    </xf>
    <xf numFmtId="49" fontId="13" fillId="0" borderId="0" applyProtection="0">
      <alignment horizontal="left" vertical="center"/>
    </xf>
    <xf numFmtId="49" fontId="43" fillId="9" borderId="0" applyProtection="0">
      <alignment horizontal="center" vertical="center"/>
    </xf>
    <xf numFmtId="49" fontId="44" fillId="5" borderId="0" applyBorder="0" applyProtection="0">
      <alignment horizontal="center" vertical="center"/>
    </xf>
    <xf numFmtId="49" fontId="4" fillId="0" borderId="0" applyProtection="0">
      <alignment horizontal="right" vertical="center"/>
    </xf>
  </cellStyleXfs>
  <cellXfs count="171">
    <xf numFmtId="0" fontId="0" fillId="0" borderId="0" xfId="0"/>
    <xf numFmtId="0" fontId="0" fillId="0" borderId="0" xfId="0" applyAlignment="1">
      <alignment wrapText="1"/>
    </xf>
    <xf numFmtId="0" fontId="1" fillId="2" borderId="1" xfId="0" applyFont="1" applyFill="1" applyBorder="1" applyAlignment="1">
      <alignment horizontal="center" vertical="center" wrapText="1"/>
    </xf>
    <xf numFmtId="49" fontId="2" fillId="3" borderId="2" xfId="50" applyFont="1" applyFill="1" applyBorder="1" applyAlignment="1" applyProtection="1">
      <alignment horizontal="center" vertical="center" wrapText="1"/>
    </xf>
    <xf numFmtId="49" fontId="2" fillId="3" borderId="3" xfId="50" applyFont="1" applyFill="1" applyBorder="1" applyAlignment="1" applyProtection="1">
      <alignment horizontal="center" vertical="center" wrapText="1"/>
    </xf>
    <xf numFmtId="176" fontId="3" fillId="3" borderId="2" xfId="49" applyNumberFormat="1" applyFont="1" applyBorder="1" applyAlignment="1">
      <alignment horizontal="center" vertical="center" wrapText="1"/>
    </xf>
    <xf numFmtId="49" fontId="2" fillId="3" borderId="1" xfId="50" applyFont="1" applyFill="1" applyBorder="1" applyAlignment="1" applyProtection="1">
      <alignment horizontal="center" vertical="center" wrapText="1"/>
    </xf>
    <xf numFmtId="49" fontId="2" fillId="3" borderId="4" xfId="50" applyFont="1" applyFill="1" applyBorder="1" applyAlignment="1" applyProtection="1">
      <alignment horizontal="center" vertical="center" wrapText="1"/>
    </xf>
    <xf numFmtId="176" fontId="3" fillId="3" borderId="1" xfId="49" applyFont="1" applyBorder="1" applyAlignment="1">
      <alignment horizontal="center" vertical="center" wrapText="1"/>
    </xf>
    <xf numFmtId="0" fontId="4" fillId="0" borderId="5" xfId="0" applyFont="1" applyBorder="1" applyAlignment="1">
      <alignment horizontal="right" vertical="center" wrapText="1"/>
    </xf>
    <xf numFmtId="0" fontId="4" fillId="0" borderId="6" xfId="0" applyFont="1" applyBorder="1" applyAlignment="1">
      <alignment horizontal="right" vertical="center" wrapText="1"/>
    </xf>
    <xf numFmtId="176" fontId="3" fillId="3" borderId="7" xfId="49" applyFont="1" applyBorder="1" applyAlignment="1">
      <alignment horizontal="center" vertical="center" wrapText="1"/>
    </xf>
    <xf numFmtId="0" fontId="4" fillId="0" borderId="1" xfId="0" applyFont="1" applyBorder="1" applyAlignment="1">
      <alignment horizontal="right" vertical="center" wrapText="1"/>
    </xf>
    <xf numFmtId="177" fontId="5" fillId="0" borderId="8" xfId="0" applyNumberFormat="1" applyFont="1" applyBorder="1" applyAlignment="1">
      <alignment horizontal="center" vertical="center" wrapText="1"/>
    </xf>
    <xf numFmtId="177" fontId="5" fillId="0" borderId="1" xfId="0" applyNumberFormat="1" applyFont="1" applyBorder="1" applyAlignment="1">
      <alignment horizontal="center" vertical="center" wrapText="1"/>
    </xf>
    <xf numFmtId="0" fontId="6" fillId="0" borderId="0" xfId="0" applyFont="1" applyAlignment="1">
      <alignment vertical="center" wrapText="1"/>
    </xf>
    <xf numFmtId="176" fontId="7" fillId="4" borderId="9" xfId="49" applyFont="1" applyFill="1" applyBorder="1" applyAlignment="1">
      <alignment horizontal="center" vertical="center" wrapText="1"/>
    </xf>
    <xf numFmtId="176" fontId="7" fillId="4" borderId="10" xfId="49" applyFont="1" applyFill="1" applyBorder="1" applyAlignment="1">
      <alignment horizontal="center" vertical="center" wrapText="1"/>
    </xf>
    <xf numFmtId="49" fontId="8" fillId="5" borderId="1" xfId="53" applyFont="1" applyBorder="1" applyAlignment="1" applyProtection="1">
      <alignment horizontal="center" vertical="center" wrapText="1"/>
    </xf>
    <xf numFmtId="49" fontId="2" fillId="0" borderId="1" xfId="50" applyFont="1" applyBorder="1" applyAlignment="1" applyProtection="1">
      <alignment horizontal="center" vertical="center" wrapText="1"/>
    </xf>
    <xf numFmtId="0" fontId="9" fillId="0" borderId="1" xfId="0" applyFont="1" applyBorder="1" applyAlignment="1">
      <alignment horizontal="left" vertical="center" wrapText="1"/>
    </xf>
    <xf numFmtId="0" fontId="9" fillId="0" borderId="11" xfId="0" applyFont="1" applyBorder="1" applyAlignment="1">
      <alignment horizontal="left" vertical="center" wrapText="1"/>
    </xf>
    <xf numFmtId="0" fontId="9" fillId="0" borderId="8" xfId="0" applyFont="1" applyBorder="1" applyAlignment="1">
      <alignment horizontal="left" vertical="center" wrapText="1"/>
    </xf>
    <xf numFmtId="0" fontId="9" fillId="0" borderId="11" xfId="0" applyFont="1" applyBorder="1" applyAlignment="1">
      <alignment horizontal="center" vertical="center" wrapText="1"/>
    </xf>
    <xf numFmtId="0" fontId="6" fillId="0" borderId="1" xfId="0" applyFont="1" applyBorder="1" applyAlignment="1">
      <alignment vertical="center" wrapText="1"/>
    </xf>
    <xf numFmtId="0" fontId="6" fillId="0" borderId="11" xfId="0" applyFont="1" applyBorder="1" applyAlignment="1">
      <alignment horizontal="center" vertical="center" wrapText="1"/>
    </xf>
    <xf numFmtId="0" fontId="6" fillId="0" borderId="8" xfId="0" applyFont="1" applyBorder="1" applyAlignment="1">
      <alignment horizontal="center" vertical="center" wrapText="1"/>
    </xf>
    <xf numFmtId="49" fontId="5" fillId="0" borderId="11" xfId="54" applyFont="1" applyBorder="1" applyAlignment="1" applyProtection="1">
      <alignment horizontal="right" vertical="center" wrapText="1"/>
    </xf>
    <xf numFmtId="0" fontId="1" fillId="2" borderId="11" xfId="0" applyFont="1" applyFill="1" applyBorder="1" applyAlignment="1">
      <alignment horizontal="center" vertical="center" wrapText="1"/>
    </xf>
    <xf numFmtId="0" fontId="1" fillId="2" borderId="12" xfId="0" applyFont="1" applyFill="1" applyBorder="1" applyAlignment="1">
      <alignment horizontal="center" vertical="center" wrapText="1"/>
    </xf>
    <xf numFmtId="0" fontId="1" fillId="2" borderId="8" xfId="0" applyFont="1" applyFill="1" applyBorder="1" applyAlignment="1">
      <alignment horizontal="center" vertical="center" wrapText="1"/>
    </xf>
    <xf numFmtId="0" fontId="10" fillId="6" borderId="11" xfId="0" applyFont="1" applyFill="1" applyBorder="1" applyAlignment="1">
      <alignment vertical="center" wrapText="1"/>
    </xf>
    <xf numFmtId="0" fontId="10" fillId="6" borderId="12" xfId="0" applyFont="1" applyFill="1" applyBorder="1" applyAlignment="1">
      <alignment vertical="center" wrapText="1"/>
    </xf>
    <xf numFmtId="0" fontId="10" fillId="6" borderId="8" xfId="0" applyFont="1" applyFill="1" applyBorder="1" applyAlignment="1">
      <alignment vertical="center" wrapText="1"/>
    </xf>
    <xf numFmtId="0" fontId="2" fillId="0" borderId="1" xfId="0" applyFont="1" applyBorder="1" applyAlignment="1" applyProtection="1">
      <alignment vertical="center" wrapText="1"/>
    </xf>
    <xf numFmtId="177" fontId="5" fillId="0" borderId="1" xfId="0" applyNumberFormat="1" applyFont="1" applyBorder="1" applyAlignment="1">
      <alignment vertical="center" wrapText="1"/>
    </xf>
    <xf numFmtId="0" fontId="11" fillId="0" borderId="2" xfId="0" applyFont="1" applyBorder="1" applyAlignment="1">
      <alignment vertical="center" wrapText="1"/>
    </xf>
    <xf numFmtId="0" fontId="5" fillId="0" borderId="1" xfId="0" applyFont="1" applyBorder="1" applyAlignment="1">
      <alignment horizontal="right" vertical="center" wrapText="1"/>
    </xf>
    <xf numFmtId="0" fontId="0" fillId="0" borderId="0" xfId="0" applyAlignment="1">
      <alignment vertical="center" wrapText="1"/>
    </xf>
    <xf numFmtId="176" fontId="3" fillId="3" borderId="11" xfId="49" applyFont="1" applyBorder="1" applyAlignment="1">
      <alignment horizontal="center" vertical="center" wrapText="1"/>
    </xf>
    <xf numFmtId="176" fontId="3" fillId="3" borderId="13" xfId="49" applyFont="1" applyBorder="1" applyAlignment="1">
      <alignment horizontal="center" vertical="center" wrapText="1"/>
    </xf>
    <xf numFmtId="0" fontId="9" fillId="0" borderId="8" xfId="0" applyFont="1" applyBorder="1" applyAlignment="1">
      <alignment horizontal="center" vertical="center" wrapText="1"/>
    </xf>
    <xf numFmtId="49" fontId="5" fillId="0" borderId="8" xfId="54" applyFont="1" applyBorder="1" applyAlignment="1" applyProtection="1">
      <alignment horizontal="right" vertical="center" wrapText="1"/>
    </xf>
    <xf numFmtId="176" fontId="3" fillId="3" borderId="14" xfId="49" applyFont="1" applyBorder="1" applyAlignment="1">
      <alignment horizontal="center" vertical="center" wrapText="1"/>
    </xf>
    <xf numFmtId="176" fontId="3" fillId="3" borderId="15" xfId="49" applyFont="1" applyBorder="1" applyAlignment="1">
      <alignment horizontal="center" vertical="center" wrapText="1"/>
    </xf>
    <xf numFmtId="0" fontId="6" fillId="0" borderId="0" xfId="0" applyFont="1" applyAlignment="1">
      <alignment horizontal="center" vertical="center" wrapText="1"/>
    </xf>
    <xf numFmtId="0" fontId="11" fillId="0" borderId="1" xfId="0" applyFont="1" applyBorder="1" applyAlignment="1">
      <alignment vertical="center" wrapText="1"/>
    </xf>
    <xf numFmtId="0" fontId="2" fillId="0" borderId="1" xfId="0" applyFont="1" applyBorder="1" applyAlignment="1">
      <alignment vertical="center" wrapText="1"/>
    </xf>
    <xf numFmtId="0" fontId="12" fillId="7" borderId="11" xfId="0" applyFont="1" applyFill="1" applyBorder="1" applyAlignment="1">
      <alignment horizontal="center" vertical="center" wrapText="1"/>
    </xf>
    <xf numFmtId="0" fontId="12" fillId="7" borderId="12" xfId="0" applyFont="1" applyFill="1" applyBorder="1" applyAlignment="1">
      <alignment horizontal="center" vertical="center" wrapText="1"/>
    </xf>
    <xf numFmtId="0" fontId="12" fillId="7" borderId="8" xfId="0" applyFont="1" applyFill="1" applyBorder="1" applyAlignment="1">
      <alignment horizontal="center" vertical="center" wrapText="1"/>
    </xf>
    <xf numFmtId="0" fontId="2" fillId="0" borderId="11" xfId="0" applyFont="1" applyBorder="1" applyAlignment="1">
      <alignment horizontal="center" vertical="center" wrapText="1"/>
    </xf>
    <xf numFmtId="0" fontId="2" fillId="0" borderId="12" xfId="0" applyFont="1" applyBorder="1" applyAlignment="1">
      <alignment horizontal="center" vertical="center" wrapText="1"/>
    </xf>
    <xf numFmtId="0" fontId="13" fillId="0" borderId="1" xfId="0" applyFont="1" applyBorder="1" applyAlignment="1">
      <alignment vertical="center" wrapText="1"/>
    </xf>
    <xf numFmtId="0" fontId="2" fillId="0" borderId="5" xfId="0" applyFont="1" applyBorder="1" applyAlignment="1">
      <alignment horizontal="center" vertical="center" wrapText="1"/>
    </xf>
    <xf numFmtId="0" fontId="2" fillId="0" borderId="16" xfId="0" applyFont="1" applyBorder="1" applyAlignment="1">
      <alignment horizontal="center" vertical="center" wrapText="1"/>
    </xf>
    <xf numFmtId="49" fontId="2" fillId="0" borderId="11" xfId="0" applyNumberFormat="1" applyFont="1" applyBorder="1" applyAlignment="1">
      <alignment horizontal="left" vertical="center" wrapText="1"/>
    </xf>
    <xf numFmtId="49" fontId="2" fillId="0" borderId="8" xfId="0" applyNumberFormat="1" applyFont="1" applyBorder="1" applyAlignment="1">
      <alignment horizontal="left" vertical="center" wrapText="1"/>
    </xf>
    <xf numFmtId="0" fontId="2" fillId="0" borderId="17" xfId="0" applyFont="1" applyBorder="1" applyAlignment="1">
      <alignment horizontal="center" vertical="center" wrapText="1"/>
    </xf>
    <xf numFmtId="0" fontId="2" fillId="0" borderId="18" xfId="0" applyFont="1" applyBorder="1" applyAlignment="1">
      <alignment horizontal="center" vertical="center" wrapText="1"/>
    </xf>
    <xf numFmtId="49" fontId="11" fillId="0" borderId="11" xfId="0" applyNumberFormat="1" applyFont="1" applyBorder="1" applyAlignment="1">
      <alignment horizontal="left" vertical="center" wrapText="1"/>
    </xf>
    <xf numFmtId="49" fontId="11" fillId="0" borderId="8" xfId="0" applyNumberFormat="1" applyFont="1" applyBorder="1" applyAlignment="1">
      <alignment horizontal="left" vertical="center" wrapText="1"/>
    </xf>
    <xf numFmtId="40" fontId="6" fillId="0" borderId="0" xfId="0" applyNumberFormat="1" applyFont="1" applyAlignment="1">
      <alignment vertical="center" wrapText="1"/>
    </xf>
    <xf numFmtId="0" fontId="6" fillId="0" borderId="0" xfId="0" applyNumberFormat="1" applyFont="1" applyAlignment="1">
      <alignment vertical="center" wrapText="1"/>
    </xf>
    <xf numFmtId="0" fontId="12" fillId="7" borderId="1" xfId="0" applyFont="1" applyFill="1" applyBorder="1" applyAlignment="1">
      <alignment horizontal="center" vertical="center" wrapText="1"/>
    </xf>
    <xf numFmtId="178" fontId="9" fillId="0" borderId="8" xfId="0" applyNumberFormat="1" applyFont="1" applyBorder="1" applyAlignment="1">
      <alignment vertical="center" wrapText="1"/>
    </xf>
    <xf numFmtId="0" fontId="5" fillId="0" borderId="1" xfId="0" applyNumberFormat="1" applyFont="1" applyBorder="1" applyAlignment="1">
      <alignment vertical="center" wrapText="1"/>
    </xf>
    <xf numFmtId="0" fontId="2" fillId="0" borderId="19" xfId="0" applyFont="1" applyBorder="1" applyAlignment="1">
      <alignment horizontal="center" vertical="center" wrapText="1"/>
    </xf>
    <xf numFmtId="0" fontId="2" fillId="0" borderId="20" xfId="0" applyFont="1" applyBorder="1" applyAlignment="1">
      <alignment horizontal="center" vertical="center" wrapText="1"/>
    </xf>
    <xf numFmtId="0" fontId="2" fillId="0" borderId="8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left" vertical="center" wrapText="1"/>
    </xf>
    <xf numFmtId="0" fontId="11" fillId="0" borderId="16" xfId="0" applyFont="1" applyBorder="1" applyAlignment="1">
      <alignment horizontal="left" vertical="center" wrapText="1"/>
    </xf>
    <xf numFmtId="0" fontId="11" fillId="0" borderId="11" xfId="0" applyFont="1" applyBorder="1" applyAlignment="1">
      <alignment vertical="center" wrapText="1"/>
    </xf>
    <xf numFmtId="0" fontId="11" fillId="0" borderId="12" xfId="0" applyFont="1" applyBorder="1" applyAlignment="1">
      <alignment vertical="center" wrapText="1"/>
    </xf>
    <xf numFmtId="0" fontId="12" fillId="7" borderId="5" xfId="0" applyFont="1" applyFill="1" applyBorder="1" applyAlignment="1">
      <alignment horizontal="center" vertical="center" wrapText="1"/>
    </xf>
    <xf numFmtId="0" fontId="12" fillId="7" borderId="16" xfId="0" applyFont="1" applyFill="1" applyBorder="1" applyAlignment="1">
      <alignment horizontal="center" vertical="center" wrapText="1"/>
    </xf>
    <xf numFmtId="49" fontId="2" fillId="0" borderId="19" xfId="0" applyNumberFormat="1" applyFont="1" applyBorder="1" applyAlignment="1">
      <alignment horizontal="left" vertical="center" wrapText="1"/>
    </xf>
    <xf numFmtId="49" fontId="2" fillId="0" borderId="20" xfId="0" applyNumberFormat="1" applyFont="1" applyBorder="1" applyAlignment="1">
      <alignment horizontal="left" vertical="center" wrapText="1"/>
    </xf>
    <xf numFmtId="177" fontId="5" fillId="0" borderId="7" xfId="0" applyNumberFormat="1" applyFont="1" applyBorder="1" applyAlignment="1">
      <alignment vertical="center" wrapText="1"/>
    </xf>
    <xf numFmtId="178" fontId="6" fillId="0" borderId="8" xfId="0" applyNumberFormat="1" applyFont="1" applyBorder="1" applyAlignment="1">
      <alignment vertical="center" wrapText="1"/>
    </xf>
    <xf numFmtId="0" fontId="12" fillId="7" borderId="7" xfId="0" applyFont="1" applyFill="1" applyBorder="1" applyAlignment="1">
      <alignment horizontal="center" vertical="center" wrapText="1"/>
    </xf>
    <xf numFmtId="0" fontId="5" fillId="0" borderId="2" xfId="0" applyNumberFormat="1" applyFont="1" applyBorder="1" applyAlignment="1">
      <alignment vertical="center" wrapText="1"/>
    </xf>
    <xf numFmtId="0" fontId="0" fillId="0" borderId="0" xfId="0" applyAlignment="1">
      <alignment vertical="center"/>
    </xf>
    <xf numFmtId="0" fontId="10" fillId="6" borderId="11" xfId="0" applyFont="1" applyFill="1" applyBorder="1" applyAlignment="1">
      <alignment horizontal="left" vertical="center" wrapText="1"/>
    </xf>
    <xf numFmtId="0" fontId="10" fillId="6" borderId="12" xfId="0" applyFont="1" applyFill="1" applyBorder="1" applyAlignment="1">
      <alignment horizontal="left" vertical="center" wrapText="1"/>
    </xf>
    <xf numFmtId="0" fontId="10" fillId="6" borderId="8" xfId="0" applyFont="1" applyFill="1" applyBorder="1" applyAlignment="1">
      <alignment horizontal="left" vertical="center" wrapText="1"/>
    </xf>
    <xf numFmtId="177" fontId="5" fillId="0" borderId="1" xfId="0" applyNumberFormat="1" applyFont="1" applyBorder="1" applyAlignment="1" applyProtection="1">
      <alignment vertical="center" wrapText="1"/>
    </xf>
    <xf numFmtId="0" fontId="6" fillId="0" borderId="0" xfId="0" applyFont="1"/>
    <xf numFmtId="0" fontId="6" fillId="0" borderId="0" xfId="0" applyFont="1" applyAlignment="1">
      <alignment horizontal="center"/>
    </xf>
    <xf numFmtId="0" fontId="6" fillId="0" borderId="0" xfId="0" applyFont="1" applyAlignment="1">
      <alignment horizontal="center" vertical="center"/>
    </xf>
    <xf numFmtId="0" fontId="14" fillId="8" borderId="1" xfId="0" applyFont="1" applyFill="1" applyBorder="1" applyAlignment="1">
      <alignment horizontal="center" vertical="center" wrapText="1"/>
    </xf>
    <xf numFmtId="49" fontId="1" fillId="9" borderId="21" xfId="52" applyFont="1" applyBorder="1" applyAlignment="1" applyProtection="1">
      <alignment horizontal="center" vertical="center" wrapText="1"/>
    </xf>
    <xf numFmtId="49" fontId="1" fillId="9" borderId="3" xfId="52" applyFont="1" applyBorder="1" applyAlignment="1" applyProtection="1">
      <alignment horizontal="center" vertical="center" wrapText="1"/>
    </xf>
    <xf numFmtId="49" fontId="1" fillId="9" borderId="2" xfId="52" applyFont="1" applyBorder="1" applyAlignment="1" applyProtection="1">
      <alignment horizontal="center" vertical="center" wrapText="1"/>
    </xf>
    <xf numFmtId="0" fontId="15" fillId="0" borderId="1" xfId="0" applyFont="1" applyBorder="1" applyAlignment="1">
      <alignment horizontal="center" vertical="center" wrapText="1"/>
    </xf>
    <xf numFmtId="49" fontId="2" fillId="3" borderId="22" xfId="50" applyFont="1" applyFill="1" applyBorder="1" applyAlignment="1" applyProtection="1">
      <alignment horizontal="center" vertical="center" wrapText="1"/>
    </xf>
    <xf numFmtId="176" fontId="3" fillId="3" borderId="23" xfId="49" applyNumberFormat="1" applyFont="1" applyBorder="1" applyAlignment="1">
      <alignment horizontal="center" vertical="center" wrapText="1"/>
    </xf>
    <xf numFmtId="49" fontId="2" fillId="3" borderId="5" xfId="50" applyFont="1" applyFill="1" applyBorder="1" applyAlignment="1" applyProtection="1">
      <alignment horizontal="center" vertical="center" wrapText="1"/>
    </xf>
    <xf numFmtId="49" fontId="2" fillId="3" borderId="17" xfId="50" applyFont="1" applyFill="1" applyBorder="1" applyAlignment="1" applyProtection="1">
      <alignment horizontal="center" vertical="center" wrapText="1"/>
    </xf>
    <xf numFmtId="176" fontId="3" fillId="3" borderId="23" xfId="49" applyFont="1" applyBorder="1" applyAlignment="1">
      <alignment horizontal="center" vertical="center" wrapText="1"/>
    </xf>
    <xf numFmtId="49" fontId="2" fillId="3" borderId="24" xfId="50" applyFont="1" applyFill="1" applyBorder="1" applyAlignment="1" applyProtection="1">
      <alignment horizontal="center" vertical="center" wrapText="1"/>
    </xf>
    <xf numFmtId="0" fontId="15" fillId="0" borderId="11" xfId="0" applyFont="1" applyBorder="1" applyAlignment="1">
      <alignment horizontal="center" vertical="center" wrapText="1"/>
    </xf>
    <xf numFmtId="49" fontId="5" fillId="0" borderId="1" xfId="54" applyFont="1" applyBorder="1" applyAlignment="1" applyProtection="1">
      <alignment horizontal="right" vertical="center" wrapText="1"/>
    </xf>
    <xf numFmtId="176" fontId="3" fillId="3" borderId="4" xfId="49" applyNumberFormat="1" applyFont="1" applyBorder="1" applyAlignment="1">
      <alignment horizontal="center" vertical="center" wrapText="1"/>
    </xf>
    <xf numFmtId="49" fontId="2" fillId="3" borderId="19" xfId="50" applyFont="1" applyFill="1" applyBorder="1" applyAlignment="1" applyProtection="1">
      <alignment horizontal="center" vertical="center" wrapText="1"/>
    </xf>
    <xf numFmtId="49" fontId="2" fillId="0" borderId="1" xfId="50" applyFont="1" applyBorder="1" applyAlignment="1" applyProtection="1">
      <alignment vertical="center" wrapText="1"/>
    </xf>
    <xf numFmtId="0" fontId="9" fillId="0" borderId="1" xfId="0" applyFont="1" applyBorder="1" applyAlignment="1">
      <alignment horizontal="center" vertical="center" wrapText="1"/>
    </xf>
    <xf numFmtId="0" fontId="9" fillId="0" borderId="1" xfId="0" applyFont="1" applyBorder="1" applyAlignment="1">
      <alignment vertical="center" wrapText="1"/>
    </xf>
    <xf numFmtId="0" fontId="9" fillId="0" borderId="8" xfId="0" applyFont="1" applyBorder="1" applyAlignment="1">
      <alignment vertical="center" wrapText="1"/>
    </xf>
    <xf numFmtId="0" fontId="9" fillId="0" borderId="11" xfId="0" applyFont="1" applyBorder="1" applyAlignment="1">
      <alignment vertical="center" wrapText="1"/>
    </xf>
    <xf numFmtId="0" fontId="6" fillId="0" borderId="8" xfId="0" applyFont="1" applyBorder="1" applyAlignment="1">
      <alignment vertical="center" wrapText="1"/>
    </xf>
    <xf numFmtId="0" fontId="10" fillId="6" borderId="12" xfId="0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176" fontId="3" fillId="3" borderId="1" xfId="49" applyNumberFormat="1" applyFont="1" applyBorder="1" applyAlignment="1">
      <alignment horizontal="center" vertical="center" wrapText="1"/>
    </xf>
    <xf numFmtId="49" fontId="2" fillId="3" borderId="25" xfId="50" applyFont="1" applyFill="1" applyBorder="1" applyAlignment="1" applyProtection="1">
      <alignment horizontal="center" vertical="center" wrapText="1"/>
    </xf>
    <xf numFmtId="176" fontId="3" fillId="3" borderId="11" xfId="49" applyFont="1" applyBorder="1" applyAlignment="1">
      <alignment vertical="center" wrapText="1"/>
    </xf>
    <xf numFmtId="176" fontId="3" fillId="3" borderId="13" xfId="49" applyFont="1" applyBorder="1" applyAlignment="1">
      <alignment vertical="center" wrapText="1"/>
    </xf>
    <xf numFmtId="176" fontId="3" fillId="3" borderId="14" xfId="49" applyFont="1" applyBorder="1" applyAlignment="1">
      <alignment vertical="center" wrapText="1"/>
    </xf>
    <xf numFmtId="176" fontId="3" fillId="3" borderId="15" xfId="49" applyFont="1" applyBorder="1" applyAlignment="1">
      <alignment vertical="center" wrapText="1"/>
    </xf>
    <xf numFmtId="0" fontId="14" fillId="8" borderId="7" xfId="0" applyFont="1" applyFill="1" applyBorder="1" applyAlignment="1">
      <alignment horizontal="center" vertical="center" wrapText="1"/>
    </xf>
    <xf numFmtId="49" fontId="1" fillId="9" borderId="11" xfId="52" applyFont="1" applyBorder="1" applyAlignment="1" applyProtection="1">
      <alignment horizontal="center" vertical="center" wrapText="1"/>
    </xf>
    <xf numFmtId="49" fontId="1" fillId="9" borderId="7" xfId="52" applyFont="1" applyBorder="1" applyAlignment="1" applyProtection="1">
      <alignment horizontal="center" vertical="center" wrapText="1"/>
    </xf>
    <xf numFmtId="179" fontId="16" fillId="0" borderId="19" xfId="0" applyNumberFormat="1" applyFont="1" applyBorder="1" applyAlignment="1">
      <alignment horizontal="center" vertical="center" wrapText="1"/>
    </xf>
    <xf numFmtId="177" fontId="16" fillId="0" borderId="1" xfId="0" applyNumberFormat="1" applyFont="1" applyBorder="1" applyAlignment="1">
      <alignment horizontal="center" vertical="center" wrapText="1"/>
    </xf>
    <xf numFmtId="0" fontId="16" fillId="0" borderId="11" xfId="0" applyFont="1" applyBorder="1" applyAlignment="1">
      <alignment horizontal="center" vertical="center" wrapText="1"/>
    </xf>
    <xf numFmtId="0" fontId="16" fillId="0" borderId="5" xfId="0" applyFont="1" applyBorder="1" applyAlignment="1">
      <alignment horizontal="center" vertical="center" wrapText="1"/>
    </xf>
    <xf numFmtId="177" fontId="16" fillId="0" borderId="7" xfId="0" applyNumberFormat="1" applyFont="1" applyBorder="1" applyAlignment="1">
      <alignment horizontal="center" vertical="center" wrapText="1"/>
    </xf>
    <xf numFmtId="0" fontId="16" fillId="0" borderId="1" xfId="0" applyFont="1" applyBorder="1" applyAlignment="1">
      <alignment horizontal="center" vertical="center" wrapText="1"/>
    </xf>
    <xf numFmtId="177" fontId="16" fillId="0" borderId="26" xfId="0" applyNumberFormat="1" applyFont="1" applyBorder="1" applyAlignment="1">
      <alignment horizontal="center" vertical="center" wrapText="1"/>
    </xf>
    <xf numFmtId="49" fontId="1" fillId="9" borderId="5" xfId="52" applyFont="1" applyBorder="1" applyAlignment="1" applyProtection="1">
      <alignment horizontal="center" vertical="center" wrapText="1"/>
    </xf>
    <xf numFmtId="0" fontId="16" fillId="0" borderId="7" xfId="0" applyFont="1" applyBorder="1" applyAlignment="1">
      <alignment horizontal="center" vertical="center" wrapText="1"/>
    </xf>
    <xf numFmtId="177" fontId="16" fillId="0" borderId="8" xfId="0" applyNumberFormat="1" applyFont="1" applyBorder="1" applyAlignment="1">
      <alignment horizontal="center" vertical="center" wrapText="1"/>
    </xf>
    <xf numFmtId="0" fontId="16" fillId="0" borderId="2" xfId="0" applyFont="1" applyBorder="1" applyAlignment="1">
      <alignment horizontal="center" vertical="center" wrapText="1"/>
    </xf>
    <xf numFmtId="0" fontId="12" fillId="7" borderId="0" xfId="0" applyFont="1" applyFill="1" applyAlignment="1">
      <alignment horizontal="center" vertical="center" wrapText="1"/>
    </xf>
    <xf numFmtId="0" fontId="12" fillId="7" borderId="27" xfId="0" applyFont="1" applyFill="1" applyBorder="1" applyAlignment="1">
      <alignment horizontal="center" vertical="center" wrapText="1"/>
    </xf>
    <xf numFmtId="49" fontId="2" fillId="0" borderId="11" xfId="0" applyNumberFormat="1" applyFont="1" applyBorder="1" applyAlignment="1">
      <alignment vertical="center" wrapText="1"/>
    </xf>
    <xf numFmtId="49" fontId="2" fillId="0" borderId="8" xfId="0" applyNumberFormat="1" applyFont="1" applyBorder="1" applyAlignment="1">
      <alignment vertical="center" wrapText="1"/>
    </xf>
    <xf numFmtId="49" fontId="11" fillId="0" borderId="11" xfId="0" applyNumberFormat="1" applyFont="1" applyBorder="1" applyAlignment="1">
      <alignment vertical="center" wrapText="1"/>
    </xf>
    <xf numFmtId="49" fontId="11" fillId="0" borderId="8" xfId="0" applyNumberFormat="1" applyFont="1" applyBorder="1" applyAlignment="1">
      <alignment vertical="center" wrapText="1"/>
    </xf>
    <xf numFmtId="0" fontId="11" fillId="0" borderId="5" xfId="0" applyFont="1" applyBorder="1" applyAlignment="1">
      <alignment vertical="center" wrapText="1"/>
    </xf>
    <xf numFmtId="0" fontId="11" fillId="0" borderId="16" xfId="0" applyFont="1" applyBorder="1" applyAlignment="1">
      <alignment vertical="center" wrapText="1"/>
    </xf>
    <xf numFmtId="0" fontId="11" fillId="0" borderId="12" xfId="0" applyFont="1" applyBorder="1" applyAlignment="1">
      <alignment horizontal="center" vertical="center" wrapText="1"/>
    </xf>
    <xf numFmtId="49" fontId="2" fillId="0" borderId="19" xfId="0" applyNumberFormat="1" applyFont="1" applyBorder="1" applyAlignment="1">
      <alignment vertical="center" wrapText="1"/>
    </xf>
    <xf numFmtId="49" fontId="2" fillId="0" borderId="20" xfId="0" applyNumberFormat="1" applyFont="1" applyBorder="1" applyAlignment="1">
      <alignment vertical="center" wrapText="1"/>
    </xf>
    <xf numFmtId="0" fontId="5" fillId="0" borderId="1" xfId="0" applyNumberFormat="1" applyFont="1" applyBorder="1" applyAlignment="1">
      <alignment horizontal="center" vertical="center" wrapText="1"/>
    </xf>
    <xf numFmtId="177" fontId="5" fillId="0" borderId="7" xfId="0" applyNumberFormat="1" applyFont="1" applyBorder="1" applyAlignment="1">
      <alignment horizontal="center" vertical="center" wrapText="1"/>
    </xf>
    <xf numFmtId="178" fontId="6" fillId="0" borderId="8" xfId="0" applyNumberFormat="1" applyFont="1" applyBorder="1" applyAlignment="1">
      <alignment horizontal="center" vertical="center" wrapText="1"/>
    </xf>
    <xf numFmtId="0" fontId="5" fillId="0" borderId="2" xfId="0" applyNumberFormat="1" applyFont="1" applyBorder="1" applyAlignment="1">
      <alignment horizontal="center" vertical="center" wrapText="1"/>
    </xf>
    <xf numFmtId="178" fontId="9" fillId="0" borderId="8" xfId="0" applyNumberFormat="1" applyFont="1" applyBorder="1" applyAlignment="1">
      <alignment horizontal="center" vertical="center" wrapText="1"/>
    </xf>
    <xf numFmtId="0" fontId="9" fillId="0" borderId="0" xfId="0" applyFont="1"/>
    <xf numFmtId="0" fontId="17" fillId="10" borderId="7" xfId="0" applyFont="1" applyFill="1" applyBorder="1" applyAlignment="1">
      <alignment horizontal="center" vertical="center" wrapText="1"/>
    </xf>
    <xf numFmtId="0" fontId="9" fillId="0" borderId="7" xfId="0" applyFont="1" applyBorder="1" applyAlignment="1">
      <alignment horizontal="center" vertical="center"/>
    </xf>
    <xf numFmtId="0" fontId="17" fillId="10" borderId="1" xfId="0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/>
    </xf>
    <xf numFmtId="0" fontId="17" fillId="10" borderId="26" xfId="0" applyFont="1" applyFill="1" applyBorder="1" applyAlignment="1">
      <alignment horizontal="center" vertical="center" wrapText="1"/>
    </xf>
    <xf numFmtId="180" fontId="9" fillId="0" borderId="26" xfId="0" applyNumberFormat="1" applyFont="1" applyBorder="1" applyAlignment="1">
      <alignment horizontal="center" vertical="center" wrapText="1"/>
    </xf>
    <xf numFmtId="180" fontId="9" fillId="0" borderId="7" xfId="0" applyNumberFormat="1" applyFont="1" applyBorder="1" applyAlignment="1">
      <alignment horizontal="center" vertical="center" wrapText="1"/>
    </xf>
    <xf numFmtId="180" fontId="9" fillId="0" borderId="1" xfId="0" applyNumberFormat="1" applyFont="1" applyBorder="1" applyAlignment="1">
      <alignment horizontal="center" vertical="center" wrapText="1"/>
    </xf>
    <xf numFmtId="0" fontId="9" fillId="0" borderId="0" xfId="0" applyFont="1" applyAlignment="1">
      <alignment wrapText="1"/>
    </xf>
    <xf numFmtId="0" fontId="9" fillId="0" borderId="0" xfId="0" applyFont="1" applyAlignment="1">
      <alignment horizontal="center" vertical="center"/>
    </xf>
    <xf numFmtId="0" fontId="17" fillId="10" borderId="1" xfId="0" applyFont="1" applyFill="1" applyBorder="1" applyAlignment="1">
      <alignment horizontal="center" vertical="center"/>
    </xf>
    <xf numFmtId="179" fontId="9" fillId="0" borderId="2" xfId="0" applyNumberFormat="1" applyFont="1" applyBorder="1" applyAlignment="1">
      <alignment horizontal="center" vertical="center"/>
    </xf>
    <xf numFmtId="0" fontId="9" fillId="0" borderId="26" xfId="0" applyFont="1" applyBorder="1" applyAlignment="1">
      <alignment horizontal="center" vertical="center" wrapText="1"/>
    </xf>
    <xf numFmtId="0" fontId="9" fillId="0" borderId="2" xfId="0" applyFont="1" applyBorder="1" applyAlignment="1">
      <alignment horizontal="center" vertical="center" wrapText="1"/>
    </xf>
    <xf numFmtId="0" fontId="9" fillId="0" borderId="26" xfId="0" applyFont="1" applyBorder="1" applyAlignment="1">
      <alignment horizontal="center" vertical="center"/>
    </xf>
    <xf numFmtId="0" fontId="9" fillId="0" borderId="2" xfId="0" applyFont="1" applyBorder="1" applyAlignment="1">
      <alignment horizontal="center" vertical="center"/>
    </xf>
    <xf numFmtId="0" fontId="18" fillId="0" borderId="7" xfId="0" applyFont="1" applyBorder="1" applyAlignment="1">
      <alignment horizontal="center" vertical="center"/>
    </xf>
    <xf numFmtId="0" fontId="9" fillId="0" borderId="5" xfId="0" applyFont="1" applyBorder="1" applyAlignment="1">
      <alignment horizontal="center" vertical="center"/>
    </xf>
    <xf numFmtId="0" fontId="9" fillId="0" borderId="11" xfId="0" applyFont="1" applyBorder="1" applyAlignment="1">
      <alignment horizontal="center" vertical="center"/>
    </xf>
    <xf numFmtId="0" fontId="19" fillId="11" borderId="0" xfId="0" applyFont="1" applyFill="1" applyBorder="1" applyAlignment="1">
      <alignment horizontal="center"/>
    </xf>
    <xf numFmtId="0" fontId="20" fillId="11" borderId="0" xfId="0" applyFont="1" applyFill="1" applyBorder="1" applyAlignment="1">
      <alignment horizontal="center" vertical="top"/>
    </xf>
  </cellXfs>
  <cellStyles count="55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Hyper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Currency Value" xfId="49"/>
    <cellStyle name="Item Label" xfId="50"/>
    <cellStyle name="Item Text" xfId="51"/>
    <cellStyle name="Legend Sub Header" xfId="52"/>
    <cellStyle name="Revenue Header Font" xfId="53"/>
    <cellStyle name="Total Label" xfId="54"/>
  </cellStyles>
  <dxfs count="5">
    <dxf>
      <font>
        <color theme="3" tint="0.499984740745262"/>
      </font>
      <fill>
        <patternFill patternType="solid">
          <bgColor theme="0"/>
        </patternFill>
      </fill>
    </dxf>
    <dxf>
      <font>
        <color rgb="FFFF0000"/>
      </font>
      <fill>
        <patternFill patternType="solid">
          <bgColor theme="0"/>
        </patternFill>
      </fill>
    </dxf>
    <dxf>
      <font>
        <color rgb="FF5B9BD5"/>
      </font>
      <fill>
        <patternFill patternType="solid">
          <bgColor theme="0"/>
        </patternFill>
      </fill>
    </dxf>
    <dxf>
      <font>
        <b val="1"/>
        <i val="0"/>
        <color rgb="FF5B9BD5"/>
      </font>
      <fill>
        <patternFill patternType="solid">
          <bgColor theme="0"/>
        </patternFill>
      </fill>
    </dxf>
    <dxf>
      <font>
        <b val="1"/>
        <i val="0"/>
        <color rgb="FFFF0000"/>
      </font>
      <fill>
        <patternFill patternType="solid">
          <bgColor theme="0"/>
        </patternFill>
      </fill>
    </dxf>
  </dxfs>
  <tableStyles count="0" defaultTableStyle="TableStyleMedium2" defaultPivotStyle="PivotStyleMedium9"/>
  <colors>
    <mruColors>
      <color rgb="005B9BD5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3" Type="http://schemas.openxmlformats.org/officeDocument/2006/relationships/styles" Target="styles.xml"/><Relationship Id="rId22" Type="http://schemas.openxmlformats.org/officeDocument/2006/relationships/sheetMetadata" Target="metadata.xml"/><Relationship Id="rId21" Type="http://schemas.openxmlformats.org/officeDocument/2006/relationships/sharedStrings" Target="sharedStrings.xml"/><Relationship Id="rId20" Type="http://schemas.openxmlformats.org/officeDocument/2006/relationships/theme" Target="theme/theme1.xml"/><Relationship Id="rId2" Type="http://schemas.openxmlformats.org/officeDocument/2006/relationships/worksheet" Target="worksheets/sheet2.xml"/><Relationship Id="rId19" Type="http://schemas.openxmlformats.org/officeDocument/2006/relationships/customXml" Target="../customXml/item1.xml"/><Relationship Id="rId18" Type="http://schemas.openxmlformats.org/officeDocument/2006/relationships/worksheet" Target="worksheets/sheet18.xml"/><Relationship Id="rId17" Type="http://schemas.openxmlformats.org/officeDocument/2006/relationships/worksheet" Target="worksheets/sheet17.xml"/><Relationship Id="rId16" Type="http://schemas.openxmlformats.org/officeDocument/2006/relationships/worksheet" Target="worksheets/sheet16.xml"/><Relationship Id="rId15" Type="http://schemas.openxmlformats.org/officeDocument/2006/relationships/worksheet" Target="worksheets/sheet15.xml"/><Relationship Id="rId14" Type="http://schemas.openxmlformats.org/officeDocument/2006/relationships/worksheet" Target="worksheets/sheet14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Z62"/>
  <sheetViews>
    <sheetView tabSelected="1" workbookViewId="0">
      <selection activeCell="AB39" sqref="AB39"/>
    </sheetView>
  </sheetViews>
  <sheetFormatPr defaultColWidth="8.875" defaultRowHeight="17.6"/>
  <sheetData>
    <row r="1" spans="1:26">
      <c r="A1" s="169" t="s">
        <v>0</v>
      </c>
      <c r="B1" s="169"/>
      <c r="C1" s="169"/>
      <c r="D1" s="169"/>
      <c r="E1" s="169"/>
      <c r="F1" s="169"/>
      <c r="G1" s="169"/>
      <c r="H1" s="169"/>
      <c r="I1" s="169"/>
      <c r="J1" s="169"/>
      <c r="K1" s="169"/>
      <c r="L1" s="169"/>
      <c r="M1" s="169"/>
      <c r="N1" s="169"/>
      <c r="O1" s="169"/>
      <c r="P1" s="169"/>
      <c r="Q1" s="169"/>
      <c r="R1" s="169"/>
      <c r="S1" s="169"/>
      <c r="T1" s="169"/>
      <c r="U1" s="169"/>
      <c r="V1" s="169"/>
      <c r="W1" s="169"/>
      <c r="X1" s="169"/>
      <c r="Y1" s="169"/>
      <c r="Z1" s="169"/>
    </row>
    <row r="2" spans="1:26">
      <c r="A2" s="169"/>
      <c r="B2" s="169"/>
      <c r="C2" s="169"/>
      <c r="D2" s="169"/>
      <c r="E2" s="169"/>
      <c r="F2" s="169"/>
      <c r="G2" s="169"/>
      <c r="H2" s="169"/>
      <c r="I2" s="169"/>
      <c r="J2" s="169"/>
      <c r="K2" s="169"/>
      <c r="L2" s="169"/>
      <c r="M2" s="169"/>
      <c r="N2" s="169"/>
      <c r="O2" s="169"/>
      <c r="P2" s="169"/>
      <c r="Q2" s="169"/>
      <c r="R2" s="169"/>
      <c r="S2" s="169"/>
      <c r="T2" s="169"/>
      <c r="U2" s="169"/>
      <c r="V2" s="169"/>
      <c r="W2" s="169"/>
      <c r="X2" s="169"/>
      <c r="Y2" s="169"/>
      <c r="Z2" s="169"/>
    </row>
    <row r="3" spans="1:26">
      <c r="A3" s="169"/>
      <c r="B3" s="169"/>
      <c r="C3" s="169"/>
      <c r="D3" s="169"/>
      <c r="E3" s="169"/>
      <c r="F3" s="169"/>
      <c r="G3" s="169"/>
      <c r="H3" s="169"/>
      <c r="I3" s="169"/>
      <c r="J3" s="169"/>
      <c r="K3" s="169"/>
      <c r="L3" s="169"/>
      <c r="M3" s="169"/>
      <c r="N3" s="169"/>
      <c r="O3" s="169"/>
      <c r="P3" s="169"/>
      <c r="Q3" s="169"/>
      <c r="R3" s="169"/>
      <c r="S3" s="169"/>
      <c r="T3" s="169"/>
      <c r="U3" s="169"/>
      <c r="V3" s="169"/>
      <c r="W3" s="169"/>
      <c r="X3" s="169"/>
      <c r="Y3" s="169"/>
      <c r="Z3" s="169"/>
    </row>
    <row r="4" spans="1:26">
      <c r="A4" s="169"/>
      <c r="B4" s="169"/>
      <c r="C4" s="169"/>
      <c r="D4" s="169"/>
      <c r="E4" s="169"/>
      <c r="F4" s="169"/>
      <c r="G4" s="169"/>
      <c r="H4" s="169"/>
      <c r="I4" s="169"/>
      <c r="J4" s="169"/>
      <c r="K4" s="169"/>
      <c r="L4" s="169"/>
      <c r="M4" s="169"/>
      <c r="N4" s="169"/>
      <c r="O4" s="169"/>
      <c r="P4" s="169"/>
      <c r="Q4" s="169"/>
      <c r="R4" s="169"/>
      <c r="S4" s="169"/>
      <c r="T4" s="169"/>
      <c r="U4" s="169"/>
      <c r="V4" s="169"/>
      <c r="W4" s="169"/>
      <c r="X4" s="169"/>
      <c r="Y4" s="169"/>
      <c r="Z4" s="169"/>
    </row>
    <row r="5" spans="1:26">
      <c r="A5" s="169"/>
      <c r="B5" s="169"/>
      <c r="C5" s="169"/>
      <c r="D5" s="169"/>
      <c r="E5" s="169"/>
      <c r="F5" s="169"/>
      <c r="G5" s="169"/>
      <c r="H5" s="169"/>
      <c r="I5" s="169"/>
      <c r="J5" s="169"/>
      <c r="K5" s="169"/>
      <c r="L5" s="169"/>
      <c r="M5" s="169"/>
      <c r="N5" s="169"/>
      <c r="O5" s="169"/>
      <c r="P5" s="169"/>
      <c r="Q5" s="169"/>
      <c r="R5" s="169"/>
      <c r="S5" s="169"/>
      <c r="T5" s="169"/>
      <c r="U5" s="169"/>
      <c r="V5" s="169"/>
      <c r="W5" s="169"/>
      <c r="X5" s="169"/>
      <c r="Y5" s="169"/>
      <c r="Z5" s="169"/>
    </row>
    <row r="6" spans="1:26">
      <c r="A6" s="169"/>
      <c r="B6" s="169"/>
      <c r="C6" s="169"/>
      <c r="D6" s="169"/>
      <c r="E6" s="169"/>
      <c r="F6" s="169"/>
      <c r="G6" s="169"/>
      <c r="H6" s="169"/>
      <c r="I6" s="169"/>
      <c r="J6" s="169"/>
      <c r="K6" s="169"/>
      <c r="L6" s="169"/>
      <c r="M6" s="169"/>
      <c r="N6" s="169"/>
      <c r="O6" s="169"/>
      <c r="P6" s="169"/>
      <c r="Q6" s="169"/>
      <c r="R6" s="169"/>
      <c r="S6" s="169"/>
      <c r="T6" s="169"/>
      <c r="U6" s="169"/>
      <c r="V6" s="169"/>
      <c r="W6" s="169"/>
      <c r="X6" s="169"/>
      <c r="Y6" s="169"/>
      <c r="Z6" s="169"/>
    </row>
    <row r="7" spans="1:26">
      <c r="A7" s="169"/>
      <c r="B7" s="169"/>
      <c r="C7" s="169"/>
      <c r="D7" s="169"/>
      <c r="E7" s="169"/>
      <c r="F7" s="169"/>
      <c r="G7" s="169"/>
      <c r="H7" s="169"/>
      <c r="I7" s="169"/>
      <c r="J7" s="169"/>
      <c r="K7" s="169"/>
      <c r="L7" s="169"/>
      <c r="M7" s="169"/>
      <c r="N7" s="169"/>
      <c r="O7" s="169"/>
      <c r="P7" s="169"/>
      <c r="Q7" s="169"/>
      <c r="R7" s="169"/>
      <c r="S7" s="169"/>
      <c r="T7" s="169"/>
      <c r="U7" s="169"/>
      <c r="V7" s="169"/>
      <c r="W7" s="169"/>
      <c r="X7" s="169"/>
      <c r="Y7" s="169"/>
      <c r="Z7" s="169"/>
    </row>
    <row r="8" spans="1:26">
      <c r="A8" s="169"/>
      <c r="B8" s="169"/>
      <c r="C8" s="169"/>
      <c r="D8" s="169"/>
      <c r="E8" s="169"/>
      <c r="F8" s="169"/>
      <c r="G8" s="169"/>
      <c r="H8" s="169"/>
      <c r="I8" s="169"/>
      <c r="J8" s="169"/>
      <c r="K8" s="169"/>
      <c r="L8" s="169"/>
      <c r="M8" s="169"/>
      <c r="N8" s="169"/>
      <c r="O8" s="169"/>
      <c r="P8" s="169"/>
      <c r="Q8" s="169"/>
      <c r="R8" s="169"/>
      <c r="S8" s="169"/>
      <c r="T8" s="169"/>
      <c r="U8" s="169"/>
      <c r="V8" s="169"/>
      <c r="W8" s="169"/>
      <c r="X8" s="169"/>
      <c r="Y8" s="169"/>
      <c r="Z8" s="169"/>
    </row>
    <row r="9" spans="1:26">
      <c r="A9" s="169"/>
      <c r="B9" s="169"/>
      <c r="C9" s="169"/>
      <c r="D9" s="169"/>
      <c r="E9" s="169"/>
      <c r="F9" s="169"/>
      <c r="G9" s="169"/>
      <c r="H9" s="169"/>
      <c r="I9" s="169"/>
      <c r="J9" s="169"/>
      <c r="K9" s="169"/>
      <c r="L9" s="169"/>
      <c r="M9" s="169"/>
      <c r="N9" s="169"/>
      <c r="O9" s="169"/>
      <c r="P9" s="169"/>
      <c r="Q9" s="169"/>
      <c r="R9" s="169"/>
      <c r="S9" s="169"/>
      <c r="T9" s="169"/>
      <c r="U9" s="169"/>
      <c r="V9" s="169"/>
      <c r="W9" s="169"/>
      <c r="X9" s="169"/>
      <c r="Y9" s="169"/>
      <c r="Z9" s="169"/>
    </row>
    <row r="10" spans="1:26">
      <c r="A10" s="169"/>
      <c r="B10" s="169"/>
      <c r="C10" s="169"/>
      <c r="D10" s="169"/>
      <c r="E10" s="169"/>
      <c r="F10" s="169"/>
      <c r="G10" s="169"/>
      <c r="H10" s="169"/>
      <c r="I10" s="169"/>
      <c r="J10" s="169"/>
      <c r="K10" s="169"/>
      <c r="L10" s="169"/>
      <c r="M10" s="169"/>
      <c r="N10" s="169"/>
      <c r="O10" s="169"/>
      <c r="P10" s="169"/>
      <c r="Q10" s="169"/>
      <c r="R10" s="169"/>
      <c r="S10" s="169"/>
      <c r="T10" s="169"/>
      <c r="U10" s="169"/>
      <c r="V10" s="169"/>
      <c r="W10" s="169"/>
      <c r="X10" s="169"/>
      <c r="Y10" s="169"/>
      <c r="Z10" s="169"/>
    </row>
    <row r="11" spans="1:26">
      <c r="A11" s="169"/>
      <c r="B11" s="169"/>
      <c r="C11" s="169"/>
      <c r="D11" s="169"/>
      <c r="E11" s="169"/>
      <c r="F11" s="169"/>
      <c r="G11" s="169"/>
      <c r="H11" s="169"/>
      <c r="I11" s="169"/>
      <c r="J11" s="169"/>
      <c r="K11" s="169"/>
      <c r="L11" s="169"/>
      <c r="M11" s="169"/>
      <c r="N11" s="169"/>
      <c r="O11" s="169"/>
      <c r="P11" s="169"/>
      <c r="Q11" s="169"/>
      <c r="R11" s="169"/>
      <c r="S11" s="169"/>
      <c r="T11" s="169"/>
      <c r="U11" s="169"/>
      <c r="V11" s="169"/>
      <c r="W11" s="169"/>
      <c r="X11" s="169"/>
      <c r="Y11" s="169"/>
      <c r="Z11" s="169"/>
    </row>
    <row r="12" spans="1:26">
      <c r="A12" s="169"/>
      <c r="B12" s="169"/>
      <c r="C12" s="169"/>
      <c r="D12" s="169"/>
      <c r="E12" s="169"/>
      <c r="F12" s="169"/>
      <c r="G12" s="169"/>
      <c r="H12" s="169"/>
      <c r="I12" s="169"/>
      <c r="J12" s="169"/>
      <c r="K12" s="169"/>
      <c r="L12" s="169"/>
      <c r="M12" s="169"/>
      <c r="N12" s="169"/>
      <c r="O12" s="169"/>
      <c r="P12" s="169"/>
      <c r="Q12" s="169"/>
      <c r="R12" s="169"/>
      <c r="S12" s="169"/>
      <c r="T12" s="169"/>
      <c r="U12" s="169"/>
      <c r="V12" s="169"/>
      <c r="W12" s="169"/>
      <c r="X12" s="169"/>
      <c r="Y12" s="169"/>
      <c r="Z12" s="169"/>
    </row>
    <row r="13" spans="1:26">
      <c r="A13" s="169"/>
      <c r="B13" s="169"/>
      <c r="C13" s="169"/>
      <c r="D13" s="169"/>
      <c r="E13" s="169"/>
      <c r="F13" s="169"/>
      <c r="G13" s="169"/>
      <c r="H13" s="169"/>
      <c r="I13" s="169"/>
      <c r="J13" s="169"/>
      <c r="K13" s="169"/>
      <c r="L13" s="169"/>
      <c r="M13" s="169"/>
      <c r="N13" s="169"/>
      <c r="O13" s="169"/>
      <c r="P13" s="169"/>
      <c r="Q13" s="169"/>
      <c r="R13" s="169"/>
      <c r="S13" s="169"/>
      <c r="T13" s="169"/>
      <c r="U13" s="169"/>
      <c r="V13" s="169"/>
      <c r="W13" s="169"/>
      <c r="X13" s="169"/>
      <c r="Y13" s="169"/>
      <c r="Z13" s="169"/>
    </row>
    <row r="14" spans="1:26">
      <c r="A14" s="169"/>
      <c r="B14" s="169"/>
      <c r="C14" s="169"/>
      <c r="D14" s="169"/>
      <c r="E14" s="169"/>
      <c r="F14" s="169"/>
      <c r="G14" s="169"/>
      <c r="H14" s="169"/>
      <c r="I14" s="169"/>
      <c r="J14" s="169"/>
      <c r="K14" s="169"/>
      <c r="L14" s="169"/>
      <c r="M14" s="169"/>
      <c r="N14" s="169"/>
      <c r="O14" s="169"/>
      <c r="P14" s="169"/>
      <c r="Q14" s="169"/>
      <c r="R14" s="169"/>
      <c r="S14" s="169"/>
      <c r="T14" s="169"/>
      <c r="U14" s="169"/>
      <c r="V14" s="169"/>
      <c r="W14" s="169"/>
      <c r="X14" s="169"/>
      <c r="Y14" s="169"/>
      <c r="Z14" s="169"/>
    </row>
    <row r="15" spans="1:26">
      <c r="A15" s="169"/>
      <c r="B15" s="169"/>
      <c r="C15" s="169"/>
      <c r="D15" s="169"/>
      <c r="E15" s="169"/>
      <c r="F15" s="169"/>
      <c r="G15" s="169"/>
      <c r="H15" s="169"/>
      <c r="I15" s="169"/>
      <c r="J15" s="169"/>
      <c r="K15" s="169"/>
      <c r="L15" s="169"/>
      <c r="M15" s="169"/>
      <c r="N15" s="169"/>
      <c r="O15" s="169"/>
      <c r="P15" s="169"/>
      <c r="Q15" s="169"/>
      <c r="R15" s="169"/>
      <c r="S15" s="169"/>
      <c r="T15" s="169"/>
      <c r="U15" s="169"/>
      <c r="V15" s="169"/>
      <c r="W15" s="169"/>
      <c r="X15" s="169"/>
      <c r="Y15" s="169"/>
      <c r="Z15" s="169"/>
    </row>
    <row r="16" spans="1:26">
      <c r="A16" s="169"/>
      <c r="B16" s="169"/>
      <c r="C16" s="169"/>
      <c r="D16" s="169"/>
      <c r="E16" s="169"/>
      <c r="F16" s="169"/>
      <c r="G16" s="169"/>
      <c r="H16" s="169"/>
      <c r="I16" s="169"/>
      <c r="J16" s="169"/>
      <c r="K16" s="169"/>
      <c r="L16" s="169"/>
      <c r="M16" s="169"/>
      <c r="N16" s="169"/>
      <c r="O16" s="169"/>
      <c r="P16" s="169"/>
      <c r="Q16" s="169"/>
      <c r="R16" s="169"/>
      <c r="S16" s="169"/>
      <c r="T16" s="169"/>
      <c r="U16" s="169"/>
      <c r="V16" s="169"/>
      <c r="W16" s="169"/>
      <c r="X16" s="169"/>
      <c r="Y16" s="169"/>
      <c r="Z16" s="169"/>
    </row>
    <row r="17" spans="1:26">
      <c r="A17" s="169"/>
      <c r="B17" s="169"/>
      <c r="C17" s="169"/>
      <c r="D17" s="169"/>
      <c r="E17" s="169"/>
      <c r="F17" s="169"/>
      <c r="G17" s="169"/>
      <c r="H17" s="169"/>
      <c r="I17" s="169"/>
      <c r="J17" s="169"/>
      <c r="K17" s="169"/>
      <c r="L17" s="169"/>
      <c r="M17" s="169"/>
      <c r="N17" s="169"/>
      <c r="O17" s="169"/>
      <c r="P17" s="169"/>
      <c r="Q17" s="169"/>
      <c r="R17" s="169"/>
      <c r="S17" s="169"/>
      <c r="T17" s="169"/>
      <c r="U17" s="169"/>
      <c r="V17" s="169"/>
      <c r="W17" s="169"/>
      <c r="X17" s="169"/>
      <c r="Y17" s="169"/>
      <c r="Z17" s="169"/>
    </row>
    <row r="18" spans="1:26">
      <c r="A18" s="169"/>
      <c r="B18" s="169"/>
      <c r="C18" s="169"/>
      <c r="D18" s="169"/>
      <c r="E18" s="169"/>
      <c r="F18" s="169"/>
      <c r="G18" s="169"/>
      <c r="H18" s="169"/>
      <c r="I18" s="169"/>
      <c r="J18" s="169"/>
      <c r="K18" s="169"/>
      <c r="L18" s="169"/>
      <c r="M18" s="169"/>
      <c r="N18" s="169"/>
      <c r="O18" s="169"/>
      <c r="P18" s="169"/>
      <c r="Q18" s="169"/>
      <c r="R18" s="169"/>
      <c r="S18" s="169"/>
      <c r="T18" s="169"/>
      <c r="U18" s="169"/>
      <c r="V18" s="169"/>
      <c r="W18" s="169"/>
      <c r="X18" s="169"/>
      <c r="Y18" s="169"/>
      <c r="Z18" s="169"/>
    </row>
    <row r="19" spans="1:26">
      <c r="A19" s="169"/>
      <c r="B19" s="169"/>
      <c r="C19" s="169"/>
      <c r="D19" s="169"/>
      <c r="E19" s="169"/>
      <c r="F19" s="169"/>
      <c r="G19" s="169"/>
      <c r="H19" s="169"/>
      <c r="I19" s="169"/>
      <c r="J19" s="169"/>
      <c r="K19" s="169"/>
      <c r="L19" s="169"/>
      <c r="M19" s="169"/>
      <c r="N19" s="169"/>
      <c r="O19" s="169"/>
      <c r="P19" s="169"/>
      <c r="Q19" s="169"/>
      <c r="R19" s="169"/>
      <c r="S19" s="169"/>
      <c r="T19" s="169"/>
      <c r="U19" s="169"/>
      <c r="V19" s="169"/>
      <c r="W19" s="169"/>
      <c r="X19" s="169"/>
      <c r="Y19" s="169"/>
      <c r="Z19" s="169"/>
    </row>
    <row r="20" spans="1:26">
      <c r="A20" s="169"/>
      <c r="B20" s="169"/>
      <c r="C20" s="169"/>
      <c r="D20" s="169"/>
      <c r="E20" s="169"/>
      <c r="F20" s="169"/>
      <c r="G20" s="169"/>
      <c r="H20" s="169"/>
      <c r="I20" s="169"/>
      <c r="J20" s="169"/>
      <c r="K20" s="169"/>
      <c r="L20" s="169"/>
      <c r="M20" s="169"/>
      <c r="N20" s="169"/>
      <c r="O20" s="169"/>
      <c r="P20" s="169"/>
      <c r="Q20" s="169"/>
      <c r="R20" s="169"/>
      <c r="S20" s="169"/>
      <c r="T20" s="169"/>
      <c r="U20" s="169"/>
      <c r="V20" s="169"/>
      <c r="W20" s="169"/>
      <c r="X20" s="169"/>
      <c r="Y20" s="169"/>
      <c r="Z20" s="169"/>
    </row>
    <row r="21" spans="1:26">
      <c r="A21" s="169"/>
      <c r="B21" s="169"/>
      <c r="C21" s="169"/>
      <c r="D21" s="169"/>
      <c r="E21" s="169"/>
      <c r="F21" s="169"/>
      <c r="G21" s="169"/>
      <c r="H21" s="169"/>
      <c r="I21" s="169"/>
      <c r="J21" s="169"/>
      <c r="K21" s="169"/>
      <c r="L21" s="169"/>
      <c r="M21" s="169"/>
      <c r="N21" s="169"/>
      <c r="O21" s="169"/>
      <c r="P21" s="169"/>
      <c r="Q21" s="169"/>
      <c r="R21" s="169"/>
      <c r="S21" s="169"/>
      <c r="T21" s="169"/>
      <c r="U21" s="169"/>
      <c r="V21" s="169"/>
      <c r="W21" s="169"/>
      <c r="X21" s="169"/>
      <c r="Y21" s="169"/>
      <c r="Z21" s="169"/>
    </row>
    <row r="22" spans="1:26">
      <c r="A22" s="169"/>
      <c r="B22" s="169"/>
      <c r="C22" s="169"/>
      <c r="D22" s="169"/>
      <c r="E22" s="169"/>
      <c r="F22" s="169"/>
      <c r="G22" s="169"/>
      <c r="H22" s="169"/>
      <c r="I22" s="169"/>
      <c r="J22" s="169"/>
      <c r="K22" s="169"/>
      <c r="L22" s="169"/>
      <c r="M22" s="169"/>
      <c r="N22" s="169"/>
      <c r="O22" s="169"/>
      <c r="P22" s="169"/>
      <c r="Q22" s="169"/>
      <c r="R22" s="169"/>
      <c r="S22" s="169"/>
      <c r="T22" s="169"/>
      <c r="U22" s="169"/>
      <c r="V22" s="169"/>
      <c r="W22" s="169"/>
      <c r="X22" s="169"/>
      <c r="Y22" s="169"/>
      <c r="Z22" s="169"/>
    </row>
    <row r="23" spans="1:26">
      <c r="A23" s="169"/>
      <c r="B23" s="169"/>
      <c r="C23" s="169"/>
      <c r="D23" s="169"/>
      <c r="E23" s="169"/>
      <c r="F23" s="169"/>
      <c r="G23" s="169"/>
      <c r="H23" s="169"/>
      <c r="I23" s="169"/>
      <c r="J23" s="169"/>
      <c r="K23" s="169"/>
      <c r="L23" s="169"/>
      <c r="M23" s="169"/>
      <c r="N23" s="169"/>
      <c r="O23" s="169"/>
      <c r="P23" s="169"/>
      <c r="Q23" s="169"/>
      <c r="R23" s="169"/>
      <c r="S23" s="169"/>
      <c r="T23" s="169"/>
      <c r="U23" s="169"/>
      <c r="V23" s="169"/>
      <c r="W23" s="169"/>
      <c r="X23" s="169"/>
      <c r="Y23" s="169"/>
      <c r="Z23" s="169"/>
    </row>
    <row r="24" spans="1:26">
      <c r="A24" s="169"/>
      <c r="B24" s="169"/>
      <c r="C24" s="169"/>
      <c r="D24" s="169"/>
      <c r="E24" s="169"/>
      <c r="F24" s="169"/>
      <c r="G24" s="169"/>
      <c r="H24" s="169"/>
      <c r="I24" s="169"/>
      <c r="J24" s="169"/>
      <c r="K24" s="169"/>
      <c r="L24" s="169"/>
      <c r="M24" s="169"/>
      <c r="N24" s="169"/>
      <c r="O24" s="169"/>
      <c r="P24" s="169"/>
      <c r="Q24" s="169"/>
      <c r="R24" s="169"/>
      <c r="S24" s="169"/>
      <c r="T24" s="169"/>
      <c r="U24" s="169"/>
      <c r="V24" s="169"/>
      <c r="W24" s="169"/>
      <c r="X24" s="169"/>
      <c r="Y24" s="169"/>
      <c r="Z24" s="169"/>
    </row>
    <row r="25" spans="1:26">
      <c r="A25" s="169"/>
      <c r="B25" s="169"/>
      <c r="C25" s="169"/>
      <c r="D25" s="169"/>
      <c r="E25" s="169"/>
      <c r="F25" s="169"/>
      <c r="G25" s="169"/>
      <c r="H25" s="169"/>
      <c r="I25" s="169"/>
      <c r="J25" s="169"/>
      <c r="K25" s="169"/>
      <c r="L25" s="169"/>
      <c r="M25" s="169"/>
      <c r="N25" s="169"/>
      <c r="O25" s="169"/>
      <c r="P25" s="169"/>
      <c r="Q25" s="169"/>
      <c r="R25" s="169"/>
      <c r="S25" s="169"/>
      <c r="T25" s="169"/>
      <c r="U25" s="169"/>
      <c r="V25" s="169"/>
      <c r="W25" s="169"/>
      <c r="X25" s="169"/>
      <c r="Y25" s="169"/>
      <c r="Z25" s="169"/>
    </row>
    <row r="26" spans="1:26">
      <c r="A26" s="169"/>
      <c r="B26" s="169"/>
      <c r="C26" s="169"/>
      <c r="D26" s="169"/>
      <c r="E26" s="169"/>
      <c r="F26" s="169"/>
      <c r="G26" s="169"/>
      <c r="H26" s="169"/>
      <c r="I26" s="169"/>
      <c r="J26" s="169"/>
      <c r="K26" s="169"/>
      <c r="L26" s="169"/>
      <c r="M26" s="169"/>
      <c r="N26" s="169"/>
      <c r="O26" s="169"/>
      <c r="P26" s="169"/>
      <c r="Q26" s="169"/>
      <c r="R26" s="169"/>
      <c r="S26" s="169"/>
      <c r="T26" s="169"/>
      <c r="U26" s="169"/>
      <c r="V26" s="169"/>
      <c r="W26" s="169"/>
      <c r="X26" s="169"/>
      <c r="Y26" s="169"/>
      <c r="Z26" s="169"/>
    </row>
    <row r="27" spans="1:26">
      <c r="A27" s="169"/>
      <c r="B27" s="169"/>
      <c r="C27" s="169"/>
      <c r="D27" s="169"/>
      <c r="E27" s="169"/>
      <c r="F27" s="169"/>
      <c r="G27" s="169"/>
      <c r="H27" s="169"/>
      <c r="I27" s="169"/>
      <c r="J27" s="169"/>
      <c r="K27" s="169"/>
      <c r="L27" s="169"/>
      <c r="M27" s="169"/>
      <c r="N27" s="169"/>
      <c r="O27" s="169"/>
      <c r="P27" s="169"/>
      <c r="Q27" s="169"/>
      <c r="R27" s="169"/>
      <c r="S27" s="169"/>
      <c r="T27" s="169"/>
      <c r="U27" s="169"/>
      <c r="V27" s="169"/>
      <c r="W27" s="169"/>
      <c r="X27" s="169"/>
      <c r="Y27" s="169"/>
      <c r="Z27" s="169"/>
    </row>
    <row r="28" spans="1:26">
      <c r="A28" s="169"/>
      <c r="B28" s="169"/>
      <c r="C28" s="169"/>
      <c r="D28" s="169"/>
      <c r="E28" s="169"/>
      <c r="F28" s="169"/>
      <c r="G28" s="169"/>
      <c r="H28" s="169"/>
      <c r="I28" s="169"/>
      <c r="J28" s="169"/>
      <c r="K28" s="169"/>
      <c r="L28" s="169"/>
      <c r="M28" s="169"/>
      <c r="N28" s="169"/>
      <c r="O28" s="169"/>
      <c r="P28" s="169"/>
      <c r="Q28" s="169"/>
      <c r="R28" s="169"/>
      <c r="S28" s="169"/>
      <c r="T28" s="169"/>
      <c r="U28" s="169"/>
      <c r="V28" s="169"/>
      <c r="W28" s="169"/>
      <c r="X28" s="169"/>
      <c r="Y28" s="169"/>
      <c r="Z28" s="169"/>
    </row>
    <row r="29" spans="1:26">
      <c r="A29" s="169"/>
      <c r="B29" s="169"/>
      <c r="C29" s="169"/>
      <c r="D29" s="169"/>
      <c r="E29" s="169"/>
      <c r="F29" s="169"/>
      <c r="G29" s="169"/>
      <c r="H29" s="169"/>
      <c r="I29" s="169"/>
      <c r="J29" s="169"/>
      <c r="K29" s="169"/>
      <c r="L29" s="169"/>
      <c r="M29" s="169"/>
      <c r="N29" s="169"/>
      <c r="O29" s="169"/>
      <c r="P29" s="169"/>
      <c r="Q29" s="169"/>
      <c r="R29" s="169"/>
      <c r="S29" s="169"/>
      <c r="T29" s="169"/>
      <c r="U29" s="169"/>
      <c r="V29" s="169"/>
      <c r="W29" s="169"/>
      <c r="X29" s="169"/>
      <c r="Y29" s="169"/>
      <c r="Z29" s="169"/>
    </row>
    <row r="30" spans="1:26">
      <c r="A30" s="169"/>
      <c r="B30" s="169"/>
      <c r="C30" s="169"/>
      <c r="D30" s="169"/>
      <c r="E30" s="169"/>
      <c r="F30" s="169"/>
      <c r="G30" s="169"/>
      <c r="H30" s="169"/>
      <c r="I30" s="169"/>
      <c r="J30" s="169"/>
      <c r="K30" s="169"/>
      <c r="L30" s="169"/>
      <c r="M30" s="169"/>
      <c r="N30" s="169"/>
      <c r="O30" s="169"/>
      <c r="P30" s="169"/>
      <c r="Q30" s="169"/>
      <c r="R30" s="169"/>
      <c r="S30" s="169"/>
      <c r="T30" s="169"/>
      <c r="U30" s="169"/>
      <c r="V30" s="169"/>
      <c r="W30" s="169"/>
      <c r="X30" s="169"/>
      <c r="Y30" s="169"/>
      <c r="Z30" s="169"/>
    </row>
    <row r="31" spans="1:26">
      <c r="A31" s="169"/>
      <c r="B31" s="169"/>
      <c r="C31" s="169"/>
      <c r="D31" s="169"/>
      <c r="E31" s="169"/>
      <c r="F31" s="169"/>
      <c r="G31" s="169"/>
      <c r="H31" s="169"/>
      <c r="I31" s="169"/>
      <c r="J31" s="169"/>
      <c r="K31" s="169"/>
      <c r="L31" s="169"/>
      <c r="M31" s="169"/>
      <c r="N31" s="169"/>
      <c r="O31" s="169"/>
      <c r="P31" s="169"/>
      <c r="Q31" s="169"/>
      <c r="R31" s="169"/>
      <c r="S31" s="169"/>
      <c r="T31" s="169"/>
      <c r="U31" s="169"/>
      <c r="V31" s="169"/>
      <c r="W31" s="169"/>
      <c r="X31" s="169"/>
      <c r="Y31" s="169"/>
      <c r="Z31" s="169"/>
    </row>
    <row r="32" spans="1:26">
      <c r="A32" s="170" t="s">
        <v>1</v>
      </c>
      <c r="B32" s="170"/>
      <c r="C32" s="170"/>
      <c r="D32" s="170"/>
      <c r="E32" s="170"/>
      <c r="F32" s="170"/>
      <c r="G32" s="170"/>
      <c r="H32" s="170"/>
      <c r="I32" s="170"/>
      <c r="J32" s="170"/>
      <c r="K32" s="170"/>
      <c r="L32" s="170"/>
      <c r="M32" s="170"/>
      <c r="N32" s="170"/>
      <c r="O32" s="170"/>
      <c r="P32" s="170"/>
      <c r="Q32" s="170"/>
      <c r="R32" s="170"/>
      <c r="S32" s="170"/>
      <c r="T32" s="170"/>
      <c r="U32" s="170"/>
      <c r="V32" s="170"/>
      <c r="W32" s="170"/>
      <c r="X32" s="170"/>
      <c r="Y32" s="170"/>
      <c r="Z32" s="170"/>
    </row>
    <row r="33" spans="1:26">
      <c r="A33" s="170"/>
      <c r="B33" s="170"/>
      <c r="C33" s="170"/>
      <c r="D33" s="170"/>
      <c r="E33" s="170"/>
      <c r="F33" s="170"/>
      <c r="G33" s="170"/>
      <c r="H33" s="170"/>
      <c r="I33" s="170"/>
      <c r="J33" s="170"/>
      <c r="K33" s="170"/>
      <c r="L33" s="170"/>
      <c r="M33" s="170"/>
      <c r="N33" s="170"/>
      <c r="O33" s="170"/>
      <c r="P33" s="170"/>
      <c r="Q33" s="170"/>
      <c r="R33" s="170"/>
      <c r="S33" s="170"/>
      <c r="T33" s="170"/>
      <c r="U33" s="170"/>
      <c r="V33" s="170"/>
      <c r="W33" s="170"/>
      <c r="X33" s="170"/>
      <c r="Y33" s="170"/>
      <c r="Z33" s="170"/>
    </row>
    <row r="34" spans="1:26">
      <c r="A34" s="170"/>
      <c r="B34" s="170"/>
      <c r="C34" s="170"/>
      <c r="D34" s="170"/>
      <c r="E34" s="170"/>
      <c r="F34" s="170"/>
      <c r="G34" s="170"/>
      <c r="H34" s="170"/>
      <c r="I34" s="170"/>
      <c r="J34" s="170"/>
      <c r="K34" s="170"/>
      <c r="L34" s="170"/>
      <c r="M34" s="170"/>
      <c r="N34" s="170"/>
      <c r="O34" s="170"/>
      <c r="P34" s="170"/>
      <c r="Q34" s="170"/>
      <c r="R34" s="170"/>
      <c r="S34" s="170"/>
      <c r="T34" s="170"/>
      <c r="U34" s="170"/>
      <c r="V34" s="170"/>
      <c r="W34" s="170"/>
      <c r="X34" s="170"/>
      <c r="Y34" s="170"/>
      <c r="Z34" s="170"/>
    </row>
    <row r="35" spans="1:26">
      <c r="A35" s="170"/>
      <c r="B35" s="170"/>
      <c r="C35" s="170"/>
      <c r="D35" s="170"/>
      <c r="E35" s="170"/>
      <c r="F35" s="170"/>
      <c r="G35" s="170"/>
      <c r="H35" s="170"/>
      <c r="I35" s="170"/>
      <c r="J35" s="170"/>
      <c r="K35" s="170"/>
      <c r="L35" s="170"/>
      <c r="M35" s="170"/>
      <c r="N35" s="170"/>
      <c r="O35" s="170"/>
      <c r="P35" s="170"/>
      <c r="Q35" s="170"/>
      <c r="R35" s="170"/>
      <c r="S35" s="170"/>
      <c r="T35" s="170"/>
      <c r="U35" s="170"/>
      <c r="V35" s="170"/>
      <c r="W35" s="170"/>
      <c r="X35" s="170"/>
      <c r="Y35" s="170"/>
      <c r="Z35" s="170"/>
    </row>
    <row r="36" spans="1:26">
      <c r="A36" s="170"/>
      <c r="B36" s="170"/>
      <c r="C36" s="170"/>
      <c r="D36" s="170"/>
      <c r="E36" s="170"/>
      <c r="F36" s="170"/>
      <c r="G36" s="170"/>
      <c r="H36" s="170"/>
      <c r="I36" s="170"/>
      <c r="J36" s="170"/>
      <c r="K36" s="170"/>
      <c r="L36" s="170"/>
      <c r="M36" s="170"/>
      <c r="N36" s="170"/>
      <c r="O36" s="170"/>
      <c r="P36" s="170"/>
      <c r="Q36" s="170"/>
      <c r="R36" s="170"/>
      <c r="S36" s="170"/>
      <c r="T36" s="170"/>
      <c r="U36" s="170"/>
      <c r="V36" s="170"/>
      <c r="W36" s="170"/>
      <c r="X36" s="170"/>
      <c r="Y36" s="170"/>
      <c r="Z36" s="170"/>
    </row>
    <row r="37" spans="1:26">
      <c r="A37" s="170"/>
      <c r="B37" s="170"/>
      <c r="C37" s="170"/>
      <c r="D37" s="170"/>
      <c r="E37" s="170"/>
      <c r="F37" s="170"/>
      <c r="G37" s="170"/>
      <c r="H37" s="170"/>
      <c r="I37" s="170"/>
      <c r="J37" s="170"/>
      <c r="K37" s="170"/>
      <c r="L37" s="170"/>
      <c r="M37" s="170"/>
      <c r="N37" s="170"/>
      <c r="O37" s="170"/>
      <c r="P37" s="170"/>
      <c r="Q37" s="170"/>
      <c r="R37" s="170"/>
      <c r="S37" s="170"/>
      <c r="T37" s="170"/>
      <c r="U37" s="170"/>
      <c r="V37" s="170"/>
      <c r="W37" s="170"/>
      <c r="X37" s="170"/>
      <c r="Y37" s="170"/>
      <c r="Z37" s="170"/>
    </row>
    <row r="38" spans="1:26">
      <c r="A38" s="170"/>
      <c r="B38" s="170"/>
      <c r="C38" s="170"/>
      <c r="D38" s="170"/>
      <c r="E38" s="170"/>
      <c r="F38" s="170"/>
      <c r="G38" s="170"/>
      <c r="H38" s="170"/>
      <c r="I38" s="170"/>
      <c r="J38" s="170"/>
      <c r="K38" s="170"/>
      <c r="L38" s="170"/>
      <c r="M38" s="170"/>
      <c r="N38" s="170"/>
      <c r="O38" s="170"/>
      <c r="P38" s="170"/>
      <c r="Q38" s="170"/>
      <c r="R38" s="170"/>
      <c r="S38" s="170"/>
      <c r="T38" s="170"/>
      <c r="U38" s="170"/>
      <c r="V38" s="170"/>
      <c r="W38" s="170"/>
      <c r="X38" s="170"/>
      <c r="Y38" s="170"/>
      <c r="Z38" s="170"/>
    </row>
    <row r="39" spans="1:26">
      <c r="A39" s="170"/>
      <c r="B39" s="170"/>
      <c r="C39" s="170"/>
      <c r="D39" s="170"/>
      <c r="E39" s="170"/>
      <c r="F39" s="170"/>
      <c r="G39" s="170"/>
      <c r="H39" s="170"/>
      <c r="I39" s="170"/>
      <c r="J39" s="170"/>
      <c r="K39" s="170"/>
      <c r="L39" s="170"/>
      <c r="M39" s="170"/>
      <c r="N39" s="170"/>
      <c r="O39" s="170"/>
      <c r="P39" s="170"/>
      <c r="Q39" s="170"/>
      <c r="R39" s="170"/>
      <c r="S39" s="170"/>
      <c r="T39" s="170"/>
      <c r="U39" s="170"/>
      <c r="V39" s="170"/>
      <c r="W39" s="170"/>
      <c r="X39" s="170"/>
      <c r="Y39" s="170"/>
      <c r="Z39" s="170"/>
    </row>
    <row r="40" spans="1:26">
      <c r="A40" s="170"/>
      <c r="B40" s="170"/>
      <c r="C40" s="170"/>
      <c r="D40" s="170"/>
      <c r="E40" s="170"/>
      <c r="F40" s="170"/>
      <c r="G40" s="170"/>
      <c r="H40" s="170"/>
      <c r="I40" s="170"/>
      <c r="J40" s="170"/>
      <c r="K40" s="170"/>
      <c r="L40" s="170"/>
      <c r="M40" s="170"/>
      <c r="N40" s="170"/>
      <c r="O40" s="170"/>
      <c r="P40" s="170"/>
      <c r="Q40" s="170"/>
      <c r="R40" s="170"/>
      <c r="S40" s="170"/>
      <c r="T40" s="170"/>
      <c r="U40" s="170"/>
      <c r="V40" s="170"/>
      <c r="W40" s="170"/>
      <c r="X40" s="170"/>
      <c r="Y40" s="170"/>
      <c r="Z40" s="170"/>
    </row>
    <row r="41" spans="1:26">
      <c r="A41" s="170"/>
      <c r="B41" s="170"/>
      <c r="C41" s="170"/>
      <c r="D41" s="170"/>
      <c r="E41" s="170"/>
      <c r="F41" s="170"/>
      <c r="G41" s="170"/>
      <c r="H41" s="170"/>
      <c r="I41" s="170"/>
      <c r="J41" s="170"/>
      <c r="K41" s="170"/>
      <c r="L41" s="170"/>
      <c r="M41" s="170"/>
      <c r="N41" s="170"/>
      <c r="O41" s="170"/>
      <c r="P41" s="170"/>
      <c r="Q41" s="170"/>
      <c r="R41" s="170"/>
      <c r="S41" s="170"/>
      <c r="T41" s="170"/>
      <c r="U41" s="170"/>
      <c r="V41" s="170"/>
      <c r="W41" s="170"/>
      <c r="X41" s="170"/>
      <c r="Y41" s="170"/>
      <c r="Z41" s="170"/>
    </row>
    <row r="42" spans="1:26">
      <c r="A42" s="170"/>
      <c r="B42" s="170"/>
      <c r="C42" s="170"/>
      <c r="D42" s="170"/>
      <c r="E42" s="170"/>
      <c r="F42" s="170"/>
      <c r="G42" s="170"/>
      <c r="H42" s="170"/>
      <c r="I42" s="170"/>
      <c r="J42" s="170"/>
      <c r="K42" s="170"/>
      <c r="L42" s="170"/>
      <c r="M42" s="170"/>
      <c r="N42" s="170"/>
      <c r="O42" s="170"/>
      <c r="P42" s="170"/>
      <c r="Q42" s="170"/>
      <c r="R42" s="170"/>
      <c r="S42" s="170"/>
      <c r="T42" s="170"/>
      <c r="U42" s="170"/>
      <c r="V42" s="170"/>
      <c r="W42" s="170"/>
      <c r="X42" s="170"/>
      <c r="Y42" s="170"/>
      <c r="Z42" s="170"/>
    </row>
    <row r="43" spans="1:26">
      <c r="A43" s="170"/>
      <c r="B43" s="170"/>
      <c r="C43" s="170"/>
      <c r="D43" s="170"/>
      <c r="E43" s="170"/>
      <c r="F43" s="170"/>
      <c r="G43" s="170"/>
      <c r="H43" s="170"/>
      <c r="I43" s="170"/>
      <c r="J43" s="170"/>
      <c r="K43" s="170"/>
      <c r="L43" s="170"/>
      <c r="M43" s="170"/>
      <c r="N43" s="170"/>
      <c r="O43" s="170"/>
      <c r="P43" s="170"/>
      <c r="Q43" s="170"/>
      <c r="R43" s="170"/>
      <c r="S43" s="170"/>
      <c r="T43" s="170"/>
      <c r="U43" s="170"/>
      <c r="V43" s="170"/>
      <c r="W43" s="170"/>
      <c r="X43" s="170"/>
      <c r="Y43" s="170"/>
      <c r="Z43" s="170"/>
    </row>
    <row r="44" spans="1:26">
      <c r="A44" s="170"/>
      <c r="B44" s="170"/>
      <c r="C44" s="170"/>
      <c r="D44" s="170"/>
      <c r="E44" s="170"/>
      <c r="F44" s="170"/>
      <c r="G44" s="170"/>
      <c r="H44" s="170"/>
      <c r="I44" s="170"/>
      <c r="J44" s="170"/>
      <c r="K44" s="170"/>
      <c r="L44" s="170"/>
      <c r="M44" s="170"/>
      <c r="N44" s="170"/>
      <c r="O44" s="170"/>
      <c r="P44" s="170"/>
      <c r="Q44" s="170"/>
      <c r="R44" s="170"/>
      <c r="S44" s="170"/>
      <c r="T44" s="170"/>
      <c r="U44" s="170"/>
      <c r="V44" s="170"/>
      <c r="W44" s="170"/>
      <c r="X44" s="170"/>
      <c r="Y44" s="170"/>
      <c r="Z44" s="170"/>
    </row>
    <row r="45" spans="1:26">
      <c r="A45" s="170"/>
      <c r="B45" s="170"/>
      <c r="C45" s="170"/>
      <c r="D45" s="170"/>
      <c r="E45" s="170"/>
      <c r="F45" s="170"/>
      <c r="G45" s="170"/>
      <c r="H45" s="170"/>
      <c r="I45" s="170"/>
      <c r="J45" s="170"/>
      <c r="K45" s="170"/>
      <c r="L45" s="170"/>
      <c r="M45" s="170"/>
      <c r="N45" s="170"/>
      <c r="O45" s="170"/>
      <c r="P45" s="170"/>
      <c r="Q45" s="170"/>
      <c r="R45" s="170"/>
      <c r="S45" s="170"/>
      <c r="T45" s="170"/>
      <c r="U45" s="170"/>
      <c r="V45" s="170"/>
      <c r="W45" s="170"/>
      <c r="X45" s="170"/>
      <c r="Y45" s="170"/>
      <c r="Z45" s="170"/>
    </row>
    <row r="46" spans="1:26">
      <c r="A46" s="170"/>
      <c r="B46" s="170"/>
      <c r="C46" s="170"/>
      <c r="D46" s="170"/>
      <c r="E46" s="170"/>
      <c r="F46" s="170"/>
      <c r="G46" s="170"/>
      <c r="H46" s="170"/>
      <c r="I46" s="170"/>
      <c r="J46" s="170"/>
      <c r="K46" s="170"/>
      <c r="L46" s="170"/>
      <c r="M46" s="170"/>
      <c r="N46" s="170"/>
      <c r="O46" s="170"/>
      <c r="P46" s="170"/>
      <c r="Q46" s="170"/>
      <c r="R46" s="170"/>
      <c r="S46" s="170"/>
      <c r="T46" s="170"/>
      <c r="U46" s="170"/>
      <c r="V46" s="170"/>
      <c r="W46" s="170"/>
      <c r="X46" s="170"/>
      <c r="Y46" s="170"/>
      <c r="Z46" s="170"/>
    </row>
    <row r="47" spans="1:26">
      <c r="A47" s="170"/>
      <c r="B47" s="170"/>
      <c r="C47" s="170"/>
      <c r="D47" s="170"/>
      <c r="E47" s="170"/>
      <c r="F47" s="170"/>
      <c r="G47" s="170"/>
      <c r="H47" s="170"/>
      <c r="I47" s="170"/>
      <c r="J47" s="170"/>
      <c r="K47" s="170"/>
      <c r="L47" s="170"/>
      <c r="M47" s="170"/>
      <c r="N47" s="170"/>
      <c r="O47" s="170"/>
      <c r="P47" s="170"/>
      <c r="Q47" s="170"/>
      <c r="R47" s="170"/>
      <c r="S47" s="170"/>
      <c r="T47" s="170"/>
      <c r="U47" s="170"/>
      <c r="V47" s="170"/>
      <c r="W47" s="170"/>
      <c r="X47" s="170"/>
      <c r="Y47" s="170"/>
      <c r="Z47" s="170"/>
    </row>
    <row r="48" spans="1:26">
      <c r="A48" s="170"/>
      <c r="B48" s="170"/>
      <c r="C48" s="170"/>
      <c r="D48" s="170"/>
      <c r="E48" s="170"/>
      <c r="F48" s="170"/>
      <c r="G48" s="170"/>
      <c r="H48" s="170"/>
      <c r="I48" s="170"/>
      <c r="J48" s="170"/>
      <c r="K48" s="170"/>
      <c r="L48" s="170"/>
      <c r="M48" s="170"/>
      <c r="N48" s="170"/>
      <c r="O48" s="170"/>
      <c r="P48" s="170"/>
      <c r="Q48" s="170"/>
      <c r="R48" s="170"/>
      <c r="S48" s="170"/>
      <c r="T48" s="170"/>
      <c r="U48" s="170"/>
      <c r="V48" s="170"/>
      <c r="W48" s="170"/>
      <c r="X48" s="170"/>
      <c r="Y48" s="170"/>
      <c r="Z48" s="170"/>
    </row>
    <row r="49" spans="1:26">
      <c r="A49" s="170"/>
      <c r="B49" s="170"/>
      <c r="C49" s="170"/>
      <c r="D49" s="170"/>
      <c r="E49" s="170"/>
      <c r="F49" s="170"/>
      <c r="G49" s="170"/>
      <c r="H49" s="170"/>
      <c r="I49" s="170"/>
      <c r="J49" s="170"/>
      <c r="K49" s="170"/>
      <c r="L49" s="170"/>
      <c r="M49" s="170"/>
      <c r="N49" s="170"/>
      <c r="O49" s="170"/>
      <c r="P49" s="170"/>
      <c r="Q49" s="170"/>
      <c r="R49" s="170"/>
      <c r="S49" s="170"/>
      <c r="T49" s="170"/>
      <c r="U49" s="170"/>
      <c r="V49" s="170"/>
      <c r="W49" s="170"/>
      <c r="X49" s="170"/>
      <c r="Y49" s="170"/>
      <c r="Z49" s="170"/>
    </row>
    <row r="50" spans="1:26">
      <c r="A50" s="170"/>
      <c r="B50" s="170"/>
      <c r="C50" s="170"/>
      <c r="D50" s="170"/>
      <c r="E50" s="170"/>
      <c r="F50" s="170"/>
      <c r="G50" s="170"/>
      <c r="H50" s="170"/>
      <c r="I50" s="170"/>
      <c r="J50" s="170"/>
      <c r="K50" s="170"/>
      <c r="L50" s="170"/>
      <c r="M50" s="170"/>
      <c r="N50" s="170"/>
      <c r="O50" s="170"/>
      <c r="P50" s="170"/>
      <c r="Q50" s="170"/>
      <c r="R50" s="170"/>
      <c r="S50" s="170"/>
      <c r="T50" s="170"/>
      <c r="U50" s="170"/>
      <c r="V50" s="170"/>
      <c r="W50" s="170"/>
      <c r="X50" s="170"/>
      <c r="Y50" s="170"/>
      <c r="Z50" s="170"/>
    </row>
    <row r="51" spans="1:26">
      <c r="A51" s="170"/>
      <c r="B51" s="170"/>
      <c r="C51" s="170"/>
      <c r="D51" s="170"/>
      <c r="E51" s="170"/>
      <c r="F51" s="170"/>
      <c r="G51" s="170"/>
      <c r="H51" s="170"/>
      <c r="I51" s="170"/>
      <c r="J51" s="170"/>
      <c r="K51" s="170"/>
      <c r="L51" s="170"/>
      <c r="M51" s="170"/>
      <c r="N51" s="170"/>
      <c r="O51" s="170"/>
      <c r="P51" s="170"/>
      <c r="Q51" s="170"/>
      <c r="R51" s="170"/>
      <c r="S51" s="170"/>
      <c r="T51" s="170"/>
      <c r="U51" s="170"/>
      <c r="V51" s="170"/>
      <c r="W51" s="170"/>
      <c r="X51" s="170"/>
      <c r="Y51" s="170"/>
      <c r="Z51" s="170"/>
    </row>
    <row r="52" spans="1:26">
      <c r="A52" s="170"/>
      <c r="B52" s="170"/>
      <c r="C52" s="170"/>
      <c r="D52" s="170"/>
      <c r="E52" s="170"/>
      <c r="F52" s="170"/>
      <c r="G52" s="170"/>
      <c r="H52" s="170"/>
      <c r="I52" s="170"/>
      <c r="J52" s="170"/>
      <c r="K52" s="170"/>
      <c r="L52" s="170"/>
      <c r="M52" s="170"/>
      <c r="N52" s="170"/>
      <c r="O52" s="170"/>
      <c r="P52" s="170"/>
      <c r="Q52" s="170"/>
      <c r="R52" s="170"/>
      <c r="S52" s="170"/>
      <c r="T52" s="170"/>
      <c r="U52" s="170"/>
      <c r="V52" s="170"/>
      <c r="W52" s="170"/>
      <c r="X52" s="170"/>
      <c r="Y52" s="170"/>
      <c r="Z52" s="170"/>
    </row>
    <row r="53" spans="1:26">
      <c r="A53" s="170"/>
      <c r="B53" s="170"/>
      <c r="C53" s="170"/>
      <c r="D53" s="170"/>
      <c r="E53" s="170"/>
      <c r="F53" s="170"/>
      <c r="G53" s="170"/>
      <c r="H53" s="170"/>
      <c r="I53" s="170"/>
      <c r="J53" s="170"/>
      <c r="K53" s="170"/>
      <c r="L53" s="170"/>
      <c r="M53" s="170"/>
      <c r="N53" s="170"/>
      <c r="O53" s="170"/>
      <c r="P53" s="170"/>
      <c r="Q53" s="170"/>
      <c r="R53" s="170"/>
      <c r="S53" s="170"/>
      <c r="T53" s="170"/>
      <c r="U53" s="170"/>
      <c r="V53" s="170"/>
      <c r="W53" s="170"/>
      <c r="X53" s="170"/>
      <c r="Y53" s="170"/>
      <c r="Z53" s="170"/>
    </row>
    <row r="54" spans="1:26">
      <c r="A54" s="170"/>
      <c r="B54" s="170"/>
      <c r="C54" s="170"/>
      <c r="D54" s="170"/>
      <c r="E54" s="170"/>
      <c r="F54" s="170"/>
      <c r="G54" s="170"/>
      <c r="H54" s="170"/>
      <c r="I54" s="170"/>
      <c r="J54" s="170"/>
      <c r="K54" s="170"/>
      <c r="L54" s="170"/>
      <c r="M54" s="170"/>
      <c r="N54" s="170"/>
      <c r="O54" s="170"/>
      <c r="P54" s="170"/>
      <c r="Q54" s="170"/>
      <c r="R54" s="170"/>
      <c r="S54" s="170"/>
      <c r="T54" s="170"/>
      <c r="U54" s="170"/>
      <c r="V54" s="170"/>
      <c r="W54" s="170"/>
      <c r="X54" s="170"/>
      <c r="Y54" s="170"/>
      <c r="Z54" s="170"/>
    </row>
    <row r="55" spans="1:26">
      <c r="A55" s="170"/>
      <c r="B55" s="170"/>
      <c r="C55" s="170"/>
      <c r="D55" s="170"/>
      <c r="E55" s="170"/>
      <c r="F55" s="170"/>
      <c r="G55" s="170"/>
      <c r="H55" s="170"/>
      <c r="I55" s="170"/>
      <c r="J55" s="170"/>
      <c r="K55" s="170"/>
      <c r="L55" s="170"/>
      <c r="M55" s="170"/>
      <c r="N55" s="170"/>
      <c r="O55" s="170"/>
      <c r="P55" s="170"/>
      <c r="Q55" s="170"/>
      <c r="R55" s="170"/>
      <c r="S55" s="170"/>
      <c r="T55" s="170"/>
      <c r="U55" s="170"/>
      <c r="V55" s="170"/>
      <c r="W55" s="170"/>
      <c r="X55" s="170"/>
      <c r="Y55" s="170"/>
      <c r="Z55" s="170"/>
    </row>
    <row r="56" spans="1:26">
      <c r="A56" s="170"/>
      <c r="B56" s="170"/>
      <c r="C56" s="170"/>
      <c r="D56" s="170"/>
      <c r="E56" s="170"/>
      <c r="F56" s="170"/>
      <c r="G56" s="170"/>
      <c r="H56" s="170"/>
      <c r="I56" s="170"/>
      <c r="J56" s="170"/>
      <c r="K56" s="170"/>
      <c r="L56" s="170"/>
      <c r="M56" s="170"/>
      <c r="N56" s="170"/>
      <c r="O56" s="170"/>
      <c r="P56" s="170"/>
      <c r="Q56" s="170"/>
      <c r="R56" s="170"/>
      <c r="S56" s="170"/>
      <c r="T56" s="170"/>
      <c r="U56" s="170"/>
      <c r="V56" s="170"/>
      <c r="W56" s="170"/>
      <c r="X56" s="170"/>
      <c r="Y56" s="170"/>
      <c r="Z56" s="170"/>
    </row>
    <row r="57" spans="1:26">
      <c r="A57" s="170"/>
      <c r="B57" s="170"/>
      <c r="C57" s="170"/>
      <c r="D57" s="170"/>
      <c r="E57" s="170"/>
      <c r="F57" s="170"/>
      <c r="G57" s="170"/>
      <c r="H57" s="170"/>
      <c r="I57" s="170"/>
      <c r="J57" s="170"/>
      <c r="K57" s="170"/>
      <c r="L57" s="170"/>
      <c r="M57" s="170"/>
      <c r="N57" s="170"/>
      <c r="O57" s="170"/>
      <c r="P57" s="170"/>
      <c r="Q57" s="170"/>
      <c r="R57" s="170"/>
      <c r="S57" s="170"/>
      <c r="T57" s="170"/>
      <c r="U57" s="170"/>
      <c r="V57" s="170"/>
      <c r="W57" s="170"/>
      <c r="X57" s="170"/>
      <c r="Y57" s="170"/>
      <c r="Z57" s="170"/>
    </row>
    <row r="58" spans="1:26">
      <c r="A58" s="170"/>
      <c r="B58" s="170"/>
      <c r="C58" s="170"/>
      <c r="D58" s="170"/>
      <c r="E58" s="170"/>
      <c r="F58" s="170"/>
      <c r="G58" s="170"/>
      <c r="H58" s="170"/>
      <c r="I58" s="170"/>
      <c r="J58" s="170"/>
      <c r="K58" s="170"/>
      <c r="L58" s="170"/>
      <c r="M58" s="170"/>
      <c r="N58" s="170"/>
      <c r="O58" s="170"/>
      <c r="P58" s="170"/>
      <c r="Q58" s="170"/>
      <c r="R58" s="170"/>
      <c r="S58" s="170"/>
      <c r="T58" s="170"/>
      <c r="U58" s="170"/>
      <c r="V58" s="170"/>
      <c r="W58" s="170"/>
      <c r="X58" s="170"/>
      <c r="Y58" s="170"/>
      <c r="Z58" s="170"/>
    </row>
    <row r="59" spans="1:26">
      <c r="A59" s="170"/>
      <c r="B59" s="170"/>
      <c r="C59" s="170"/>
      <c r="D59" s="170"/>
      <c r="E59" s="170"/>
      <c r="F59" s="170"/>
      <c r="G59" s="170"/>
      <c r="H59" s="170"/>
      <c r="I59" s="170"/>
      <c r="J59" s="170"/>
      <c r="K59" s="170"/>
      <c r="L59" s="170"/>
      <c r="M59" s="170"/>
      <c r="N59" s="170"/>
      <c r="O59" s="170"/>
      <c r="P59" s="170"/>
      <c r="Q59" s="170"/>
      <c r="R59" s="170"/>
      <c r="S59" s="170"/>
      <c r="T59" s="170"/>
      <c r="U59" s="170"/>
      <c r="V59" s="170"/>
      <c r="W59" s="170"/>
      <c r="X59" s="170"/>
      <c r="Y59" s="170"/>
      <c r="Z59" s="170"/>
    </row>
    <row r="60" spans="1:26">
      <c r="A60" s="170"/>
      <c r="B60" s="170"/>
      <c r="C60" s="170"/>
      <c r="D60" s="170"/>
      <c r="E60" s="170"/>
      <c r="F60" s="170"/>
      <c r="G60" s="170"/>
      <c r="H60" s="170"/>
      <c r="I60" s="170"/>
      <c r="J60" s="170"/>
      <c r="K60" s="170"/>
      <c r="L60" s="170"/>
      <c r="M60" s="170"/>
      <c r="N60" s="170"/>
      <c r="O60" s="170"/>
      <c r="P60" s="170"/>
      <c r="Q60" s="170"/>
      <c r="R60" s="170"/>
      <c r="S60" s="170"/>
      <c r="T60" s="170"/>
      <c r="U60" s="170"/>
      <c r="V60" s="170"/>
      <c r="W60" s="170"/>
      <c r="X60" s="170"/>
      <c r="Y60" s="170"/>
      <c r="Z60" s="170"/>
    </row>
    <row r="61" spans="1:26">
      <c r="A61" s="170"/>
      <c r="B61" s="170"/>
      <c r="C61" s="170"/>
      <c r="D61" s="170"/>
      <c r="E61" s="170"/>
      <c r="F61" s="170"/>
      <c r="G61" s="170"/>
      <c r="H61" s="170"/>
      <c r="I61" s="170"/>
      <c r="J61" s="170"/>
      <c r="K61" s="170"/>
      <c r="L61" s="170"/>
      <c r="M61" s="170"/>
      <c r="N61" s="170"/>
      <c r="O61" s="170"/>
      <c r="P61" s="170"/>
      <c r="Q61" s="170"/>
      <c r="R61" s="170"/>
      <c r="S61" s="170"/>
      <c r="T61" s="170"/>
      <c r="U61" s="170"/>
      <c r="V61" s="170"/>
      <c r="W61" s="170"/>
      <c r="X61" s="170"/>
      <c r="Y61" s="170"/>
      <c r="Z61" s="170"/>
    </row>
    <row r="62" spans="1:26">
      <c r="A62" s="170"/>
      <c r="B62" s="170"/>
      <c r="C62" s="170"/>
      <c r="D62" s="170"/>
      <c r="E62" s="170"/>
      <c r="F62" s="170"/>
      <c r="G62" s="170"/>
      <c r="H62" s="170"/>
      <c r="I62" s="170"/>
      <c r="J62" s="170"/>
      <c r="K62" s="170"/>
      <c r="L62" s="170"/>
      <c r="M62" s="170"/>
      <c r="N62" s="170"/>
      <c r="O62" s="170"/>
      <c r="P62" s="170"/>
      <c r="Q62" s="170"/>
      <c r="R62" s="170"/>
      <c r="S62" s="170"/>
      <c r="T62" s="170"/>
      <c r="U62" s="170"/>
      <c r="V62" s="170"/>
      <c r="W62" s="170"/>
      <c r="X62" s="170"/>
      <c r="Y62" s="170"/>
      <c r="Z62" s="170"/>
    </row>
  </sheetData>
  <sheetProtection sheet="1" objects="1"/>
  <mergeCells count="2">
    <mergeCell ref="A1:Z31"/>
    <mergeCell ref="A32:Z62"/>
  </mergeCell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134"/>
  <sheetViews>
    <sheetView topLeftCell="A11" workbookViewId="0">
      <selection activeCell="B9" sqref="B9:B11"/>
    </sheetView>
  </sheetViews>
  <sheetFormatPr defaultColWidth="9" defaultRowHeight="16.8" outlineLevelCol="1"/>
  <cols>
    <col min="1" max="1" width="43.25" style="149" customWidth="1"/>
    <col min="2" max="2" width="34.125" style="149" customWidth="1"/>
    <col min="3" max="16384" width="9" style="149"/>
  </cols>
  <sheetData>
    <row r="1" ht="45" customHeight="1" spans="1:2">
      <c r="A1" s="150" t="s">
        <v>2</v>
      </c>
      <c r="B1" s="151" t="s">
        <v>3</v>
      </c>
    </row>
    <row r="2" ht="45" customHeight="1" spans="1:2">
      <c r="A2" s="152" t="s">
        <v>4</v>
      </c>
      <c r="B2" s="153" t="b">
        <v>1</v>
      </c>
    </row>
    <row r="3" ht="36" customHeight="1" spans="1:2">
      <c r="A3" s="154" t="s">
        <v>5</v>
      </c>
      <c r="B3" s="155">
        <v>45778</v>
      </c>
    </row>
    <row r="4" ht="45" customHeight="1" spans="1:2">
      <c r="A4" s="150" t="s">
        <v>6</v>
      </c>
      <c r="B4" s="156" t="str">
        <f>IF(B2,TEXT(EDATE(B3,1)-1,"dd-mmm-yyyy"),B4)</f>
        <v>31-May-2025</v>
      </c>
    </row>
    <row r="5" ht="45" customHeight="1" spans="1:2">
      <c r="A5" s="152" t="s">
        <v>7</v>
      </c>
      <c r="B5" s="157">
        <v>45761</v>
      </c>
    </row>
    <row r="6" ht="45" customHeight="1" spans="1:2">
      <c r="A6" s="152"/>
      <c r="B6" s="157"/>
    </row>
    <row r="7" ht="24.75" customHeight="1" spans="1:2">
      <c r="A7" s="158"/>
      <c r="B7" s="159"/>
    </row>
    <row r="8" ht="39.95" customHeight="1" spans="1:2">
      <c r="A8" s="160" t="s">
        <v>8</v>
      </c>
      <c r="B8" s="160"/>
    </row>
    <row r="9" ht="20.25" customHeight="1" spans="1:2">
      <c r="A9" s="161" t="str">
        <f>TEXT(B3,"dd mmmm yyyy")&amp;" - "&amp;IF(B2,TEXT(EDATE(B3,1)-1,"dd mmmm yyyy"),TEXT(B3+B5-B3,"dd mmmm yyyy"))</f>
        <v>01 May 2025 - 31 May 2025</v>
      </c>
      <c r="B9" s="162" t="s">
        <v>9</v>
      </c>
    </row>
    <row r="10" ht="20.25" customHeight="1" spans="1:2">
      <c r="A10" s="153" t="str">
        <f>IF(B2,TEXT(EDATE(B3,1),"dd mmmm yyyy"),TEXT(B3+(B5-B3)+1,"dd mmmm yyyy"))&amp;" - "&amp;IF(B2,TEXT(EDATE(B3,2)-1,"dd mmmm yyyy"),TEXT(B3+(B5-B3)*2+1,"dd mmmm yyyy"))</f>
        <v>01 June 2025 - 30 June 2025</v>
      </c>
      <c r="B10" s="162"/>
    </row>
    <row r="11" ht="20.25" customHeight="1" spans="1:2">
      <c r="A11" s="153" t="str">
        <f>IF(B2,TEXT(EDATE(B3,2),"dd mmmm yyyy"),TEXT(B3+((B5-B3)*2)+2,"dd mmmm yyyy"))&amp;" - "&amp;IF(B2,TEXT(EDATE(B3,3)-1,"dd mmmm yyyy"),TEXT(B3+((B5-B3)*3+2),"dd mmmm yyyy"))</f>
        <v>01 July 2025 - 31 July 2025</v>
      </c>
      <c r="B11" s="163"/>
    </row>
    <row r="12" ht="20.25" customHeight="1" spans="1:2">
      <c r="A12" s="106" t="str">
        <f>IF(B2,TEXT(EDATE(B3,3),"dd mmmm yyyy"),TEXT(B3+((B5-B3)*3)+3,"dd mmmm yyyy"))&amp;" - "&amp;IF(B2,TEXT(EDATE(B3,4)-1,"dd mmmm yyyy"),TEXT(B3+(((B5-B3)*4)+3),"dd mmmm yyyy"))</f>
        <v>01 August 2025 - 31 August 2025</v>
      </c>
      <c r="B12" s="151" t="s">
        <v>10</v>
      </c>
    </row>
    <row r="13" ht="20.25" customHeight="1" spans="1:2">
      <c r="A13" s="106" t="str">
        <f>IF(B2,TEXT(EDATE(B3,4),"dd mmmm yyyy"),TEXT(B3+((B5-B3)*4)+4,"dd mmmm yyyy"))&amp;" - "&amp;IF(B2,TEXT(EDATE(B3,5)-1,"dd mmmm yyyy"),TEXT(B3+(((B5-B3)*5)+4),"dd mmmm yyyy"))</f>
        <v>01 September 2025 - 30 September 2025</v>
      </c>
      <c r="B13" s="164"/>
    </row>
    <row r="14" ht="20.25" customHeight="1" spans="1:2">
      <c r="A14" s="153" t="str">
        <f>IF(B2,TEXT(EDATE(B3,5),"dd mmmm yyyy"),TEXT(B3+((B5-B3)*5)+5,"dd mmmm yyyy"))&amp;" - "&amp;IF(B2,TEXT(EDATE(B3,6)-1,"dd mmmm yyyy"),TEXT(B3+(((B5-B3)*6)+5),"dd mmmm yyyy"))</f>
        <v>01 October 2025 - 31 October 2025</v>
      </c>
      <c r="B14" s="165"/>
    </row>
    <row r="15" ht="20.25" customHeight="1" spans="1:2">
      <c r="A15" s="153" t="str">
        <f>IF(B2,TEXT(EDATE(B3,6),"dd mmmm yyyy"),TEXT(B3+((B5-B3)*6)+6,"dd mmmm yyyy"))&amp;" - "&amp;IF(B2,TEXT(EDATE(B3,7)-1,"dd mmmm yyyy"),TEXT(B3+(((B5-B3)*7)+6),"dd mmmm yyyy"))</f>
        <v>01 November 2025 - 30 November 2025</v>
      </c>
      <c r="B15" s="151" t="s">
        <v>11</v>
      </c>
    </row>
    <row r="16" ht="20.25" customHeight="1" spans="1:2">
      <c r="A16" s="153" t="str">
        <f>IF(B2,TEXT(EDATE(B3,7),"dd mmmm yyyy"),TEXT(B3+((B5-B3)*7)+7,"dd mmmm yyyy"))&amp;" - "&amp;IF(B2,TEXT(EDATE(B3,8)-1,"dd mmmm yyyy"),TEXT(B3+(((B5-B3)*8)+7),"dd mmmm yyyy"))</f>
        <v>01 December 2025 - 31 December 2025</v>
      </c>
      <c r="B16" s="164"/>
    </row>
    <row r="17" ht="20.25" customHeight="1" spans="1:2">
      <c r="A17" s="153" t="str">
        <f>IF(B2,TEXT(EDATE(B3,8),"dd mmmm yyyy"),TEXT(B3+((B5-B3)*8)+8,"dd mmmm yyyy"))&amp;" - "&amp;IF(B2,TEXT(EDATE(B3,9)-1,"dd mmmm yyyy"),TEXT(B3+(((B5-B3)*9)+8),"dd mmmm yyyy"))</f>
        <v>01 January 2026 - 31 January 2026</v>
      </c>
      <c r="B17" s="165"/>
    </row>
    <row r="18" ht="20.25" customHeight="1" spans="1:2">
      <c r="A18" s="153" t="str">
        <f>IF(B2,TEXT(EDATE(B3,9),"dd mmmm yyyy"),TEXT(B3+((B5-B3)*9)+9,"dd mmmm yyyy"))&amp;" - "&amp;IF(B2,TEXT(EDATE(B3,10)-1,"dd mmmm yyyy"),TEXT(B3+(((B5-B3)*10)+9),"dd mmmm yyyy"))</f>
        <v>01 February 2026 - 28 February 2026</v>
      </c>
      <c r="B18" s="166" t="s">
        <v>12</v>
      </c>
    </row>
    <row r="19" ht="20.25" customHeight="1" spans="1:2">
      <c r="A19" s="153" t="str">
        <f>IF(B2,TEXT(EDATE(B3,10),"dd mmmm yyyy"),TEXT(B3+((B5-B3)*10)+10,"dd mmmm yyyy"))&amp;" - "&amp;IF(B2,TEXT(EDATE(B3,11)-1,"dd mmmm yyyy"),TEXT(B3+(((B5-B3)*11)+10),"dd mmmm yyyy"))</f>
        <v>01 March 2026 - 31 March 2026</v>
      </c>
      <c r="B19" s="164"/>
    </row>
    <row r="20" ht="20.25" customHeight="1" spans="1:2">
      <c r="A20" s="167" t="str">
        <f>IF(B2,TEXT(EDATE(B3,11),"dd mmmm yyyy"),TEXT(B3+((B5-B3)*11)+11,"dd mmmm yyyy"))&amp;" - "&amp;IF(B2,TEXT(EDATE(B3,12)-1,"dd mmmm yyyy"),TEXT(B3+(((B5-B3)*12)+11),"dd mmmm yyyy"))</f>
        <v>01 April 2026 - 30 April 2026</v>
      </c>
      <c r="B20" s="164"/>
    </row>
    <row r="21" ht="20.25" customHeight="1" spans="1:2">
      <c r="A21" s="168" t="str">
        <f>IF(B2,TEXT(EDATE(B3,12),"dd mmmm yyyy"),TEXT(B3+((B5-B3)*12)+12,"dd mmmm yyyy"))&amp;" - "&amp;IF(B2,TEXT(EDATE(B3,13)-1,"dd mmmm yyyy"),TEXT(B3+(((B5-B3)*13)+12),"dd mmmm yyyy"))</f>
        <v>01 May 2026 - 31 May 2026</v>
      </c>
      <c r="B21" s="153" t="s">
        <v>13</v>
      </c>
    </row>
    <row r="22" ht="20.25" customHeight="1" spans="1:2">
      <c r="A22" s="168" t="str">
        <f>IF(B2,TEXT(EDATE(B3,13),"dd mmmm yyyy"),TEXT(B3+((B5-B3)*13)+13,"dd mmmm yyyy"))&amp;" - "&amp;IF(B2,TEXT(EDATE(B3,14)-1,"dd mmmm yyyy"),TEXT(B3+(((B5-B3)*14)+13),"dd mmmm yyyy"))</f>
        <v>01 June 2026 - 30 June 2026</v>
      </c>
      <c r="B22" s="153"/>
    </row>
    <row r="23" ht="20.25" customHeight="1" spans="1:2">
      <c r="A23" s="167" t="str">
        <f>IF(B2,TEXT(EDATE(B3,14),"dd mmmm yyyy"),TEXT(B3+((B5-B3)*14)+14,"dd mmmm yyyy"))&amp;" - "&amp;IF(B2,TEXT(EDATE(B3,15)-1,"dd mmmm yyyy"),TEXT(B3+(((B5-B3)*15)+14),"dd mmmm yyyy"))</f>
        <v>01 July 2026 - 31 July 2026</v>
      </c>
      <c r="B23" s="151"/>
    </row>
    <row r="24" ht="20.25" customHeight="1" spans="1:2">
      <c r="A24" s="153" t="str">
        <f>IF(B2,TEXT(EDATE(B3,15),"dd mmmm yyyy"),TEXT(B3+((B5-B3)*15)+15,"dd mmmm yyyy"))&amp;" - "&amp;IF(B2,TEXT(EDATE(B3,16)-1,"dd mmmm yyyy"),TEXT(B3+(((B5-B3)*16)+15),"dd mmmm yyyy"))</f>
        <v>01 August 2026 - 31 August 2026</v>
      </c>
      <c r="B24" s="153" t="s">
        <v>14</v>
      </c>
    </row>
    <row r="25" ht="20.25" customHeight="1" spans="1:2">
      <c r="A25" s="153" t="str">
        <f>IF(B2,TEXT(EDATE(B3,16),"dd mmmm yyyy"),TEXT(B3+((B5-B3)*16)+16,"dd mmmm yyyy"))&amp;" - "&amp;IF(B2,TEXT(EDATE(B3,17)-1,"dd mmmm yyyy"),TEXT(B3+(((B5-B3)*17)+16),"dd mmmm yyyy"))</f>
        <v>01 September 2026 - 30 September 2026</v>
      </c>
      <c r="B25" s="153"/>
    </row>
    <row r="26" ht="20.25" customHeight="1" spans="1:2">
      <c r="A26" s="151" t="str">
        <f>IF(B2,TEXT(EDATE(B3,17),"dd mmmm yyyy"),TEXT(B3+((B5-B3)*17)+17,"dd mmmm yyyy"))&amp;" - "&amp;IF(B2,TEXT(EDATE(B3,18)-1,"dd mmmm yyyy"),TEXT(B3+(((B5-B3)*18)+17),"dd mmmm yyyy"))</f>
        <v>01 October 2026 - 31 October 2026</v>
      </c>
      <c r="B26" s="151"/>
    </row>
    <row r="27" ht="20.25" customHeight="1" spans="1:2">
      <c r="A27" s="153" t="str">
        <f>IF(B2,TEXT(EDATE(B3,18),"dd mmmm yyyy"),TEXT(B3+((B5-B3)*18)+18,"dd mmmm yyyy"))&amp;" - "&amp;IF(B2,TEXT(EDATE(B3,19)-1,"dd mmmm yyyy"),TEXT(B3+(((B5-B3)*19)+18),"dd mmmm yyyy"))</f>
        <v>01 November 2026 - 30 November 2026</v>
      </c>
      <c r="B27" s="153" t="s">
        <v>15</v>
      </c>
    </row>
    <row r="28" ht="20.25" customHeight="1" spans="1:2">
      <c r="A28" s="153" t="str">
        <f>IF(B2,TEXT(EDATE(B3,19),"dd mmmm yyyy"),TEXT(B3+((B5-B3)*19)+19,"dd mmmm yyyy"))&amp;" - "&amp;IF(B2,TEXT(EDATE(B3,20)-1,"dd mmmm yyyy"),TEXT(B3+(((B5-B3)*20)+19),"dd mmmm yyyy"))</f>
        <v>01 December 2026 - 31 December 2026</v>
      </c>
      <c r="B28" s="153"/>
    </row>
    <row r="29" ht="20.25" customHeight="1" spans="1:2">
      <c r="A29" s="151" t="str">
        <f>IF(B2,TEXT(EDATE(B3,20),"dd mmmm yyyy"),TEXT(B3+((B5-B3)*20)+20,"dd mmmm yyyy"))&amp;" - "&amp;IF(B2,TEXT(EDATE(B3,21)-1,"dd mmmm yyyy"),TEXT(B3+(((B5-B3)*21)+20),"dd mmmm yyyy"))</f>
        <v>01 January 2027 - 31 January 2027</v>
      </c>
      <c r="B29" s="151"/>
    </row>
    <row r="30" ht="20.25" customHeight="1" spans="1:2">
      <c r="A30" s="153" t="str">
        <f>IF(B2,TEXT(EDATE(B3,21),"dd mmmm yyyy"),TEXT(B3+((B5-B3)*21)+21,"dd mmmm yyyy"))&amp;" - "&amp;IF(B2,TEXT(EDATE(B3,22)-1,"dd mmmm yyyy"),TEXT(B3+(((B5-B3)*22)+21),"dd mmmm yyyy"))</f>
        <v>01 February 2027 - 28 February 2027</v>
      </c>
      <c r="B30" s="153" t="s">
        <v>16</v>
      </c>
    </row>
    <row r="31" ht="20.25" customHeight="1" spans="1:2">
      <c r="A31" s="153" t="str">
        <f>IF(B2,TEXT(EDATE(B3,22),"dd mmmm yyyy"),TEXT(B3+((B5-B3)*22)+22,"dd mmmm yyyy"))&amp;" - "&amp;IF(B2,TEXT(EDATE(B3,23)-1,"dd mmmm yyyy"),TEXT(B3+(((B5-B3)*23)+22),"dd mmmm yyyy"))</f>
        <v>01 March 2027 - 31 March 2027</v>
      </c>
      <c r="B31" s="153"/>
    </row>
    <row r="32" ht="20.25" customHeight="1" spans="1:2">
      <c r="A32" s="151" t="str">
        <f>IF(B2,TEXT(EDATE(B3,23),"dd mmmm yyyy"),TEXT(B3+((B5-B3)*23)+23,"dd mmmm yyyy"))&amp;" - "&amp;IF(B2,TEXT(EDATE(B3,24)-1,"dd mmmm yyyy"),TEXT(B3+(((B5-B3)*24)+23),"dd mmmm yyyy"))</f>
        <v>01 April 2027 - 30 April 2027</v>
      </c>
      <c r="B32" s="151"/>
    </row>
    <row r="33" ht="20.25" customHeight="1" spans="1:2">
      <c r="A33" s="153" t="str">
        <f>IF(B2,TEXT(EDATE(B3,24),"dd mmmm yyyy"),TEXT(B3+((B5-B3)*24)+24,"dd mmmm yyyy"))&amp;" - "&amp;IF(B2,TEXT(EDATE(B3,25)-1,"dd mmmm yyyy"),TEXT(B3+(((B5-B3)*25)+24),"dd mmmm yyyy"))</f>
        <v>01 May 2027 - 31 May 2027</v>
      </c>
      <c r="B33" s="153" t="s">
        <v>17</v>
      </c>
    </row>
    <row r="34" ht="20.25" customHeight="1" spans="1:2">
      <c r="A34" s="153" t="str">
        <f>IF(B2,TEXT(EDATE(B3,25),"dd mmmm yyyy"),TEXT(B3+((B5-B3)*25)+25,"dd mmmm yyyy"))&amp;" - "&amp;IF(B2,TEXT(EDATE(B3,26)-1,"dd mmmm yyyy"),TEXT(B3+(((B5-B3)*26)+25),"dd mmmm yyyy"))</f>
        <v>01 June 2027 - 30 June 2027</v>
      </c>
      <c r="B34" s="153"/>
    </row>
    <row r="35" ht="20.25" customHeight="1" spans="1:2">
      <c r="A35" s="151" t="str">
        <f>IF(B2,TEXT(EDATE(B3,26),"dd mmmm yyyy"),TEXT(B3+((B5-B3)*26)+26,"dd mmmm yyyy"))&amp;" - "&amp;IF(B2,TEXT(EDATE(B3,27)-1,"dd mmmm yyyy"),TEXT(B3+(((B5-B3)*27)+26),"dd mmmm yyyy"))</f>
        <v>01 July 2027 - 31 July 2027</v>
      </c>
      <c r="B35" s="151"/>
    </row>
    <row r="36" ht="20.25" customHeight="1" spans="1:2">
      <c r="A36" s="153" t="str">
        <f>IF(B2,TEXT(EDATE(B3,27),"dd mmmm yyyy"),TEXT(B3+((B5-B3)*27)+27,"dd mmmm yyyy"))&amp;" - "&amp;IF(B2,TEXT(EDATE(B3,28)-1,"dd mmmm yyyy"),TEXT(B3+(((B5-B3)*28)+27),"dd mmmm yyyy"))</f>
        <v>01 August 2027 - 31 August 2027</v>
      </c>
      <c r="B36" s="153" t="s">
        <v>18</v>
      </c>
    </row>
    <row r="37" ht="20.25" customHeight="1" spans="1:2">
      <c r="A37" s="153" t="str">
        <f>IF(B2,TEXT(EDATE(B3,28),"dd mmmm yyyy"),TEXT(B3+((B5-B3)*28)+28,"dd mmmm yyyy"))&amp;" - "&amp;IF(B2,TEXT(EDATE(B3,29)-1,"dd mmmm yyyy"),TEXT(B3+(((B5-B3)*29)+28),"dd mmmm yyyy"))</f>
        <v>01 September 2027 - 30 September 2027</v>
      </c>
      <c r="B37" s="153"/>
    </row>
    <row r="38" ht="20.25" customHeight="1" spans="1:2">
      <c r="A38" s="151" t="str">
        <f>IF(B2,TEXT(EDATE(B3,29),"dd mmmm yyyy"),TEXT(B3+((B5-B3)*29)+29,"dd mmmm yyyy"))&amp;" - "&amp;IF(B2,TEXT(EDATE(B3,30)-1,"dd mmmm yyyy"),TEXT(B3+(((B5-B3)*30)+29),"dd mmmm yyyy"))</f>
        <v>01 October 2027 - 31 October 2027</v>
      </c>
      <c r="B38" s="151"/>
    </row>
    <row r="39" ht="20.25" customHeight="1" spans="1:2">
      <c r="A39" s="153" t="str">
        <f>IF(B2,TEXT(EDATE(B3,30),"dd mmmm yyyy"),TEXT(B3+((B5-B3)*30)+30,"dd mmmm yyyy"))&amp;" - "&amp;IF(B2,TEXT(EDATE(B3,31)-1,"dd mmmm yyyy"),TEXT(B3+(((B5-B3)*31)+30),"dd mmmm yyyy"))</f>
        <v>01 November 2027 - 30 November 2027</v>
      </c>
      <c r="B39" s="153" t="s">
        <v>19</v>
      </c>
    </row>
    <row r="40" ht="20.25" customHeight="1" spans="1:2">
      <c r="A40" s="153" t="str">
        <f>IF(B2,TEXT(EDATE(B3,31),"dd mmmm yyyy"),TEXT(B3+((B5-B3)*31)+31,"dd mmmm yyyy"))&amp;" - "&amp;IF(B2,TEXT(EDATE(B3,32)-1,"dd mmmm yyyy"),TEXT(B3+(((B5-B3)*32)+31),"dd mmmm yyyy"))</f>
        <v>01 December 2027 - 31 December 2027</v>
      </c>
      <c r="B40" s="153"/>
    </row>
    <row r="41" ht="20.25" customHeight="1" spans="1:2">
      <c r="A41" s="151" t="str">
        <f>IF(B2,TEXT(EDATE(B3,32),"dd mmmm yyyy"),TEXT(B3+((B5-B3)*32)+32,"dd mmmm yyyy"))&amp;" - "&amp;IF(B2,TEXT(EDATE(B3,33)-1,"dd mmmm yyyy"),TEXT(B3+(((B5-B3)*33)+32),"dd mmmm yyyy"))</f>
        <v>01 January 2028 - 31 January 2028</v>
      </c>
      <c r="B41" s="151"/>
    </row>
    <row r="42" ht="20.25" customHeight="1" spans="1:2">
      <c r="A42" s="153" t="str">
        <f>IF(B2,TEXT(EDATE(B3,33),"dd mmmm yyyy"),TEXT(B3+((B5-B3)*33)+33,"dd mmmm yyyy"))&amp;" - "&amp;IF(B2,TEXT(EDATE(B3,34)-1,"dd mmmm yyyy"),TEXT(B3+(((B5-B3)*34)+33),"dd mmmm yyyy"))</f>
        <v>01 February 2028 - 29 February 2028</v>
      </c>
      <c r="B42" s="153" t="s">
        <v>20</v>
      </c>
    </row>
    <row r="43" ht="20.25" customHeight="1" spans="1:2">
      <c r="A43" s="153" t="str">
        <f>IF(B2,TEXT(EDATE(B3,34),"dd mmmm yyyy"),TEXT(B3+((B5-B3)*34)+34,"dd mmmm yyyy"))&amp;" - "&amp;IF(B2,TEXT(EDATE(B3,35)-1,"dd mmmm yyyy"),TEXT(B3+(((B5-B3)*35)+34),"dd mmmm yyyy"))</f>
        <v>01 March 2028 - 31 March 2028</v>
      </c>
      <c r="B43" s="153"/>
    </row>
    <row r="44" ht="20.25" customHeight="1" spans="1:2">
      <c r="A44" s="151" t="str">
        <f>IF(B2,TEXT(EDATE(B3,35),"dd mmmm yyyy"),TEXT(B3+((B5-B3)*35)+35,"dd mmmm yyyy"))&amp;" - "&amp;IF(B2,TEXT(EDATE(B3,36)-1,"dd mmmm yyyy"),TEXT(B3+(((B5-B3)*36)+35),"dd mmmm yyyy"))</f>
        <v>01 April 2028 - 30 April 2028</v>
      </c>
      <c r="B44" s="151"/>
    </row>
    <row r="45" ht="20.25" customHeight="1" spans="1:2">
      <c r="A45" s="153" t="str">
        <f>IF(B2,TEXT(EDATE(B3,36),"dd mmmm yyyy"),TEXT(B3+((B5-B3)*36)+36,"dd mmmm yyyy"))&amp;" - "&amp;IF(B2,TEXT(EDATE(B3,37)-1,"dd mmmm yyyy"),TEXT(B3+(((B5-B3)*37)+36),"dd mmmm yyyy"))</f>
        <v>01 May 2028 - 31 May 2028</v>
      </c>
      <c r="B45" s="153" t="s">
        <v>21</v>
      </c>
    </row>
    <row r="46" ht="20.25" customHeight="1" spans="1:2">
      <c r="A46" s="153" t="str">
        <f>IF(B2,TEXT(EDATE(B3,37),"dd mmmm yyyy"),TEXT(B3+((B5-B3)*37)+37,"dd mmmm yyyy"))&amp;" - "&amp;IF(B2,TEXT(EDATE(B3,38)-1,"dd mmmm yyyy"),TEXT(B3+(((B5-B3)*38)+37),"dd mmmm yyyy"))</f>
        <v>01 June 2028 - 30 June 2028</v>
      </c>
      <c r="B46" s="153"/>
    </row>
    <row r="47" ht="20.25" customHeight="1" spans="1:2">
      <c r="A47" s="151" t="str">
        <f>IF(B2,TEXT(EDATE(B3,38),"dd mmmm yyyy"),TEXT(B3+((B5-B3)*38)+38,"dd mmmm yyyy"))&amp;" - "&amp;IF(B2,TEXT(EDATE(B3,39)-1,"dd mmmm yyyy"),TEXT(B3+(((B5-B3)*39)+38),"dd mmmm yyyy"))</f>
        <v>01 July 2028 - 31 July 2028</v>
      </c>
      <c r="B47" s="151"/>
    </row>
    <row r="48" ht="20.25" customHeight="1" spans="1:2">
      <c r="A48" s="153" t="str">
        <f>IF(B2,TEXT(EDATE(B3,39),"dd mmmm yyyy"),TEXT(B3+((B5-B3)*39)+39,"dd mmmm yyyy"))&amp;" - "&amp;IF(B2,TEXT(EDATE(B3,40)-1,"dd mmmm yyyy"),TEXT(B3+(((B5-B3)*40)+39),"dd mmmm yyyy"))</f>
        <v>01 August 2028 - 31 August 2028</v>
      </c>
      <c r="B48" s="153" t="s">
        <v>22</v>
      </c>
    </row>
    <row r="49" ht="20.25" customHeight="1" spans="1:2">
      <c r="A49" s="153" t="str">
        <f>IF(B2,TEXT(EDATE(B3,40),"dd mmmm yyyy"),TEXT(B3+((B5-B3)*40)+40,"dd mmmm yyyy"))&amp;" - "&amp;IF(B2,TEXT(EDATE(B3,41)-1,"dd mmmm yyyy"),TEXT(B3+(((B5-B3)*41)+40),"dd mmmm yyyy"))</f>
        <v>01 September 2028 - 30 September 2028</v>
      </c>
      <c r="B49" s="153"/>
    </row>
    <row r="50" ht="20.25" customHeight="1" spans="1:2">
      <c r="A50" s="151" t="str">
        <f>IF(B2,TEXT(EDATE(B3,41),"dd mmmm yyyy"),TEXT(B3+((B5-B3)*41)+41,"dd mmmm yyyy"))&amp;" - "&amp;IF(B2,TEXT(EDATE(B3,42)-1,"dd mmmm yyyy"),TEXT(B3+(((B5-B3)*42)+41),"dd mmmm yyyy"))</f>
        <v>01 October 2028 - 31 October 2028</v>
      </c>
      <c r="B50" s="151"/>
    </row>
    <row r="51" ht="20.25" customHeight="1" spans="1:2">
      <c r="A51" s="153" t="str">
        <f>IF(B2,TEXT(EDATE(B3,42),"dd mmmm yyyy"),TEXT(B3+((B5-B3)*42)+42,"dd mmmm yyyy"))&amp;" - "&amp;IF(B2,TEXT(EDATE(B3,43)-1,"dd mmmm yyyy"),TEXT(B3+(((B5-B3)*43)+42),"dd mmmm yyyy"))</f>
        <v>01 November 2028 - 30 November 2028</v>
      </c>
      <c r="B51" s="153" t="s">
        <v>23</v>
      </c>
    </row>
    <row r="52" ht="20.25" customHeight="1" spans="1:2">
      <c r="A52" s="153" t="str">
        <f>IF(B2,TEXT(EDATE(B3,43),"dd mmmm yyyy"),TEXT(B3+((B5-B3)*43)+43,"dd mmmm yyyy"))&amp;" - "&amp;IF(B2,TEXT(EDATE(B3,44)-1,"dd mmmm yyyy"),TEXT(B3+(((B5-B3)*44)+43),"dd mmmm yyyy"))</f>
        <v>01 December 2028 - 31 December 2028</v>
      </c>
      <c r="B52" s="153"/>
    </row>
    <row r="53" ht="20.25" customHeight="1" spans="1:2">
      <c r="A53" s="151" t="str">
        <f>IF(B2,TEXT(EDATE(B3,44),"dd mmmm yyyy"),TEXT(B3+((B5-B3)*44)+44,"dd mmmm yyyy"))&amp;" - "&amp;IF(B2,TEXT(EDATE(B3,45)-1,"dd mmmm yyyy"),TEXT(B3+(((B5-B3)*45)+44),"dd mmmm yyyy"))</f>
        <v>01 January 2029 - 31 January 2029</v>
      </c>
      <c r="B53" s="151"/>
    </row>
    <row r="54" ht="20.25" customHeight="1" spans="1:2">
      <c r="A54" s="153" t="str">
        <f>IF(B2,TEXT(EDATE(B3,45),"dd mmmm yyyy"),TEXT(B3+((B5-B3)*45)+45,"dd mmmm yyyy"))&amp;" - "&amp;IF(B2,TEXT(EDATE(B3,46)-1,"dd mmmm yyyy"),TEXT(B3+(((B5-B3)*46)+45),"dd mmmm yyyy"))</f>
        <v>01 February 2029 - 28 February 2029</v>
      </c>
      <c r="B54" s="153" t="s">
        <v>24</v>
      </c>
    </row>
    <row r="55" ht="20.25" customHeight="1" spans="1:2">
      <c r="A55" s="153" t="str">
        <f>IF(B2,TEXT(EDATE(B3,46),"dd mmmm yyyy"),TEXT(B3+((B5-B3)*46)+46,"dd mmmm yyyy"))&amp;" - "&amp;IF(B2,TEXT(EDATE(B3,47)-1,"dd mmmm yyyy"),TEXT(B3+(((B5-B3)*47)+46),"dd mmmm yyyy"))</f>
        <v>01 March 2029 - 31 March 2029</v>
      </c>
      <c r="B55" s="153"/>
    </row>
    <row r="56" ht="20.25" customHeight="1" spans="1:2">
      <c r="A56" s="153" t="str">
        <f>IF(B2,TEXT(EDATE(B3,47),"dd mmmm yyyy"),TEXT(B3+((B5-B3)*47)+47,"dd mmmm yyyy"))&amp;" - "&amp;IF(B2,TEXT(EDATE(B3,48)-1,"dd mmmm yyyy"),TEXT(B3+(((B5-B3)*48)+47),"dd mmmm yyyy"))</f>
        <v>01 April 2029 - 30 April 2029</v>
      </c>
      <c r="B56" s="153"/>
    </row>
    <row r="57" ht="20.25" customHeight="1"/>
    <row r="58" ht="20.25" customHeight="1"/>
    <row r="59" ht="20.25" customHeight="1"/>
    <row r="60" ht="20.25" customHeight="1"/>
    <row r="61" ht="20.25" customHeight="1"/>
    <row r="62" ht="20.25" customHeight="1"/>
    <row r="63" ht="20.25" customHeight="1"/>
    <row r="64" ht="20.25" customHeight="1"/>
    <row r="65" s="149" customFormat="1" ht="20.25" customHeight="1"/>
    <row r="66" s="149" customFormat="1" ht="20.25" customHeight="1"/>
    <row r="67" s="149" customFormat="1" ht="20.25" customHeight="1"/>
    <row r="68" s="149" customFormat="1" ht="20.25" customHeight="1"/>
    <row r="69" s="149" customFormat="1" ht="20.25" customHeight="1"/>
    <row r="70" s="149" customFormat="1" ht="20.25" customHeight="1"/>
    <row r="71" s="149" customFormat="1" ht="20.25" customHeight="1"/>
    <row r="72" s="149" customFormat="1" ht="20.25" customHeight="1"/>
    <row r="73" s="149" customFormat="1" ht="20.25" customHeight="1"/>
    <row r="74" s="149" customFormat="1" ht="20.25" customHeight="1"/>
    <row r="75" s="149" customFormat="1" ht="20.25" customHeight="1"/>
    <row r="76" s="149" customFormat="1" ht="20.25" customHeight="1"/>
    <row r="77" s="149" customFormat="1" ht="20.25" customHeight="1"/>
    <row r="78" s="149" customFormat="1" ht="20.25" customHeight="1"/>
    <row r="79" s="149" customFormat="1" ht="20.25" customHeight="1"/>
    <row r="80" s="149" customFormat="1" ht="20.25" customHeight="1"/>
    <row r="81" s="149" customFormat="1" ht="20.25" customHeight="1"/>
    <row r="82" s="149" customFormat="1" ht="20.25" customHeight="1"/>
    <row r="83" s="149" customFormat="1" ht="20.25" customHeight="1"/>
    <row r="84" s="149" customFormat="1" ht="20.25" customHeight="1"/>
    <row r="85" s="149" customFormat="1" ht="20.25" customHeight="1"/>
    <row r="86" s="149" customFormat="1" ht="20.25" customHeight="1"/>
    <row r="87" s="149" customFormat="1" ht="20.25" customHeight="1"/>
    <row r="88" s="149" customFormat="1" ht="20.25" customHeight="1"/>
    <row r="89" s="149" customFormat="1" ht="20.25" customHeight="1"/>
    <row r="90" s="149" customFormat="1" ht="20.25" customHeight="1"/>
    <row r="91" s="149" customFormat="1" ht="20.25" customHeight="1"/>
    <row r="92" s="149" customFormat="1" ht="20.25" customHeight="1"/>
    <row r="93" s="149" customFormat="1" ht="20.25" customHeight="1"/>
    <row r="94" s="149" customFormat="1" ht="20.25" customHeight="1"/>
    <row r="95" s="149" customFormat="1" ht="20.25" customHeight="1"/>
    <row r="96" s="149" customFormat="1" ht="20.25" customHeight="1"/>
    <row r="97" s="149" customFormat="1" ht="20.25" customHeight="1"/>
    <row r="98" s="149" customFormat="1" ht="20.25" customHeight="1"/>
    <row r="99" s="149" customFormat="1" ht="20.25" customHeight="1"/>
    <row r="100" s="149" customFormat="1" ht="20.25" customHeight="1"/>
    <row r="101" s="149" customFormat="1" ht="20.25" customHeight="1"/>
    <row r="102" s="149" customFormat="1" ht="20.25" customHeight="1"/>
    <row r="103" s="149" customFormat="1" ht="20.25" customHeight="1"/>
    <row r="104" s="149" customFormat="1" ht="20.25" customHeight="1"/>
    <row r="105" s="149" customFormat="1" ht="20.25" customHeight="1"/>
    <row r="106" s="149" customFormat="1" ht="20.25" customHeight="1"/>
    <row r="107" s="149" customFormat="1" ht="20.25" customHeight="1"/>
    <row r="108" s="149" customFormat="1" ht="20.25" customHeight="1"/>
    <row r="109" s="149" customFormat="1" ht="20.25" customHeight="1"/>
    <row r="110" s="149" customFormat="1" ht="20.25" customHeight="1"/>
    <row r="111" s="149" customFormat="1" ht="20.25" customHeight="1"/>
    <row r="112" s="149" customFormat="1" ht="20.25" customHeight="1"/>
    <row r="113" s="149" customFormat="1" ht="20.25" customHeight="1"/>
    <row r="114" s="149" customFormat="1" ht="20.25" customHeight="1"/>
    <row r="115" s="149" customFormat="1" ht="20.25" customHeight="1"/>
    <row r="116" s="149" customFormat="1" ht="20.25" customHeight="1"/>
    <row r="117" s="149" customFormat="1" ht="20.25" customHeight="1"/>
    <row r="118" s="149" customFormat="1" ht="20.25" customHeight="1"/>
    <row r="119" s="149" customFormat="1" ht="20.25" customHeight="1"/>
    <row r="120" s="149" customFormat="1" ht="20.25" customHeight="1"/>
    <row r="121" s="149" customFormat="1" ht="20.25" customHeight="1"/>
    <row r="122" s="149" customFormat="1" ht="20.25" customHeight="1"/>
    <row r="123" s="149" customFormat="1" ht="20.25" customHeight="1"/>
    <row r="124" s="149" customFormat="1" ht="20.25" customHeight="1"/>
    <row r="125" s="149" customFormat="1" ht="20.25" customHeight="1"/>
    <row r="126" s="149" customFormat="1" ht="20.25" customHeight="1"/>
    <row r="127" s="149" customFormat="1" ht="20.25" customHeight="1"/>
    <row r="129" s="149" customFormat="1" ht="20.25" customHeight="1"/>
    <row r="130" s="149" customFormat="1" ht="20.25" customHeight="1"/>
    <row r="131" s="149" customFormat="1" ht="20.25" customHeight="1"/>
    <row r="132" s="149" customFormat="1" ht="20.25" customHeight="1"/>
    <row r="133" s="149" customFormat="1" ht="20.25" customHeight="1"/>
    <row r="134" s="149" customFormat="1" ht="20.25" customHeight="1"/>
  </sheetData>
  <sheetProtection sheet="1" formatCells="0" objects="1"/>
  <protectedRanges>
    <protectedRange sqref="B1:B6" name="Settings"/>
    <protectedRange sqref="B9:B56" name="NameOfWorkSheet"/>
  </protectedRanges>
  <mergeCells count="19">
    <mergeCell ref="A8:B8"/>
    <mergeCell ref="A5:A6"/>
    <mergeCell ref="B5:B6"/>
    <mergeCell ref="B9:B11"/>
    <mergeCell ref="B12:B14"/>
    <mergeCell ref="B15:B17"/>
    <mergeCell ref="B18:B20"/>
    <mergeCell ref="B21:B23"/>
    <mergeCell ref="B24:B26"/>
    <mergeCell ref="B27:B29"/>
    <mergeCell ref="B30:B32"/>
    <mergeCell ref="B33:B35"/>
    <mergeCell ref="B36:B38"/>
    <mergeCell ref="B39:B41"/>
    <mergeCell ref="B42:B44"/>
    <mergeCell ref="B45:B47"/>
    <mergeCell ref="B48:B50"/>
    <mergeCell ref="B51:B53"/>
    <mergeCell ref="B54:B56"/>
  </mergeCells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204"/>
  <sheetViews>
    <sheetView zoomScale="104" zoomScaleNormal="104" topLeftCell="A93" workbookViewId="0">
      <selection activeCell="A61" sqref="A61"/>
    </sheetView>
  </sheetViews>
  <sheetFormatPr defaultColWidth="9" defaultRowHeight="17.6"/>
  <cols>
    <col min="1" max="1" width="25.6111111111111" style="87" customWidth="1"/>
    <col min="2" max="2" width="25.6111111111111" style="88" customWidth="1"/>
    <col min="3" max="3" width="20.625" style="87" customWidth="1"/>
    <col min="4" max="4" width="30.6111111111111" style="87" customWidth="1"/>
    <col min="5" max="5" width="25.6111111111111" style="88" customWidth="1"/>
    <col min="6" max="6" width="20.625" style="87" customWidth="1"/>
    <col min="7" max="7" width="9" style="87"/>
    <col min="8" max="8" width="23" style="87" customWidth="1"/>
    <col min="9" max="9" width="40.75" style="89" customWidth="1"/>
    <col min="10" max="10" width="28.625" style="88" customWidth="1"/>
    <col min="11" max="12" width="9" style="87"/>
    <col min="13" max="13" width="36.625" style="88" customWidth="1"/>
    <col min="14" max="14" width="21.125" style="88" customWidth="1"/>
    <col min="15" max="16384" width="9" style="87"/>
  </cols>
  <sheetData>
    <row r="1" s="15" customFormat="1" ht="35" customHeight="1" spans="1:14">
      <c r="A1" s="90" t="str">
        <f>"Forecasts For the Year "&amp;TEXT(Main!B3,"mmmm yyyy")&amp;" to "&amp;IF(Main!B2,TEXT(EDATE(Main!B3,3)-1,"mmmm yyyy"),TEXT(Main!B3+((Main!B5-Main!B3)*3+2),"mmmm yyyy"))</f>
        <v>Forecasts For the Year May 2025 to July 2025</v>
      </c>
      <c r="B1" s="90"/>
      <c r="C1" s="90"/>
      <c r="D1" s="90"/>
      <c r="E1" s="90"/>
      <c r="F1" s="90"/>
      <c r="G1" s="15"/>
      <c r="H1" s="15"/>
      <c r="I1" s="119" t="s">
        <v>25</v>
      </c>
      <c r="J1" s="119"/>
      <c r="M1" s="119" t="s">
        <v>26</v>
      </c>
      <c r="N1" s="119"/>
    </row>
    <row r="2" s="15" customFormat="1" ht="35" customHeight="1" spans="1:14">
      <c r="A2" s="91" t="s">
        <v>27</v>
      </c>
      <c r="B2" s="92"/>
      <c r="C2" s="92"/>
      <c r="D2" s="93" t="s">
        <v>28</v>
      </c>
      <c r="E2" s="93"/>
      <c r="F2" s="93"/>
      <c r="G2" s="15"/>
      <c r="H2" s="15"/>
      <c r="I2" s="120" t="s">
        <v>29</v>
      </c>
      <c r="J2" s="121" t="s">
        <v>30</v>
      </c>
      <c r="M2" s="129" t="s">
        <v>31</v>
      </c>
      <c r="N2" s="121" t="s">
        <v>32</v>
      </c>
    </row>
    <row r="3" s="15" customFormat="1" ht="35" customHeight="1" spans="1:14">
      <c r="A3" s="94" t="s">
        <v>33</v>
      </c>
      <c r="B3" s="95" t="s">
        <v>34</v>
      </c>
      <c r="C3" s="96">
        <v>0</v>
      </c>
      <c r="D3" s="97" t="s">
        <v>33</v>
      </c>
      <c r="E3" s="6" t="s">
        <v>34</v>
      </c>
      <c r="F3" s="113">
        <v>0</v>
      </c>
      <c r="G3" s="15"/>
      <c r="H3" s="15"/>
      <c r="I3" s="122" t="str">
        <f>TEXT(Main!B3,"dd mmmm yyyy")&amp;" - "&amp;IF(Main!B2,TEXT(EDATE(Main!B3,1)-1,"dd mmmm yyyy"),TEXT(Main!B3+(Main!B5-Main!B3)*1,"dd mmmm yyyy"))</f>
        <v>01 May 2025 - 31 May 2025</v>
      </c>
      <c r="J3" s="123">
        <f>E149</f>
        <v>0</v>
      </c>
      <c r="M3" s="127" t="str">
        <f>TEXT(Main!B3,"dd mmmm yyyy")&amp;" - "&amp;IF(Main!B2,TEXT(EDATE(Main!B3,3)-1,"dd mmmm yyyy"),TEXT(Main!B3+((Main!B5-Main!B3)*3+2),"dd mmmm yyyy"))</f>
        <v>01 May 2025 - 31 July 2025</v>
      </c>
      <c r="N3" s="123">
        <f>-C122</f>
        <v>0</v>
      </c>
    </row>
    <row r="4" s="15" customFormat="1" ht="35" customHeight="1" spans="1:14">
      <c r="A4" s="94"/>
      <c r="B4" s="95" t="s">
        <v>35</v>
      </c>
      <c r="C4" s="96">
        <v>0</v>
      </c>
      <c r="D4" s="98"/>
      <c r="E4" s="6" t="s">
        <v>35</v>
      </c>
      <c r="F4" s="113">
        <v>0</v>
      </c>
      <c r="G4" s="15"/>
      <c r="H4" s="15"/>
      <c r="I4" s="124" t="str">
        <f>IF(Main!B2,TEXT(EDATE(Main!B3,1),"dd mmmm yyyy"),TEXT(Main!B3+(Main!B5-Main!B3)+1,"dd mmmm yyyy"))&amp;" - "&amp;IF(Main!B2,TEXT(EDATE(Main!B3,2)-1,"dd mmmm yyyy"),TEXT(Main!B3+(Main!B5-Main!B3)*2+1,"dd mmmm yyyy"))</f>
        <v>01 June 2025 - 30 June 2025</v>
      </c>
      <c r="J4" s="123">
        <f>E176</f>
        <v>0</v>
      </c>
      <c r="M4" s="127" t="str">
        <f>IF(Main!B2,TEXT(EDATE(Main!B3,3),"dd mmmm yyyy"),TEXT(Main!B3+((Main!B5-Main!B3)*3+3),"dd mmmm yyyy"))&amp;" - "&amp;IF(Main!B2,TEXT(EDATE(Main!B3,6)-1,"dd mmmm yyyy"),TEXT(Main!B3+((Main!B5-Main!B3)*6+5),"dd mmmm yyyy"))</f>
        <v>01 August 2025 - 31 October 2025</v>
      </c>
      <c r="N4" s="123">
        <f ca="1">Forecast_2!C5</f>
        <v>0</v>
      </c>
    </row>
    <row r="5" s="15" customFormat="1" ht="35" customHeight="1" spans="1:14">
      <c r="A5" s="94"/>
      <c r="B5" s="95" t="s">
        <v>36</v>
      </c>
      <c r="C5" s="96">
        <v>0</v>
      </c>
      <c r="D5" s="98"/>
      <c r="E5" s="6" t="s">
        <v>36</v>
      </c>
      <c r="F5" s="113">
        <v>0</v>
      </c>
      <c r="G5" s="15"/>
      <c r="H5" s="15"/>
      <c r="I5" s="124" t="str">
        <f>IF(Main!B2,TEXT(EDATE(Main!B3,2),"dd mmmm yyyy"),TEXT(Main!B3+((Main!B5-Main!B3)*2)+2,"dd mmmm yyyy"))&amp;" - "&amp;IF(Main!B2,TEXT(EDATE(Main!B3,3)-1,"dd mmmm yyyy"),TEXT(Main!B3+((Main!B5-Main!B3)*3+2),"dd mmmm yyyy"))</f>
        <v>01 July 2025 - 31 July 2025</v>
      </c>
      <c r="J5" s="123">
        <f>E203</f>
        <v>0</v>
      </c>
      <c r="M5" s="127" t="str">
        <f>IF(Main!B2,TEXT(EDATE(Main!B3,6),"dd mmmm yyyy"),TEXT(Main!B3+((Main!B5-Main!B3)*6+6),"dd mmmm yyyy"))&amp;" - "&amp;IF(Main!B2,TEXT(EDATE(Main!B3,9)-1,"dd mmmm yyyy"),TEXT(Main!B3+((Main!B5-Main!B3)*9+8),"dd mmmm yyyy"))</f>
        <v>01 November 2025 - 31 January 2026</v>
      </c>
      <c r="N5" s="123">
        <f ca="1">Forecast_3!C5</f>
        <v>0</v>
      </c>
    </row>
    <row r="6" s="15" customFormat="1" ht="35" customHeight="1" spans="1:14">
      <c r="A6" s="94"/>
      <c r="B6" s="95" t="s">
        <v>37</v>
      </c>
      <c r="C6" s="96">
        <v>0</v>
      </c>
      <c r="D6" s="98"/>
      <c r="E6" s="6" t="s">
        <v>37</v>
      </c>
      <c r="F6" s="113">
        <v>0</v>
      </c>
      <c r="G6" s="15"/>
      <c r="H6" s="15"/>
      <c r="I6" s="124" t="str">
        <f>IF(Main!B2,TEXT(EDATE(Main!B3,3),"dd mmmm yyyy"),TEXT(Main!B3+((Main!B5-Main!B3)*3)+3,"dd mmmm yyyy"))&amp;" - "&amp;IF(Main!B2,TEXT(EDATE(Main!B3,4)-1,"dd mmmm yyyy"),TEXT(Main!B3+((Main!B5-Main!B3)*4+3),"dd mmmm yyyy"))</f>
        <v>01 August 2025 - 31 August 2025</v>
      </c>
      <c r="J6" s="123">
        <f ca="1">Forecast_2!E136</f>
        <v>0</v>
      </c>
      <c r="M6" s="127" t="str">
        <f>IF(Main!B2,TEXT(EDATE(Main!B3,9),"dd mmmm yyyy"),TEXT(Main!B3+((Main!B5-Main!B3)*9+9),"dd mmmm yyyy"))&amp;" - "&amp;IF(Main!B2,TEXT(EDATE(Main!B3,12)-1,"dd mmmm yyyy"),TEXT(Main!B3+((Main!B5-Main!B3)*12+11),"dd mmmm yyyy"))</f>
        <v>01 February 2026 - 30 April 2026</v>
      </c>
      <c r="N6" s="123">
        <f ca="1">Forecast_4!C5</f>
        <v>0</v>
      </c>
    </row>
    <row r="7" s="15" customFormat="1" ht="35" customHeight="1" spans="1:14">
      <c r="A7" s="94"/>
      <c r="B7" s="95" t="s">
        <v>38</v>
      </c>
      <c r="C7" s="99">
        <v>0</v>
      </c>
      <c r="D7" s="98"/>
      <c r="E7" s="6" t="s">
        <v>38</v>
      </c>
      <c r="F7" s="113">
        <v>0</v>
      </c>
      <c r="G7" s="15"/>
      <c r="H7" s="15"/>
      <c r="I7" s="124" t="str">
        <f>IF(Main!B2,TEXT(EDATE(Main!B3,4),"dd mmmm yyyy"),TEXT(Main!B3+((Main!B5-Main!B3)*4)+4,"dd mmmm yyyy"))&amp;" - "&amp;IF(Main!B2,TEXT(EDATE(Main!B3,5)-1,"dd mmmm yyyy"),TEXT(Main!B3+((Main!B5-Main!B3)*5+4),"dd mmmm yyyy"))</f>
        <v>01 September 2025 - 30 September 2025</v>
      </c>
      <c r="J7" s="123">
        <f ca="1">Forecast_2!E163</f>
        <v>0</v>
      </c>
      <c r="M7" s="127" t="str">
        <f>IF(Main!B2,TEXT(EDATE(Main!B3,12),"dd mmmm yyyy"),TEXT(Main!B3+((Main!B5-Main!B3)*12+12),"dd mmmm yyyy"))&amp;" - "&amp;IF(Main!B2,TEXT(EDATE(Main!B3,15)-1,"dd mmmm yyyy"),TEXT(Main!B3+((Main!B5-Main!B3)*15+14),"dd mmmm yyyy"))</f>
        <v>01 May 2026 - 31 July 2026</v>
      </c>
      <c r="N7" s="123">
        <f ca="1">Forecast_5!C5</f>
        <v>0</v>
      </c>
    </row>
    <row r="8" s="15" customFormat="1" ht="35" customHeight="1" spans="1:14">
      <c r="A8" s="94"/>
      <c r="B8" s="95" t="s">
        <v>39</v>
      </c>
      <c r="C8" s="96">
        <v>0</v>
      </c>
      <c r="D8" s="98"/>
      <c r="E8" s="6" t="s">
        <v>39</v>
      </c>
      <c r="F8" s="113">
        <v>0</v>
      </c>
      <c r="G8" s="15"/>
      <c r="H8" s="15"/>
      <c r="I8" s="124" t="str">
        <f>IF(Main!B2,TEXT(EDATE(Main!B3,5),"dd mmmm yyyy"),TEXT(Main!B3+((Main!B5-Main!B3)*5)+5,"dd mmmm yyyy"))&amp;" - "&amp;IF(Main!B2,TEXT(EDATE(Main!B3,6)-1,"dd mmmm yyyy"),TEXT(Main!B3+((Main!B5-Main!B3)*6+5),"dd mmmm yyyy"))</f>
        <v>01 October 2025 - 31 October 2025</v>
      </c>
      <c r="J8" s="123">
        <f ca="1">Forecast_2!E190</f>
        <v>0</v>
      </c>
      <c r="M8" s="130" t="str">
        <f>IF(Main!B2,TEXT(EDATE(Main!B3,15),"dd mmmm yyyy"),TEXT(Main!B3+((Main!B5-Main!B3)*15+15),"dd mmmm yyyy"))&amp;" - "&amp;IF(Main!B2,TEXT(EDATE(Main!B3,18)-1,"dd mmmm yyyy"),TEXT(Main!B3+((Main!B5-Main!B3)*18+17),"dd mmmm yyyy"))</f>
        <v>01 August 2026 - 31 October 2026</v>
      </c>
      <c r="N8" s="123">
        <f ca="1">Forecast_6!C5</f>
        <v>0</v>
      </c>
    </row>
    <row r="9" s="15" customFormat="1" ht="35" customHeight="1" spans="1:14">
      <c r="A9" s="94"/>
      <c r="B9" s="95" t="s">
        <v>40</v>
      </c>
      <c r="C9" s="96">
        <v>0</v>
      </c>
      <c r="D9" s="98"/>
      <c r="E9" s="6" t="s">
        <v>40</v>
      </c>
      <c r="F9" s="8">
        <v>0</v>
      </c>
      <c r="G9" s="15"/>
      <c r="H9" s="15"/>
      <c r="I9" s="124" t="str">
        <f>IF(Main!B2,TEXT(EDATE(Main!B3,6),"dd mmmm yyyy"),TEXT(Main!B3+((Main!B5-Main!B3)*6)+6,"dd mmmm yyyy"))&amp;" - "&amp;IF(Main!B2,TEXT(EDATE(Main!B3,7)-1,"dd mmmm yyyy"),TEXT(Main!B3+((Main!B5-Main!B3)*7+6),"dd mmmm yyyy"))</f>
        <v>01 November 2025 - 30 November 2025</v>
      </c>
      <c r="J9" s="123">
        <f ca="1">Forecast_3!E136</f>
        <v>0</v>
      </c>
      <c r="M9" s="127" t="str">
        <f>IF(Main!B2,TEXT(EDATE(Main!B3,18),"dd mmmm yyyy"),TEXT(Main!B3+((Main!B5-Main!B3)*18+18),"dd mmmm yyyy"))&amp;" - "&amp;IF(Main!B2,TEXT(EDATE(Main!B3,21)-1,"dd mmmm yyyy"),TEXT(Main!B3+((Main!B5-Main!B3)*21+20),"dd mmmm yyyy"))</f>
        <v>01 November 2026 - 31 January 2027</v>
      </c>
      <c r="N9" s="131">
        <f ca="1">Forecast_7!C5</f>
        <v>0</v>
      </c>
    </row>
    <row r="10" s="15" customFormat="1" ht="35" customHeight="1" spans="1:14">
      <c r="A10" s="94"/>
      <c r="B10" s="95" t="s">
        <v>41</v>
      </c>
      <c r="C10" s="96">
        <v>0</v>
      </c>
      <c r="D10" s="98"/>
      <c r="E10" s="6" t="s">
        <v>41</v>
      </c>
      <c r="F10" s="113">
        <v>0</v>
      </c>
      <c r="G10" s="15"/>
      <c r="H10" s="15"/>
      <c r="I10" s="124" t="str">
        <f>IF(Main!B2,TEXT(EDATE(Main!B3,7),"dd mmmm yyyy"),TEXT(Main!B3+((Main!B5-Main!B3)*7)+7,"dd mmmm yyyy"))&amp;" - "&amp;IF(Main!B2,TEXT(EDATE(Main!B3,8)-1,"dd mmmm yyyy"),TEXT(Main!B3+((Main!B5-Main!B3)*8+7),"dd mmmm yyyy"))</f>
        <v>01 December 2025 - 31 December 2025</v>
      </c>
      <c r="J10" s="123">
        <f ca="1">Forecast_3!E163</f>
        <v>0</v>
      </c>
      <c r="M10" s="132" t="str">
        <f>IF(Main!B2,TEXT(EDATE(Main!B3,21),"dd mmmm yyyy"),TEXT(Main!B3+((Main!B5-Main!B3)*21+21),"dd mmmm yyyy"))&amp;" - "&amp;IF(Main!B2,TEXT(EDATE(Main!B3,24)-1,"dd mmmm yyyy"),TEXT(Main!B3+((Main!B5-Main!B3)*24+23),"dd mmmm yyyy"))</f>
        <v>01 February 2027 - 30 April 2027</v>
      </c>
      <c r="N10" s="123">
        <f ca="1">Forecast_8!C5</f>
        <v>0</v>
      </c>
    </row>
    <row r="11" s="15" customFormat="1" ht="35" customHeight="1" spans="1:14">
      <c r="A11" s="94"/>
      <c r="B11" s="95"/>
      <c r="C11" s="96">
        <v>0</v>
      </c>
      <c r="D11" s="98"/>
      <c r="E11" s="6"/>
      <c r="F11" s="113">
        <v>0</v>
      </c>
      <c r="G11" s="15"/>
      <c r="H11" s="15"/>
      <c r="I11" s="124" t="str">
        <f>IF(Main!B2,TEXT(EDATE(Main!B3,8),"dd mmmm yyyy"),TEXT(Main!B3+((Main!B5-Main!B3)*8)+8,"dd mmmm yyyy"))&amp;" - "&amp;IF(Main!B2,TEXT(EDATE(Main!B3,9)-1,"dd mmmm yyyy"),TEXT(Main!B3+((Main!B5-Main!B3)*9+8),"dd mmmm yyyy"))</f>
        <v>01 January 2026 - 31 January 2026</v>
      </c>
      <c r="J11" s="123">
        <f ca="1">Forecast_3!E190</f>
        <v>0</v>
      </c>
      <c r="M11" s="127" t="str">
        <f>IF(Main!B2,TEXT(EDATE(Main!B3,24),"dd mmmm yyyy"),TEXT(Main!B3+((Main!B5-Main!B3)*24+24),"dd mmmm yyyy"))&amp;" - "&amp;IF(Main!B2,TEXT(EDATE(Main!B3,27)-1,"dd mmmm yyyy"),TEXT(Main!B3+((Main!B5-Main!B3)*27+26),"dd mmmm yyyy"))</f>
        <v>01 May 2027 - 31 July 2027</v>
      </c>
      <c r="N11" s="126">
        <f ca="1">Forecast_9!C5</f>
        <v>0</v>
      </c>
    </row>
    <row r="12" s="15" customFormat="1" ht="35" customHeight="1" spans="1:14">
      <c r="A12" s="94"/>
      <c r="B12" s="95"/>
      <c r="C12" s="96">
        <v>0</v>
      </c>
      <c r="D12" s="98"/>
      <c r="E12" s="114"/>
      <c r="F12" s="113">
        <v>0</v>
      </c>
      <c r="G12" s="15"/>
      <c r="H12" s="15"/>
      <c r="I12" s="124" t="str">
        <f>IF(Main!B2,TEXT(EDATE(Main!B3,9),"dd mmmm yyyy"),TEXT(Main!B3+((Main!B5-Main!B3)*9)+9,"dd mmmm yyyy"))&amp;" - "&amp;IF(Main!B2,TEXT(EDATE(Main!B3,10)-1,"dd mmmm yyyy"),TEXT(Main!B3+((Main!B5-Main!B3)*10+9),"dd mmmm yyyy"))</f>
        <v>01 February 2026 - 28 February 2026</v>
      </c>
      <c r="J12" s="123">
        <f ca="1">Forecast_4!E136</f>
        <v>0</v>
      </c>
      <c r="M12" s="124" t="str">
        <f>IF(Main!B2,TEXT(EDATE(Main!B3,27),"dd mmmm yyyy"),TEXT(Main!B3+((Main!B5-Main!B3)*27+27),"dd mmmm yyyy"))&amp;" - "&amp;IF(Main!B2,TEXT(EDATE(Main!B3,30)-1,"dd mmmm yyyy"),TEXT(Main!B3+((Main!B5-Main!B3)*30+29),"dd mmmm yyyy"))</f>
        <v>01 August 2027 - 31 October 2027</v>
      </c>
      <c r="N12" s="126">
        <f ca="1">Forecast_10!C5</f>
        <v>0</v>
      </c>
    </row>
    <row r="13" s="15" customFormat="1" ht="35" customHeight="1" spans="1:14">
      <c r="A13" s="94"/>
      <c r="B13" s="95"/>
      <c r="C13" s="96">
        <v>0</v>
      </c>
      <c r="D13" s="98"/>
      <c r="E13" s="114"/>
      <c r="F13" s="113">
        <v>0</v>
      </c>
      <c r="G13" s="15"/>
      <c r="H13" s="15"/>
      <c r="I13" s="125" t="str">
        <f>IF(Main!B2,TEXT(EDATE(Main!B3,10),"dd mmmm yyyy"),TEXT(Main!B3+((Main!B5-Main!B3)*10)+10,"dd mmmm yyyy"))&amp;" - "&amp;IF(Main!B2,TEXT(EDATE(Main!B3,11)-1,"dd mmmm yyyy"),TEXT(Main!B3+((Main!B5-Main!B3)*11+10),"dd mmmm yyyy"))</f>
        <v>01 March 2026 - 31 March 2026</v>
      </c>
      <c r="J13" s="123">
        <f ca="1">Forecast_4!E163</f>
        <v>0</v>
      </c>
      <c r="M13" s="124" t="str">
        <f>IF(Main!B2,TEXT(EDATE(Main!B3,30),"dd mmmm yyyy"),TEXT(Main!B3+((Main!B5-Main!B3)*30+30),"dd mmmm yyyy"))&amp;" - "&amp;IF(Main!B2,TEXT(EDATE(Main!B3,33)-1,"dd mmmm yyyy"),TEXT(Main!B3+((Main!B5-Main!B3)*33+32),"dd mmmm yyyy"))</f>
        <v>01 November 2027 - 31 January 2028</v>
      </c>
      <c r="N13" s="126">
        <f ca="1">Forecast_11!C5</f>
        <v>0</v>
      </c>
    </row>
    <row r="14" s="15" customFormat="1" ht="35" customHeight="1" spans="1:14">
      <c r="A14" s="94"/>
      <c r="B14" s="95"/>
      <c r="C14" s="96">
        <v>0</v>
      </c>
      <c r="D14" s="98"/>
      <c r="E14" s="114"/>
      <c r="F14" s="113">
        <v>0</v>
      </c>
      <c r="G14" s="15"/>
      <c r="H14" s="15"/>
      <c r="I14" s="125" t="str">
        <f>IF(Main!B2,TEXT(EDATE(Main!B3,11),"dd mmmm yyyy"),TEXT(Main!B3+((Main!B5-Main!B3)*11)+11,"dd mmmm yyyy"))&amp;" - "&amp;IF(Main!B2,TEXT(EDATE(Main!B3,12)-1,"dd mmmm yyyy"),TEXT(Main!B3+((Main!B5-Main!B3)*12+11),"dd mmmm yyyy"))</f>
        <v>01 April 2026 - 30 April 2026</v>
      </c>
      <c r="J14" s="126">
        <f ca="1">Forecast_4!E190</f>
        <v>0</v>
      </c>
      <c r="M14" s="124" t="str">
        <f>IF(Main!B2,TEXT(EDATE(Main!B3,33),"dd mmmm yyyy"),TEXT(Main!B3+((Main!B5-Main!B3)*33+33),"dd mmmm yyyy"))&amp;" - "&amp;IF(Main!B2,TEXT(EDATE(Main!B3,36)-1,"dd mmmm yyyy"),TEXT(Main!B3+((Main!B5-Main!B3)*36+35),"dd mmmm yyyy"))</f>
        <v>01 February 2028 - 30 April 2028</v>
      </c>
      <c r="N14" s="126">
        <f ca="1">Forecast_12!C5</f>
        <v>0</v>
      </c>
    </row>
    <row r="15" s="15" customFormat="1" ht="35" customHeight="1" spans="1:14">
      <c r="A15" s="94"/>
      <c r="B15" s="100"/>
      <c r="C15" s="96">
        <v>0</v>
      </c>
      <c r="D15" s="98"/>
      <c r="E15" s="114"/>
      <c r="F15" s="113">
        <v>0</v>
      </c>
      <c r="G15" s="15"/>
      <c r="H15" s="15"/>
      <c r="I15" s="127" t="str">
        <f>IF(Main!B2,TEXT(EDATE(Main!B3,12),"dd mmmm yyyy"),TEXT(Main!B3+((Main!B5-Main!B3)*12)+12,"dd mmmm yyyy"))&amp;" - "&amp;IF(Main!B2,TEXT(EDATE(Main!B3,13)-1,"dd mmmm yyyy"),TEXT(Main!B3+((Main!B5-Main!B3)*13+12),"dd mmmm yyyy"))</f>
        <v>01 May 2026 - 31 May 2026</v>
      </c>
      <c r="J15" s="126">
        <f ca="1">Forecast_5!E136</f>
        <v>0</v>
      </c>
      <c r="M15" s="124" t="str">
        <f>IF(Main!B2,TEXT(EDATE(Main!B3,36),"dd mmmm yyyy"),TEXT(Main!B3+((Main!B5-Main!B3)*36+36),"dd mmmm yyyy"))&amp;" - "&amp;IF(Main!B2,TEXT(EDATE(Main!B3,39)-1,"dd mmmm yyyy"),TEXT(Main!B3+((Main!B5-Main!B3)*39+38),"dd mmmm yyyy"))</f>
        <v>01 May 2028 - 31 July 2028</v>
      </c>
      <c r="N15" s="126">
        <f ca="1">Forecast_13!C5</f>
        <v>0</v>
      </c>
    </row>
    <row r="16" s="15" customFormat="1" ht="35" customHeight="1" spans="1:14">
      <c r="A16" s="101"/>
      <c r="B16" s="102" t="s">
        <v>42</v>
      </c>
      <c r="C16" s="103">
        <f>SUM(C3:C15)</f>
        <v>0</v>
      </c>
      <c r="D16" s="104"/>
      <c r="E16" s="102" t="s">
        <v>42</v>
      </c>
      <c r="F16" s="113">
        <f>SUM(F3:F15)</f>
        <v>0</v>
      </c>
      <c r="I16" s="127" t="str">
        <f>IF(Main!B2,TEXT(EDATE(Main!B3,13),"dd mmmm yyyy"),TEXT(Main!B3+((Main!B5-Main!B3)*13)+13,"dd mmmm yyyy"))&amp;" - "&amp;IF(Main!B2,TEXT(EDATE(Main!B3,14)-1,"dd mmmm yyyy"),TEXT(Main!B3+((Main!B5-Main!B3)*14+13),"dd mmmm yyyy"))</f>
        <v>01 June 2026 - 30 June 2026</v>
      </c>
      <c r="J16" s="126">
        <f ca="1">Forecast_5!E163</f>
        <v>0</v>
      </c>
      <c r="M16" s="124" t="str">
        <f>IF(Main!B2,TEXT(EDATE(Main!B3,39),"dd mmmm yyyy"),TEXT(Main!B3+((Main!B5-Main!B3)*39+39),"dd mmmm yyyy"))&amp;" - "&amp;IF(Main!B2,TEXT(EDATE(Main!B3,42)-1,"dd mmmm yyyy"),TEXT(Main!B3+((Main!B5-Main!B3)*42+41),"dd mmmm yyyy"))</f>
        <v>01 August 2028 - 31 October 2028</v>
      </c>
      <c r="N16" s="126">
        <f ca="1">Forecast_14!C5</f>
        <v>0</v>
      </c>
    </row>
    <row r="17" s="15" customFormat="1" ht="35" customHeight="1" spans="2:14">
      <c r="B17" s="45"/>
      <c r="C17" s="15"/>
      <c r="D17" s="15"/>
      <c r="E17" s="45"/>
      <c r="F17" s="15"/>
      <c r="G17" s="15"/>
      <c r="H17" s="15"/>
      <c r="I17" s="127" t="str">
        <f>IF(Main!B2,TEXT(EDATE(Main!B3,14),"dd mmmm yyyy"),TEXT(Main!B3+((Main!B5-Main!B3)*14)+14,"dd mmmm yyyy"))&amp;" - "&amp;IF(Main!B2,TEXT(EDATE(Main!B3,15)-1,"dd mmmm yyyy"),TEXT(Main!B3+((Main!B5-Main!B3)*15+14),"dd mmmm yyyy"))</f>
        <v>01 July 2026 - 31 July 2026</v>
      </c>
      <c r="J17" s="126">
        <f ca="1">Forecast_5!E190</f>
        <v>0</v>
      </c>
      <c r="M17" s="124" t="str">
        <f>IF(Main!B2,TEXT(EDATE(Main!B3,42),"dd mmmm yyyy"),TEXT(Main!B3+((Main!B5-Main!B3)*42+42),"dd mmmm yyyy"))&amp;" - "&amp;IF(Main!B2,TEXT(EDATE(Main!B3,45)-1,"dd mmmm yyyy"),TEXT(Main!B3+((Main!B5-Main!B3)*45+44),"dd mmmm yyyy"))</f>
        <v>01 November 2028 - 31 January 2029</v>
      </c>
      <c r="N17" s="126">
        <f ca="1">Forecast_15!C5</f>
        <v>0</v>
      </c>
    </row>
    <row r="18" s="15" customFormat="1" ht="35" customHeight="1" spans="2:14">
      <c r="B18" s="45"/>
      <c r="C18" s="15"/>
      <c r="D18" s="15"/>
      <c r="E18" s="45"/>
      <c r="F18" s="15"/>
      <c r="G18" s="15"/>
      <c r="H18" s="15"/>
      <c r="I18" s="127" t="str">
        <f>IF(Main!B2,TEXT(EDATE(Main!B3,15),"dd mmmm yyyy"),TEXT(Main!B3+((Main!B5-Main!B3)*15)+15,"dd mmmm yyyy"))&amp;" - "&amp;IF(Main!B2,TEXT(EDATE(Main!B3,16)-1,"dd mmmm yyyy"),TEXT(Main!B3+((Main!B5-Main!B3)*16+15),"dd mmmm yyyy"))</f>
        <v>01 August 2026 - 31 August 2026</v>
      </c>
      <c r="J18" s="126">
        <f ca="1">Forecast_6!E136</f>
        <v>0</v>
      </c>
      <c r="M18" s="124" t="str">
        <f>IF(Main!B2,TEXT(EDATE(Main!B3,45),"dd mmmm yyyy"),TEXT(Main!B3+((Main!B5-Main!B3)*45+45),"dd mmmm yyyy"))&amp;" - "&amp;IF(Main!B2,TEXT(EDATE(Main!B3,48)-1,"dd mmmm yyyy"),TEXT(Main!B3+((Main!B5-Main!B3)*48+47),"dd mmmm yyyy"))</f>
        <v>01 February 2029 - 30 April 2029</v>
      </c>
      <c r="N18" s="123">
        <f ca="1">Forecast_16!C5</f>
        <v>0</v>
      </c>
    </row>
    <row r="19" s="15" customFormat="1" ht="35" customHeight="1" spans="2:14">
      <c r="B19" s="45"/>
      <c r="C19" s="15"/>
      <c r="D19" s="15"/>
      <c r="E19" s="45"/>
      <c r="F19" s="15"/>
      <c r="G19" s="15"/>
      <c r="H19" s="15"/>
      <c r="I19" s="127" t="str">
        <f>IF(Main!B2,TEXT(EDATE(Main!B3,16),"dd mmmm yyyy"),TEXT(Main!B3+((Main!B5-Main!B3)*16)+16,"dd mmmm yyyy"))&amp;" - "&amp;IF(Main!B2,TEXT(EDATE(Main!B3,17)-1,"dd mmmm yyyy"),TEXT(Main!B3+((Main!B5-Main!B3)*17+16),"dd mmmm yyyy"))</f>
        <v>01 September 2026 - 30 September 2026</v>
      </c>
      <c r="J19" s="126">
        <f ca="1">Forecast_6!E163</f>
        <v>0</v>
      </c>
      <c r="M19" s="45"/>
      <c r="N19" s="45"/>
    </row>
    <row r="20" s="15" customFormat="1" ht="35" customHeight="1" spans="2:14">
      <c r="B20" s="45"/>
      <c r="C20" s="15"/>
      <c r="D20" s="15"/>
      <c r="E20" s="45"/>
      <c r="F20" s="15"/>
      <c r="G20" s="15"/>
      <c r="H20" s="15"/>
      <c r="I20" s="127" t="str">
        <f>IF(Main!B2,TEXT(EDATE(Main!B3,17),"dd mmmm yyyy"),TEXT(Main!B3+((Main!B5-Main!B3)*17)+17,"dd mmmm yyyy"))&amp;" - "&amp;IF(Main!B2,TEXT(EDATE(Main!B3,18)-1,"dd mmmm yyyy"),TEXT(Main!B3+((Main!B5-Main!B3)*18+17),"dd mmmm yyyy"))</f>
        <v>01 October 2026 - 31 October 2026</v>
      </c>
      <c r="J20" s="126">
        <f ca="1">Forecast_6!E190</f>
        <v>0</v>
      </c>
      <c r="M20" s="45"/>
      <c r="N20" s="45"/>
    </row>
    <row r="21" s="15" customFormat="1" ht="35" customHeight="1" spans="2:14">
      <c r="B21" s="45"/>
      <c r="C21" s="15"/>
      <c r="D21" s="15"/>
      <c r="E21" s="45"/>
      <c r="F21" s="15"/>
      <c r="G21" s="15"/>
      <c r="H21" s="15"/>
      <c r="I21" s="127" t="str">
        <f>IF(Main!B2,TEXT(EDATE(Main!B3,18),"dd mmmm yyyy"),TEXT(Main!B3+((Main!B5-Main!B3)*18)+18,"dd mmmm yyyy"))&amp;" - "&amp;IF(Main!B2,TEXT(EDATE(Main!B3,19)-1,"dd mmmm yyyy"),TEXT(Main!B3+((Main!B5-Main!B3)*19+18),"dd mmmm yyyy"))</f>
        <v>01 November 2026 - 30 November 2026</v>
      </c>
      <c r="J21" s="126">
        <f ca="1">Forecast_7!E136</f>
        <v>0</v>
      </c>
      <c r="M21" s="45"/>
      <c r="N21" s="45"/>
    </row>
    <row r="22" s="15" customFormat="1" ht="35" customHeight="1" spans="1:14">
      <c r="A22" s="16" t="str">
        <f>TEXT(Main!B3,"dd mmmm yyyy")&amp;" - "&amp;IF(Main!B2,TEXT(EDATE(Main!B3,1)-1,"dd mmmm yyyy"),TEXT(Main!B3+Main!B5-Main!B3,"dd mmmm yyyy"))&amp;" / "&amp;" (Revenue / Deferred Debts Or Expenses)"</f>
        <v>01 May 2025 - 31 May 2025 /  (Revenue / Deferred Debts Or Expenses)</v>
      </c>
      <c r="B22" s="17"/>
      <c r="C22" s="17"/>
      <c r="D22" s="17"/>
      <c r="E22" s="17"/>
      <c r="F22" s="17"/>
      <c r="G22" s="17"/>
      <c r="H22" s="15"/>
      <c r="I22" s="127" t="str">
        <f>IF(Main!B2,TEXT(EDATE(Main!B3,19),"dd mmmm yyyy"),TEXT(Main!B3+((Main!B5-Main!B3)*19)+19,"dd mmmm yyyy"))&amp;" - "&amp;IF(Main!B2,TEXT(EDATE(Main!B3,20)-1,"dd mmmm yyyy"),TEXT(Main!B3+((Main!B5-Main!B3)*20+19),"dd mmmm yyyy"))</f>
        <v>01 December 2026 - 31 December 2026</v>
      </c>
      <c r="J22" s="126">
        <f ca="1">Forecast_7!E163</f>
        <v>0</v>
      </c>
      <c r="M22" s="45"/>
      <c r="N22" s="45"/>
    </row>
    <row r="23" s="15" customFormat="1" ht="35" customHeight="1" spans="1:14">
      <c r="A23" s="18" t="s">
        <v>29</v>
      </c>
      <c r="B23" s="18" t="s">
        <v>43</v>
      </c>
      <c r="C23" s="18"/>
      <c r="D23" s="18" t="s">
        <v>44</v>
      </c>
      <c r="E23" s="18"/>
      <c r="F23" s="18" t="s">
        <v>45</v>
      </c>
      <c r="G23" s="18"/>
      <c r="H23" s="15"/>
      <c r="I23" s="127" t="str">
        <f>IF(Main!B2,TEXT(EDATE(Main!B3,20),"dd mmmm yyyy"),TEXT(Main!B3+((Main!B5-Main!B3)*20)+20,"dd mmmm yyyy"))&amp;" - "&amp;IF(Main!B2,TEXT(EDATE(Main!B3,21)-1,"dd mmmm yyyy"),TEXT(Main!B3+((Main!B5-Main!B3)*21+20),"dd mmmm yyyy"))</f>
        <v>01 January 2027 - 31 January 2027</v>
      </c>
      <c r="J23" s="126">
        <f ca="1">Forecast_7!E190</f>
        <v>0</v>
      </c>
      <c r="M23" s="45"/>
      <c r="N23" s="45"/>
    </row>
    <row r="24" s="15" customFormat="1" ht="35" customHeight="1" spans="1:14">
      <c r="A24" s="105"/>
      <c r="B24" s="106"/>
      <c r="C24" s="107"/>
      <c r="D24" s="107"/>
      <c r="E24" s="106"/>
      <c r="F24" s="115">
        <v>0</v>
      </c>
      <c r="G24" s="116"/>
      <c r="H24" s="15"/>
      <c r="I24" s="127" t="str">
        <f>IF(Main!B2,TEXT(EDATE(Main!B3,21),"dd mmmm yyyy"),TEXT(Main!B3+((Main!B5-Main!B3)*21)+21,"dd mmmm yyyy"))&amp;" - "&amp;IF(Main!B2,TEXT(EDATE(Main!B3,22)-1,"dd mmmm yyyy"),TEXT(Main!B3+((Main!B5-Main!B3)*22+21),"dd mmmm yyyy"))</f>
        <v>01 February 2027 - 28 February 2027</v>
      </c>
      <c r="J24" s="126">
        <f ca="1">Forecast_8!E136</f>
        <v>0</v>
      </c>
      <c r="M24" s="45"/>
      <c r="N24" s="45"/>
    </row>
    <row r="25" s="15" customFormat="1" ht="35" customHeight="1" spans="1:14">
      <c r="A25" s="105"/>
      <c r="B25" s="23"/>
      <c r="C25" s="108"/>
      <c r="D25" s="109"/>
      <c r="E25" s="41"/>
      <c r="F25" s="115">
        <v>0</v>
      </c>
      <c r="G25" s="116"/>
      <c r="H25" s="15"/>
      <c r="I25" s="127" t="str">
        <f>IF(Main!B2,TEXT(EDATE(Main!B3,22),"dd mmmm yyyy"),TEXT(Main!B3+((Main!B5-Main!B3)*22)+22,"dd mmmm yyyy"))&amp;" - "&amp;IF(Main!B2,TEXT(EDATE(Main!B3,23)-1,"dd mmmm yyyy"),TEXT(Main!B3+((Main!B5-Main!B3)*23+22),"dd mmmm yyyy"))</f>
        <v>01 March 2027 - 31 March 2027</v>
      </c>
      <c r="J25" s="126">
        <f ca="1">Forecast_8!E163</f>
        <v>0</v>
      </c>
      <c r="M25" s="45"/>
      <c r="N25" s="45"/>
    </row>
    <row r="26" s="15" customFormat="1" ht="35" customHeight="1" spans="1:14">
      <c r="A26" s="105"/>
      <c r="B26" s="23"/>
      <c r="C26" s="108"/>
      <c r="D26" s="109"/>
      <c r="E26" s="41"/>
      <c r="F26" s="115">
        <v>0</v>
      </c>
      <c r="G26" s="116"/>
      <c r="H26" s="15"/>
      <c r="I26" s="125" t="str">
        <f>IF(Main!B2,TEXT(EDATE(Main!B3,23),"dd mmmm yyyy"),TEXT(Main!B3+((Main!B5-Main!B3)*23)+23,"dd mmmm yyyy"))&amp;" - "&amp;IF(Main!B2,TEXT(EDATE(Main!B3,24)-1,"dd mmmm yyyy"),TEXT(Main!B3+((Main!B5-Main!B3)*24+23),"dd mmmm yyyy"))</f>
        <v>01 April 2027 - 30 April 2027</v>
      </c>
      <c r="J26" s="126">
        <f ca="1">Forecast_8!E190</f>
        <v>0</v>
      </c>
      <c r="M26" s="45"/>
      <c r="N26" s="45"/>
    </row>
    <row r="27" s="15" customFormat="1" ht="35" customHeight="1" spans="1:14">
      <c r="A27" s="105"/>
      <c r="B27" s="23"/>
      <c r="C27" s="108"/>
      <c r="D27" s="109"/>
      <c r="E27" s="41"/>
      <c r="F27" s="115">
        <v>0</v>
      </c>
      <c r="G27" s="116"/>
      <c r="H27" s="15"/>
      <c r="I27" s="127" t="str">
        <f>IF(Main!B2,TEXT(EDATE(Main!B3,24),"dd mmmm yyyy"),TEXT(Main!B3+((Main!B5-Main!B3)*24)+24,"dd mmmm yyyy"))&amp;" - "&amp;IF(Main!B2,TEXT(EDATE(Main!B3,25)-1,"dd mmmm yyyy"),TEXT(Main!B3+((Main!B5-Main!B3)*25+24),"dd mmmm yyyy"))</f>
        <v>01 May 2027 - 31 May 2027</v>
      </c>
      <c r="J27" s="126">
        <f ca="1">Forecast_9!E136</f>
        <v>0</v>
      </c>
      <c r="M27" s="45"/>
      <c r="N27" s="45"/>
    </row>
    <row r="28" s="15" customFormat="1" ht="35" customHeight="1" spans="1:14">
      <c r="A28" s="105"/>
      <c r="B28" s="23"/>
      <c r="C28" s="108"/>
      <c r="D28" s="109"/>
      <c r="E28" s="41"/>
      <c r="F28" s="115">
        <v>0</v>
      </c>
      <c r="G28" s="116"/>
      <c r="H28" s="15"/>
      <c r="I28" s="127" t="str">
        <f>IF(Main!B2,TEXT(EDATE(Main!B3,25),"dd mmmm yyyy"),TEXT(Main!B3+((Main!B5-Main!B3)*25)+25,"dd mmmm yyyy"))&amp;" - "&amp;IF(Main!B2,TEXT(EDATE(Main!B3,26)-1,"dd mmmm yyyy"),TEXT(Main!B3+((Main!B5-Main!B3)*26+25),"dd mmmm yyyy"))</f>
        <v>01 June 2027 - 30 June 2027</v>
      </c>
      <c r="J28" s="126">
        <f ca="1">Forecast_9!E163</f>
        <v>0</v>
      </c>
      <c r="M28" s="45"/>
      <c r="N28" s="45"/>
    </row>
    <row r="29" s="15" customFormat="1" ht="35" customHeight="1" spans="1:14">
      <c r="A29" s="105"/>
      <c r="B29" s="23"/>
      <c r="C29" s="108"/>
      <c r="D29" s="109"/>
      <c r="E29" s="41"/>
      <c r="F29" s="115">
        <v>0</v>
      </c>
      <c r="G29" s="116"/>
      <c r="H29" s="15"/>
      <c r="I29" s="124" t="str">
        <f>IF(Main!B2,TEXT(EDATE(Main!B3,26),"dd mmmm yyyy"),TEXT(Main!B3+((Main!B5-Main!B3)*26)+26,"dd mmmm yyyy"))&amp;" - "&amp;IF(Main!B2,TEXT(EDATE(Main!B3,27)-1,"dd mmmm yyyy"),TEXT(Main!B3+((Main!B5-Main!B3)*27+26),"dd mmmm yyyy"))</f>
        <v>01 July 2027 - 31 July 2027</v>
      </c>
      <c r="J29" s="123">
        <f ca="1">Forecast_9!E190</f>
        <v>0</v>
      </c>
      <c r="M29" s="45"/>
      <c r="N29" s="45"/>
    </row>
    <row r="30" s="15" customFormat="1" ht="35" customHeight="1" spans="1:14">
      <c r="A30" s="24"/>
      <c r="B30" s="25"/>
      <c r="C30" s="110"/>
      <c r="D30" s="27" t="s">
        <v>46</v>
      </c>
      <c r="E30" s="42"/>
      <c r="F30" s="117">
        <f>SUM(F24:G29)</f>
        <v>0</v>
      </c>
      <c r="G30" s="118"/>
      <c r="H30" s="15"/>
      <c r="I30" s="127" t="str">
        <f>IF(Main!B2,TEXT(EDATE(Main!B3,27),"dd mmmm yyyy"),TEXT(Main!B3+((Main!B5-Main!B3)*27)+27,"dd mmmm yyyy"))&amp;" - "&amp;IF(Main!B2,TEXT(EDATE(Main!B3,28)-1,"dd mmmm yyyy"),TEXT(Main!B3+((Main!B5-Main!B3)*28+27),"dd mmmm yyyy"))</f>
        <v>01 August 2027 - 31 August 2027</v>
      </c>
      <c r="J30" s="128">
        <f ca="1">Forecast_10!E136</f>
        <v>0</v>
      </c>
      <c r="M30" s="45"/>
      <c r="N30" s="45"/>
    </row>
    <row r="31" s="15" customFormat="1" ht="35" customHeight="1" spans="2:14">
      <c r="B31" s="45"/>
      <c r="C31" s="15"/>
      <c r="D31" s="15"/>
      <c r="E31" s="45"/>
      <c r="F31" s="15"/>
      <c r="G31" s="15"/>
      <c r="H31" s="15"/>
      <c r="I31" s="127" t="str">
        <f>IF(Main!B2,TEXT(EDATE(Main!B3,28),"dd mmmm yyyy"),TEXT(Main!B3+((Main!B5-Main!B3)*28)+28,"dd mmmm yyyy"))&amp;" - "&amp;IF(Main!B2,TEXT(EDATE(Main!B3,29)-1,"dd mmmm yyyy"),TEXT(Main!B3+((Main!B5-Main!B3)*29+28),"dd mmmm yyyy"))</f>
        <v>01 September 2027 - 30 September 2027</v>
      </c>
      <c r="J31" s="126">
        <f ca="1">Forecast_10!E163</f>
        <v>0</v>
      </c>
      <c r="M31" s="45"/>
      <c r="N31" s="45"/>
    </row>
    <row r="32" s="15" customFormat="1" ht="35" customHeight="1" spans="2:14">
      <c r="B32" s="45"/>
      <c r="C32" s="15"/>
      <c r="D32" s="15"/>
      <c r="E32" s="45"/>
      <c r="F32" s="15"/>
      <c r="G32" s="15"/>
      <c r="H32" s="15"/>
      <c r="I32" s="127" t="str">
        <f>IF(Main!B2,TEXT(EDATE(Main!B3,29),"dd mmmm yyyy"),TEXT(Main!B3+((Main!B5-Main!B3)*29)+29,"dd mmmm yyyy"))&amp;" - "&amp;IF(Main!B2,TEXT(EDATE(Main!B3,30)-1,"dd mmmm yyyy"),TEXT(Main!B3+((Main!B5-Main!B3)*30+29),"dd mmmm yyyy"))</f>
        <v>01 October 2027 - 31 October 2027</v>
      </c>
      <c r="J32" s="126">
        <f ca="1">Forecast_10!E190</f>
        <v>0</v>
      </c>
      <c r="M32" s="45"/>
      <c r="N32" s="45"/>
    </row>
    <row r="33" s="15" customFormat="1" ht="35" customHeight="1" spans="2:14">
      <c r="B33" s="45"/>
      <c r="C33" s="15"/>
      <c r="D33" s="15"/>
      <c r="E33" s="45"/>
      <c r="F33" s="15"/>
      <c r="G33" s="15"/>
      <c r="H33" s="15"/>
      <c r="I33" s="127" t="str">
        <f>IF(Main!B2,TEXT(EDATE(Main!B3,30),"dd mmmm yyyy"),TEXT(Main!B3+((Main!B5-Main!B3)*30)+30,"dd mmmm yyyy"))&amp;" - "&amp;IF(Main!B2,TEXT(EDATE(Main!B3,31)-1,"dd mmmm yyyy"),TEXT(Main!B3+((Main!B5-Main!B3)*31+30),"dd mmmm yyyy"))</f>
        <v>01 November 2027 - 30 November 2027</v>
      </c>
      <c r="J33" s="126">
        <f ca="1">Forecast_11!E136</f>
        <v>0</v>
      </c>
      <c r="M33" s="45"/>
      <c r="N33" s="45"/>
    </row>
    <row r="34" s="15" customFormat="1" ht="35" customHeight="1" spans="1:14">
      <c r="A34" s="16" t="str">
        <f>IF(Main!B2,TEXT(EDATE(Main!B3,1),"dd mmmm yyyy"),TEXT(Main!B3+(Main!B5-Main!B3)+1,"dd mmmm yyyy"))&amp;" - "&amp;IF(Main!B2,TEXT(EDATE(Main!B3,2)-1,"dd mmmm yyyy"),TEXT(Main!B3+(Main!B5-Main!B3)*2+1,"dd mmmm yyyy"))&amp;" (Revenue / Deferred Debts Or Expenses)"</f>
        <v>01 June 2025 - 30 June 2025 (Revenue / Deferred Debts Or Expenses)</v>
      </c>
      <c r="B34" s="17"/>
      <c r="C34" s="17"/>
      <c r="D34" s="17"/>
      <c r="E34" s="17"/>
      <c r="F34" s="17"/>
      <c r="G34" s="17"/>
      <c r="H34" s="15"/>
      <c r="I34" s="127" t="str">
        <f>IF(Main!B2,TEXT(EDATE(Main!B3,31),"dd mmmm yyyy"),TEXT(Main!B3+((Main!B5-Main!B3)*31)+31,"dd mmmm yyyy"))&amp;" - "&amp;IF(Main!B2,TEXT(EDATE(Main!B3,32)-1,"dd mmmm yyyy"),TEXT(Main!B3+((Main!B5-Main!B3)*32+31),"dd mmmm yyyy"))</f>
        <v>01 December 2027 - 31 December 2027</v>
      </c>
      <c r="J34" s="126">
        <f ca="1">Forecast_11!E163</f>
        <v>0</v>
      </c>
      <c r="M34" s="45"/>
      <c r="N34" s="45"/>
    </row>
    <row r="35" s="15" customFormat="1" ht="35" customHeight="1" spans="1:14">
      <c r="A35" s="18" t="s">
        <v>29</v>
      </c>
      <c r="B35" s="18" t="s">
        <v>43</v>
      </c>
      <c r="C35" s="18"/>
      <c r="D35" s="18" t="s">
        <v>44</v>
      </c>
      <c r="E35" s="18"/>
      <c r="F35" s="18" t="s">
        <v>45</v>
      </c>
      <c r="G35" s="18"/>
      <c r="H35" s="15"/>
      <c r="I35" s="127" t="str">
        <f>IF(Main!B2,TEXT(EDATE(Main!B3,32),"dd mmmm yyyy"),TEXT(Main!B3+((Main!B5-Main!B3)*32)+32,"dd mmmm yyyy"))&amp;" - "&amp;IF(Main!B2,TEXT(EDATE(Main!B3,33)-1,"dd mmmm yyyy"),TEXT(Main!B3+((Main!B5-Main!B3)*33+32),"dd mmmm yyyy"))</f>
        <v>01 January 2028 - 31 January 2028</v>
      </c>
      <c r="J35" s="126">
        <f ca="1">Forecast_11!E190</f>
        <v>0</v>
      </c>
      <c r="M35" s="45"/>
      <c r="N35" s="45"/>
    </row>
    <row r="36" s="15" customFormat="1" ht="35" customHeight="1" spans="1:14">
      <c r="A36" s="105"/>
      <c r="B36" s="106"/>
      <c r="C36" s="107"/>
      <c r="D36" s="107"/>
      <c r="E36" s="106"/>
      <c r="F36" s="115">
        <v>0</v>
      </c>
      <c r="G36" s="116"/>
      <c r="H36" s="15"/>
      <c r="I36" s="127" t="str">
        <f>IF(Main!B2,TEXT(EDATE(Main!B3,33),"dd mmmm yyyy"),TEXT(Main!B3+((Main!B5-Main!B3)*33)+33,"dd mmmm yyyy"))&amp;" - "&amp;IF(Main!B2,TEXT(EDATE(Main!B3,34)-1,"dd mmmm yyyy"),TEXT(Main!B3+((Main!B5-Main!B3)*34+33),"dd mmmm yyyy"))</f>
        <v>01 February 2028 - 29 February 2028</v>
      </c>
      <c r="J36" s="126">
        <f ca="1">Forecast_12!E136</f>
        <v>0</v>
      </c>
      <c r="M36" s="45"/>
      <c r="N36" s="45"/>
    </row>
    <row r="37" s="15" customFormat="1" ht="35" customHeight="1" spans="1:14">
      <c r="A37" s="105"/>
      <c r="B37" s="23"/>
      <c r="C37" s="108"/>
      <c r="D37" s="109"/>
      <c r="E37" s="41"/>
      <c r="F37" s="115">
        <v>0</v>
      </c>
      <c r="G37" s="116"/>
      <c r="H37" s="15"/>
      <c r="I37" s="127" t="str">
        <f>IF(Main!B2,TEXT(EDATE(Main!B3,34),"dd mmmm yyyy"),TEXT(Main!B3+((Main!B5-Main!B3)*34)+34,"dd mmmm yyyy"))&amp;" - "&amp;IF(Main!B2,TEXT(EDATE(Main!B3,35)-1,"dd mmmm yyyy"),TEXT(Main!B3+((Main!B5-Main!B3)*35+34),"dd mmmm yyyy"))</f>
        <v>01 March 2028 - 31 March 2028</v>
      </c>
      <c r="J37" s="126">
        <f ca="1">Forecast_12!E163</f>
        <v>0</v>
      </c>
      <c r="M37" s="45"/>
      <c r="N37" s="45"/>
    </row>
    <row r="38" s="15" customFormat="1" ht="35" customHeight="1" spans="1:14">
      <c r="A38" s="105"/>
      <c r="B38" s="23"/>
      <c r="C38" s="108"/>
      <c r="D38" s="109"/>
      <c r="E38" s="41"/>
      <c r="F38" s="115">
        <v>0</v>
      </c>
      <c r="G38" s="116"/>
      <c r="H38" s="15"/>
      <c r="I38" s="127" t="str">
        <f>IF(Main!B2,TEXT(EDATE(Main!B3,35),"dd mmmm yyyy"),TEXT(Main!B3+((Main!B5-Main!B3)*35)+35,"dd mmmm yyyy"))&amp;" - "&amp;IF(Main!B2,TEXT(EDATE(Main!B3,36)-1,"dd mmmm yyyy"),TEXT(Main!B3+((Main!B5-Main!B3)*36+35),"dd mmmm yyyy"))</f>
        <v>01 April 2028 - 30 April 2028</v>
      </c>
      <c r="J38" s="126">
        <f ca="1">Forecast_12!E190</f>
        <v>0</v>
      </c>
      <c r="M38" s="45"/>
      <c r="N38" s="45"/>
    </row>
    <row r="39" s="15" customFormat="1" ht="35" customHeight="1" spans="1:14">
      <c r="A39" s="105"/>
      <c r="B39" s="23"/>
      <c r="C39" s="108"/>
      <c r="D39" s="109"/>
      <c r="E39" s="41"/>
      <c r="F39" s="115">
        <v>0</v>
      </c>
      <c r="G39" s="116"/>
      <c r="H39" s="15"/>
      <c r="I39" s="127" t="str">
        <f>IF(Main!B2,TEXT(EDATE(Main!B3,36),"dd mmmm yyyy"),TEXT(Main!B3+((Main!B5-Main!B3)*36)+36,"dd mmmm yyyy"))&amp;" - "&amp;IF(Main!B2,TEXT(EDATE(Main!B3,37)-1,"dd mmmm yyyy"),TEXT(Main!B3+((Main!B5-Main!B3)*37+36),"dd mmmm yyyy"))</f>
        <v>01 May 2028 - 31 May 2028</v>
      </c>
      <c r="J39" s="126">
        <f ca="1">Forecast_13!E136</f>
        <v>0</v>
      </c>
      <c r="M39" s="45"/>
      <c r="N39" s="45"/>
    </row>
    <row r="40" s="15" customFormat="1" ht="35" customHeight="1" spans="1:14">
      <c r="A40" s="105"/>
      <c r="B40" s="23"/>
      <c r="C40" s="108"/>
      <c r="D40" s="109"/>
      <c r="E40" s="41"/>
      <c r="F40" s="115">
        <v>0</v>
      </c>
      <c r="G40" s="116"/>
      <c r="H40" s="15"/>
      <c r="I40" s="127" t="str">
        <f>IF(Main!B2,TEXT(EDATE(Main!B3,37),"dd mmmm yyyy"),TEXT(Main!B3+((Main!B5-Main!B3)*37)+37,"dd mmmm yyyy"))&amp;" - "&amp;IF(Main!B2,TEXT(EDATE(Main!B3,38)-1,"dd mmmm yyyy"),TEXT(Main!B3+((Main!B5-Main!B3)*38+37),"dd mmmm yyyy"))</f>
        <v>01 June 2028 - 30 June 2028</v>
      </c>
      <c r="J40" s="126">
        <f ca="1">Forecast_13!E163</f>
        <v>0</v>
      </c>
      <c r="M40" s="45"/>
      <c r="N40" s="45"/>
    </row>
    <row r="41" s="15" customFormat="1" ht="35" customHeight="1" spans="1:14">
      <c r="A41" s="105"/>
      <c r="B41" s="23"/>
      <c r="C41" s="108"/>
      <c r="D41" s="109"/>
      <c r="E41" s="41"/>
      <c r="F41" s="115">
        <v>0</v>
      </c>
      <c r="G41" s="116"/>
      <c r="H41" s="15"/>
      <c r="I41" s="124" t="str">
        <f>IF(Main!B2,TEXT(EDATE(Main!B3,38),"dd mmmm yyyy"),TEXT(Main!B3+((Main!B5-Main!B3)*38)+38,"dd mmmm yyyy"))&amp;" - "&amp;IF(Main!B2,TEXT(EDATE(Main!B3,39)-1,"dd mmmm yyyy"),TEXT(Main!B3+((Main!B5-Main!B3)*39+38),"dd mmmm yyyy"))</f>
        <v>01 July 2028 - 31 July 2028</v>
      </c>
      <c r="J41" s="126">
        <f ca="1">Forecast_13!E190</f>
        <v>0</v>
      </c>
      <c r="M41" s="45"/>
      <c r="N41" s="45"/>
    </row>
    <row r="42" s="15" customFormat="1" ht="35" customHeight="1" spans="1:14">
      <c r="A42" s="24"/>
      <c r="B42" s="25"/>
      <c r="C42" s="110"/>
      <c r="D42" s="27" t="s">
        <v>46</v>
      </c>
      <c r="E42" s="42"/>
      <c r="F42" s="117">
        <f>SUM(F36:G41)</f>
        <v>0</v>
      </c>
      <c r="G42" s="118"/>
      <c r="H42" s="15"/>
      <c r="I42" s="124" t="str">
        <f>IF(Main!B2,TEXT(EDATE(Main!B3,39),"dd mmmm yyyy"),TEXT(Main!B3+((Main!B5-Main!B3)*39)+39,"dd mmmm yyyy"))&amp;" - "&amp;IF(Main!B2,TEXT(EDATE(Main!B3,40)-1,"dd mmmm yyyy"),TEXT(Main!B3+((Main!B5-Main!B3)*40+39),"dd mmmm yyyy"))</f>
        <v>01 August 2028 - 31 August 2028</v>
      </c>
      <c r="J42" s="126">
        <f ca="1">Forecast_14!E136</f>
        <v>0</v>
      </c>
      <c r="M42" s="45"/>
      <c r="N42" s="45"/>
    </row>
    <row r="43" s="15" customFormat="1" ht="35" customHeight="1" spans="2:14">
      <c r="B43" s="45"/>
      <c r="C43" s="15"/>
      <c r="D43" s="15"/>
      <c r="E43" s="45"/>
      <c r="F43" s="15"/>
      <c r="G43" s="15"/>
      <c r="H43" s="15"/>
      <c r="I43" s="124" t="str">
        <f>IF(Main!B2,TEXT(EDATE(Main!B3,40),"dd mmmm yyyy"),TEXT(Main!B3+((Main!B5-Main!B3)*40)+40,"dd mmmm yyyy"))&amp;" - "&amp;IF(Main!B2,TEXT(EDATE(Main!B3,41)-1,"dd mmmm yyyy"),TEXT(Main!B3+((Main!B5-Main!B3)*41+40),"dd mmmm yyyy"))</f>
        <v>01 September 2028 - 30 September 2028</v>
      </c>
      <c r="J43" s="126">
        <f ca="1">Forecast_14!E163</f>
        <v>0</v>
      </c>
      <c r="M43" s="45"/>
      <c r="N43" s="45"/>
    </row>
    <row r="44" s="15" customFormat="1" ht="35" customHeight="1" spans="2:14">
      <c r="B44" s="45"/>
      <c r="C44" s="15"/>
      <c r="D44" s="15"/>
      <c r="E44" s="45"/>
      <c r="F44" s="15"/>
      <c r="G44" s="15"/>
      <c r="H44" s="15"/>
      <c r="I44" s="124" t="str">
        <f>IF(Main!B2,TEXT(EDATE(Main!B3,41),"dd mmmm yyyy"),TEXT(Main!B3+((Main!B5-Main!B3)*41)+41,"dd mmmm yyyy"))&amp;" - "&amp;IF(Main!B2,TEXT(EDATE(Main!B3,42)-1,"dd mmmm yyyy"),TEXT(Main!B3+((Main!B5-Main!B3)*42+41),"dd mmmm yyyy"))</f>
        <v>01 October 2028 - 31 October 2028</v>
      </c>
      <c r="J44" s="126">
        <f ca="1">Forecast_14!E190</f>
        <v>0</v>
      </c>
      <c r="M44" s="45"/>
      <c r="N44" s="45"/>
    </row>
    <row r="45" s="15" customFormat="1" ht="35" customHeight="1" spans="2:14">
      <c r="B45" s="45"/>
      <c r="C45" s="15"/>
      <c r="D45" s="15"/>
      <c r="E45" s="45"/>
      <c r="F45" s="15"/>
      <c r="G45" s="15"/>
      <c r="H45" s="15"/>
      <c r="I45" s="124" t="str">
        <f>IF(Main!B2,TEXT(EDATE(Main!B3,42),"dd mmmm yyyy"),TEXT(Main!B3+((Main!B5-Main!B3)*42)+42,"dd mmmm yyyy"))&amp;" - "&amp;IF(Main!B2,TEXT(EDATE(Main!B3,43)-1,"dd mmmm yyyy"),TEXT(Main!B3+((Main!B5-Main!B3)*43+42),"dd mmmm yyyy"))</f>
        <v>01 November 2028 - 30 November 2028</v>
      </c>
      <c r="J45" s="126">
        <f ca="1">Forecast_15!E136</f>
        <v>0</v>
      </c>
      <c r="M45" s="45"/>
      <c r="N45" s="45"/>
    </row>
    <row r="46" s="15" customFormat="1" ht="35" customHeight="1" spans="1:14">
      <c r="A46" s="16" t="str">
        <f>IF(Main!B2,TEXT(EDATE(Main!B3,2),"dd mmmm yyyy"),TEXT(Main!B3+((Main!B5-Main!B3)*2)+2,"dd mmmm yyyy"))&amp;" - "&amp;IF(Main!B2,TEXT(EDATE(Main!B3,3)-1,"dd mmmm yyyy"),TEXT(Main!B3+((Main!B5-Main!B3)*3+2),"dd mmmm yyyy"))&amp;" (Revenue / Deferred Debts Or Expenses)"</f>
        <v>01 July 2025 - 31 July 2025 (Revenue / Deferred Debts Or Expenses)</v>
      </c>
      <c r="B46" s="17"/>
      <c r="C46" s="17"/>
      <c r="D46" s="17"/>
      <c r="E46" s="17"/>
      <c r="F46" s="17"/>
      <c r="G46" s="17"/>
      <c r="H46" s="15"/>
      <c r="I46" s="124" t="str">
        <f>IF(Main!B2,TEXT(EDATE(Main!B3,43),"dd mmmm yyyy"),TEXT(Main!B3+((Main!B5-Main!B3)*43)+43,"dd mmmm yyyy"))&amp;" - "&amp;IF(Main!B2,TEXT(EDATE(Main!B3,44)-1,"dd mmmm yyyy"),TEXT(Main!B3+((Main!B5-Main!B3)*44+43),"dd mmmm yyyy"))</f>
        <v>01 December 2028 - 31 December 2028</v>
      </c>
      <c r="J46" s="126">
        <f ca="1">Forecast_15!E163</f>
        <v>0</v>
      </c>
      <c r="M46" s="45"/>
      <c r="N46" s="45"/>
    </row>
    <row r="47" s="15" customFormat="1" ht="35" customHeight="1" spans="1:14">
      <c r="A47" s="18" t="s">
        <v>29</v>
      </c>
      <c r="B47" s="18" t="s">
        <v>43</v>
      </c>
      <c r="C47" s="18"/>
      <c r="D47" s="18" t="s">
        <v>44</v>
      </c>
      <c r="E47" s="18"/>
      <c r="F47" s="18" t="s">
        <v>45</v>
      </c>
      <c r="G47" s="18"/>
      <c r="H47" s="15"/>
      <c r="I47" s="124" t="str">
        <f>IF(Main!B2,TEXT(EDATE(Main!B3,44),"dd mmmm yyyy"),TEXT(Main!B3+((Main!B5-Main!B3)*44)+44,"dd mmmm yyyy"))&amp;" - "&amp;IF(Main!B2,TEXT(EDATE(Main!B3,45)-1,"dd mmmm yyyy"),TEXT(Main!B3+((Main!B5-Main!B3)*45+44),"dd mmmm yyyy"))</f>
        <v>01 January 2029 - 31 January 2029</v>
      </c>
      <c r="J47" s="126">
        <f ca="1">Forecast_15!E190</f>
        <v>0</v>
      </c>
      <c r="M47" s="45"/>
      <c r="N47" s="45"/>
    </row>
    <row r="48" s="15" customFormat="1" ht="35" customHeight="1" spans="1:14">
      <c r="A48" s="105"/>
      <c r="B48" s="106"/>
      <c r="C48" s="107"/>
      <c r="D48" s="107"/>
      <c r="E48" s="106"/>
      <c r="F48" s="115">
        <v>0</v>
      </c>
      <c r="G48" s="116"/>
      <c r="H48" s="15"/>
      <c r="I48" s="124" t="str">
        <f>IF(Main!B2,TEXT(EDATE(Main!B3,45),"dd mmmm yyyy"),TEXT(Main!B3+((Main!B5-Main!B3)*45)+45,"dd mmmm yyyy"))&amp;" - "&amp;IF(Main!B2,TEXT(EDATE(Main!B3,46)-1,"dd mmmm yyyy"),TEXT(Main!B3+((Main!B5-Main!B3)*46+45),"dd mmmm yyyy"))</f>
        <v>01 February 2029 - 28 February 2029</v>
      </c>
      <c r="J48" s="126">
        <f ca="1">Forecast_16!E136</f>
        <v>0</v>
      </c>
      <c r="M48" s="45"/>
      <c r="N48" s="45"/>
    </row>
    <row r="49" s="15" customFormat="1" ht="35" customHeight="1" spans="1:14">
      <c r="A49" s="105"/>
      <c r="B49" s="23"/>
      <c r="C49" s="108"/>
      <c r="D49" s="109"/>
      <c r="E49" s="41"/>
      <c r="F49" s="115">
        <v>0</v>
      </c>
      <c r="G49" s="116"/>
      <c r="H49" s="15"/>
      <c r="I49" s="124" t="str">
        <f>IF(Main!B2,TEXT(EDATE(Main!B3,46),"dd mmmm yyyy"),TEXT(Main!B3+((Main!B5-Main!B3)*46)+46,"dd mmmm yyyy"))&amp;" - "&amp;IF(Main!B2,TEXT(EDATE(Main!B3,47)-1,"dd mmmm yyyy"),TEXT(Main!B3+((Main!B5-Main!B3)*47+46),"dd mmmm yyyy"))</f>
        <v>01 March 2029 - 31 March 2029</v>
      </c>
      <c r="J49" s="126">
        <f ca="1">Forecast_16!E163</f>
        <v>0</v>
      </c>
      <c r="M49" s="45"/>
      <c r="N49" s="45"/>
    </row>
    <row r="50" s="15" customFormat="1" ht="35" customHeight="1" spans="1:14">
      <c r="A50" s="105"/>
      <c r="B50" s="23"/>
      <c r="C50" s="108"/>
      <c r="D50" s="109"/>
      <c r="E50" s="41"/>
      <c r="F50" s="115">
        <v>0</v>
      </c>
      <c r="G50" s="116"/>
      <c r="H50" s="15"/>
      <c r="I50" s="124" t="str">
        <f>IF(Main!B2,TEXT(EDATE(Main!B3,47),"dd mmmm yyyy"),TEXT(Main!B3+((Main!B5-Main!B3)*47)+47,"dd mmmm yyyy"))&amp;" - "&amp;IF(Main!B2,TEXT(EDATE(Main!B3,48)-1,"dd mmmm yyyy"),TEXT(Main!B3+((Main!B5-Main!B3)*48+47),"dd mmmm yyyy"))</f>
        <v>01 April 2029 - 30 April 2029</v>
      </c>
      <c r="J50" s="123">
        <f ca="1">Forecast_16!E190</f>
        <v>0</v>
      </c>
      <c r="M50" s="45"/>
      <c r="N50" s="45"/>
    </row>
    <row r="51" s="15" customFormat="1" ht="35" customHeight="1" spans="1:14">
      <c r="A51" s="105"/>
      <c r="B51" s="23"/>
      <c r="C51" s="108"/>
      <c r="D51" s="109"/>
      <c r="E51" s="41"/>
      <c r="F51" s="115">
        <v>0</v>
      </c>
      <c r="G51" s="116"/>
      <c r="H51" s="15"/>
      <c r="I51" s="45"/>
      <c r="J51" s="45"/>
      <c r="M51" s="45"/>
      <c r="N51" s="45"/>
    </row>
    <row r="52" s="15" customFormat="1" ht="35" customHeight="1" spans="1:14">
      <c r="A52" s="105"/>
      <c r="B52" s="23"/>
      <c r="C52" s="108"/>
      <c r="D52" s="109"/>
      <c r="E52" s="41"/>
      <c r="F52" s="115">
        <v>0</v>
      </c>
      <c r="G52" s="116"/>
      <c r="H52" s="15"/>
      <c r="I52" s="45"/>
      <c r="J52" s="45"/>
      <c r="M52" s="45"/>
      <c r="N52" s="45"/>
    </row>
    <row r="53" s="15" customFormat="1" ht="35" customHeight="1" spans="1:14">
      <c r="A53" s="105"/>
      <c r="B53" s="23"/>
      <c r="C53" s="108"/>
      <c r="D53" s="109"/>
      <c r="E53" s="41"/>
      <c r="F53" s="115">
        <v>0</v>
      </c>
      <c r="G53" s="116"/>
      <c r="H53" s="15"/>
      <c r="I53" s="45"/>
      <c r="J53" s="45"/>
      <c r="M53" s="45"/>
      <c r="N53" s="45"/>
    </row>
    <row r="54" s="15" customFormat="1" ht="35" customHeight="1" spans="1:14">
      <c r="A54" s="24"/>
      <c r="B54" s="25"/>
      <c r="C54" s="110"/>
      <c r="D54" s="27" t="s">
        <v>46</v>
      </c>
      <c r="E54" s="42"/>
      <c r="F54" s="117">
        <f>SUM(F48:G53)</f>
        <v>0</v>
      </c>
      <c r="G54" s="118"/>
      <c r="H54" s="15"/>
      <c r="I54" s="45"/>
      <c r="J54" s="45"/>
      <c r="M54" s="45"/>
      <c r="N54" s="45"/>
    </row>
    <row r="55" s="15" customFormat="1" ht="35" customHeight="1" spans="2:14">
      <c r="B55" s="45"/>
      <c r="C55" s="15"/>
      <c r="D55" s="15"/>
      <c r="E55" s="45"/>
      <c r="F55" s="15"/>
      <c r="G55" s="15"/>
      <c r="H55" s="15"/>
      <c r="I55" s="45"/>
      <c r="J55" s="45"/>
      <c r="M55" s="45"/>
      <c r="N55" s="45"/>
    </row>
    <row r="56" s="15" customFormat="1" ht="35" customHeight="1" spans="2:14">
      <c r="B56" s="45"/>
      <c r="C56" s="15"/>
      <c r="D56" s="15"/>
      <c r="E56" s="45"/>
      <c r="F56" s="15"/>
      <c r="G56" s="15"/>
      <c r="H56" s="15"/>
      <c r="I56" s="45"/>
      <c r="J56" s="45"/>
      <c r="M56" s="45"/>
      <c r="N56" s="45"/>
    </row>
    <row r="57" s="15" customFormat="1" ht="35" customHeight="1" spans="2:14">
      <c r="B57" s="45"/>
      <c r="C57" s="15"/>
      <c r="D57" s="15"/>
      <c r="E57" s="45"/>
      <c r="F57" s="15"/>
      <c r="G57" s="15"/>
      <c r="H57" s="15"/>
      <c r="I57" s="45"/>
      <c r="J57" s="45"/>
      <c r="M57" s="45"/>
      <c r="N57" s="45"/>
    </row>
    <row r="58" s="15" customFormat="1" ht="35" customHeight="1" spans="1:14">
      <c r="A58" s="28" t="str">
        <f>"Fixed Expense For the Year "&amp;TEXT(Main!B3,"mmmm yyyy")&amp;" - "&amp;IF(Main!B2,TEXT(EDATE(Main!B3,3)-1,"mmmm yyyy"),TEXT(Main!B3+((Main!B5-Main!B3)*3+2),"mmmm yyyy"))</f>
        <v>Fixed Expense For the Year May 2025 - July 2025</v>
      </c>
      <c r="B58" s="29"/>
      <c r="C58" s="30"/>
      <c r="D58" s="15"/>
      <c r="E58" s="45"/>
      <c r="F58" s="15"/>
      <c r="G58" s="15"/>
      <c r="H58" s="15"/>
      <c r="I58" s="45"/>
      <c r="J58" s="45"/>
      <c r="M58" s="45"/>
      <c r="N58" s="45"/>
    </row>
    <row r="59" s="15" customFormat="1" ht="35" customHeight="1" spans="1:14">
      <c r="A59" s="2" t="s">
        <v>43</v>
      </c>
      <c r="B59" s="2" t="s">
        <v>44</v>
      </c>
      <c r="C59" s="2" t="s">
        <v>45</v>
      </c>
      <c r="D59" s="15"/>
      <c r="E59" s="45"/>
      <c r="F59" s="15"/>
      <c r="G59" s="15"/>
      <c r="H59" s="15"/>
      <c r="I59" s="45"/>
      <c r="J59" s="45"/>
      <c r="M59" s="45"/>
      <c r="N59" s="45"/>
    </row>
    <row r="60" s="15" customFormat="1" ht="35" customHeight="1" spans="1:14">
      <c r="A60" s="31" t="s">
        <v>47</v>
      </c>
      <c r="B60" s="111"/>
      <c r="C60" s="33"/>
      <c r="D60" s="15"/>
      <c r="E60" s="45"/>
      <c r="F60" s="15"/>
      <c r="G60" s="15"/>
      <c r="H60" s="15"/>
      <c r="I60" s="45"/>
      <c r="J60" s="45"/>
      <c r="M60" s="45"/>
      <c r="N60" s="45"/>
    </row>
    <row r="61" s="15" customFormat="1" ht="35" customHeight="1" spans="1:14">
      <c r="A61" s="47"/>
      <c r="B61" s="112"/>
      <c r="C61" s="35">
        <v>0</v>
      </c>
      <c r="D61" s="15"/>
      <c r="E61" s="45"/>
      <c r="F61" s="15"/>
      <c r="G61" s="15"/>
      <c r="H61" s="15"/>
      <c r="I61" s="45"/>
      <c r="J61" s="45"/>
      <c r="M61" s="45"/>
      <c r="N61" s="45"/>
    </row>
    <row r="62" s="15" customFormat="1" ht="35" customHeight="1" spans="1:14">
      <c r="A62" s="47"/>
      <c r="B62" s="112"/>
      <c r="C62" s="35">
        <v>0</v>
      </c>
      <c r="D62" s="15"/>
      <c r="E62" s="45"/>
      <c r="F62" s="15"/>
      <c r="G62" s="15"/>
      <c r="H62" s="15"/>
      <c r="I62" s="45"/>
      <c r="J62" s="45"/>
      <c r="M62" s="45"/>
      <c r="N62" s="45"/>
    </row>
    <row r="63" s="15" customFormat="1" ht="35" customHeight="1" spans="1:14">
      <c r="A63" s="47"/>
      <c r="B63" s="112"/>
      <c r="C63" s="35">
        <v>0</v>
      </c>
      <c r="D63" s="15"/>
      <c r="E63" s="45"/>
      <c r="F63" s="15"/>
      <c r="G63" s="15"/>
      <c r="H63" s="15"/>
      <c r="I63" s="45"/>
      <c r="J63" s="45"/>
      <c r="M63" s="45"/>
      <c r="N63" s="45"/>
    </row>
    <row r="64" s="15" customFormat="1" ht="35" customHeight="1" spans="1:14">
      <c r="A64" s="47"/>
      <c r="B64" s="112"/>
      <c r="C64" s="35">
        <v>0</v>
      </c>
      <c r="D64" s="15"/>
      <c r="E64" s="45"/>
      <c r="F64" s="15"/>
      <c r="G64" s="15"/>
      <c r="H64" s="15"/>
      <c r="I64" s="45"/>
      <c r="J64" s="45"/>
      <c r="M64" s="45"/>
      <c r="N64" s="45"/>
    </row>
    <row r="65" s="15" customFormat="1" ht="35" customHeight="1" spans="1:14">
      <c r="A65" s="47"/>
      <c r="B65" s="112"/>
      <c r="C65" s="35">
        <v>0</v>
      </c>
      <c r="D65" s="15"/>
      <c r="E65" s="45"/>
      <c r="F65" s="15"/>
      <c r="G65" s="15"/>
      <c r="H65" s="15"/>
      <c r="I65" s="45"/>
      <c r="J65" s="45"/>
      <c r="M65" s="45"/>
      <c r="N65" s="45"/>
    </row>
    <row r="66" s="15" customFormat="1" ht="35" customHeight="1" spans="1:14">
      <c r="A66" s="47"/>
      <c r="B66" s="112"/>
      <c r="C66" s="35">
        <v>0</v>
      </c>
      <c r="D66" s="15"/>
      <c r="E66" s="45"/>
      <c r="F66" s="15"/>
      <c r="G66" s="15"/>
      <c r="H66" s="15"/>
      <c r="I66" s="45"/>
      <c r="J66" s="45"/>
      <c r="M66" s="45"/>
      <c r="N66" s="45"/>
    </row>
    <row r="67" s="15" customFormat="1" ht="35" customHeight="1" spans="1:14">
      <c r="A67" s="47"/>
      <c r="B67" s="112"/>
      <c r="C67" s="35">
        <v>0</v>
      </c>
      <c r="D67" s="15"/>
      <c r="E67" s="45"/>
      <c r="F67" s="15"/>
      <c r="G67" s="15"/>
      <c r="H67" s="15"/>
      <c r="I67" s="45"/>
      <c r="J67" s="45"/>
      <c r="M67" s="45"/>
      <c r="N67" s="45"/>
    </row>
    <row r="68" s="15" customFormat="1" ht="35" customHeight="1" spans="1:14">
      <c r="A68" s="47"/>
      <c r="B68" s="112"/>
      <c r="C68" s="35">
        <v>0</v>
      </c>
      <c r="D68" s="15"/>
      <c r="E68" s="45"/>
      <c r="F68" s="15"/>
      <c r="G68" s="15"/>
      <c r="H68" s="15"/>
      <c r="I68" s="45"/>
      <c r="J68" s="45"/>
      <c r="M68" s="45"/>
      <c r="N68" s="45"/>
    </row>
    <row r="69" s="15" customFormat="1" ht="35" customHeight="1" spans="1:14">
      <c r="A69" s="36"/>
      <c r="B69" s="37" t="s">
        <v>48</v>
      </c>
      <c r="C69" s="35">
        <f>SUM(C61:C68)</f>
        <v>0</v>
      </c>
      <c r="E69" s="45"/>
      <c r="F69" s="15"/>
      <c r="G69" s="15"/>
      <c r="H69" s="15"/>
      <c r="I69" s="45"/>
      <c r="J69" s="45"/>
      <c r="M69" s="45"/>
      <c r="N69" s="45"/>
    </row>
    <row r="70" s="15" customFormat="1" ht="35" customHeight="1" spans="1:14">
      <c r="A70" s="31" t="s">
        <v>49</v>
      </c>
      <c r="B70" s="111"/>
      <c r="C70" s="33"/>
      <c r="D70" s="15"/>
      <c r="E70" s="45"/>
      <c r="F70" s="15"/>
      <c r="G70" s="15"/>
      <c r="H70" s="15"/>
      <c r="I70" s="45"/>
      <c r="J70" s="45"/>
      <c r="M70" s="45"/>
      <c r="N70" s="45"/>
    </row>
    <row r="71" s="15" customFormat="1" ht="35" customHeight="1" spans="1:14">
      <c r="A71" s="47"/>
      <c r="B71" s="112"/>
      <c r="C71" s="35">
        <v>0</v>
      </c>
      <c r="D71" s="15"/>
      <c r="E71" s="45"/>
      <c r="F71" s="15"/>
      <c r="G71" s="15"/>
      <c r="H71" s="15"/>
      <c r="I71" s="45"/>
      <c r="J71" s="45"/>
      <c r="M71" s="45"/>
      <c r="N71" s="45"/>
    </row>
    <row r="72" s="15" customFormat="1" ht="35" customHeight="1" spans="1:14">
      <c r="A72" s="47"/>
      <c r="B72" s="112"/>
      <c r="C72" s="35">
        <v>0</v>
      </c>
      <c r="D72" s="15"/>
      <c r="E72" s="45"/>
      <c r="F72" s="15"/>
      <c r="G72" s="15"/>
      <c r="H72" s="15"/>
      <c r="I72" s="45"/>
      <c r="J72" s="45"/>
      <c r="M72" s="45"/>
      <c r="N72" s="45"/>
    </row>
    <row r="73" s="15" customFormat="1" ht="35" customHeight="1" spans="1:14">
      <c r="A73" s="47"/>
      <c r="B73" s="112"/>
      <c r="C73" s="35">
        <v>0</v>
      </c>
      <c r="D73" s="15"/>
      <c r="E73" s="45"/>
      <c r="F73" s="15"/>
      <c r="G73" s="15"/>
      <c r="H73" s="15"/>
      <c r="I73" s="45"/>
      <c r="J73" s="45"/>
      <c r="M73" s="45"/>
      <c r="N73" s="45"/>
    </row>
    <row r="74" s="15" customFormat="1" ht="35" customHeight="1" spans="1:14">
      <c r="A74" s="47"/>
      <c r="B74" s="112"/>
      <c r="C74" s="35">
        <v>0</v>
      </c>
      <c r="D74" s="15"/>
      <c r="E74" s="45"/>
      <c r="F74" s="15"/>
      <c r="G74" s="15"/>
      <c r="H74" s="15"/>
      <c r="I74" s="45"/>
      <c r="J74" s="45"/>
      <c r="M74" s="45"/>
      <c r="N74" s="45"/>
    </row>
    <row r="75" s="15" customFormat="1" ht="35" customHeight="1" spans="1:14">
      <c r="A75" s="47"/>
      <c r="B75" s="112"/>
      <c r="C75" s="35">
        <v>0</v>
      </c>
      <c r="D75" s="15"/>
      <c r="E75" s="45"/>
      <c r="F75" s="15"/>
      <c r="G75" s="15"/>
      <c r="H75" s="15"/>
      <c r="I75" s="45"/>
      <c r="J75" s="45"/>
      <c r="M75" s="45"/>
      <c r="N75" s="45"/>
    </row>
    <row r="76" s="15" customFormat="1" ht="35" customHeight="1" spans="1:14">
      <c r="A76" s="47"/>
      <c r="B76" s="112"/>
      <c r="C76" s="35">
        <v>0</v>
      </c>
      <c r="D76" s="15"/>
      <c r="E76" s="45"/>
      <c r="F76" s="15"/>
      <c r="G76" s="15"/>
      <c r="H76" s="15"/>
      <c r="I76" s="45"/>
      <c r="J76" s="45"/>
      <c r="M76" s="45"/>
      <c r="N76" s="45"/>
    </row>
    <row r="77" s="15" customFormat="1" ht="35" customHeight="1" spans="1:14">
      <c r="A77" s="47"/>
      <c r="B77" s="112"/>
      <c r="C77" s="35">
        <v>0</v>
      </c>
      <c r="D77" s="15"/>
      <c r="E77" s="45"/>
      <c r="F77" s="15"/>
      <c r="G77" s="15"/>
      <c r="H77" s="15"/>
      <c r="I77" s="45"/>
      <c r="J77" s="45"/>
      <c r="M77" s="45"/>
      <c r="N77" s="45"/>
    </row>
    <row r="78" s="15" customFormat="1" ht="35" customHeight="1" spans="1:14">
      <c r="A78" s="47"/>
      <c r="B78" s="112"/>
      <c r="C78" s="35">
        <v>0</v>
      </c>
      <c r="D78" s="15"/>
      <c r="E78" s="45"/>
      <c r="F78" s="15"/>
      <c r="G78" s="15"/>
      <c r="H78" s="15"/>
      <c r="I78" s="45"/>
      <c r="J78" s="45"/>
      <c r="M78" s="45"/>
      <c r="N78" s="45"/>
    </row>
    <row r="79" s="15" customFormat="1" ht="35" customHeight="1" spans="1:14">
      <c r="A79" s="47"/>
      <c r="B79" s="112"/>
      <c r="C79" s="35">
        <v>0</v>
      </c>
      <c r="D79" s="15"/>
      <c r="E79" s="45"/>
      <c r="F79" s="15"/>
      <c r="G79" s="15"/>
      <c r="H79" s="15"/>
      <c r="I79" s="45"/>
      <c r="J79" s="45"/>
      <c r="M79" s="45"/>
      <c r="N79" s="45"/>
    </row>
    <row r="80" s="15" customFormat="1" ht="35" customHeight="1" spans="1:14">
      <c r="A80" s="46"/>
      <c r="B80" s="37" t="s">
        <v>48</v>
      </c>
      <c r="C80" s="35">
        <f>SUM(C71:C79)</f>
        <v>0</v>
      </c>
      <c r="E80" s="45"/>
      <c r="F80" s="15"/>
      <c r="G80" s="15"/>
      <c r="H80" s="15"/>
      <c r="I80" s="45"/>
      <c r="J80" s="45"/>
      <c r="M80" s="45"/>
      <c r="N80" s="45"/>
    </row>
    <row r="81" s="15" customFormat="1" ht="35" customHeight="1" spans="1:14">
      <c r="A81" s="31" t="s">
        <v>50</v>
      </c>
      <c r="B81" s="111"/>
      <c r="C81" s="33"/>
      <c r="D81" s="15"/>
      <c r="E81" s="45"/>
      <c r="F81" s="15"/>
      <c r="G81" s="15"/>
      <c r="H81" s="15"/>
      <c r="I81" s="45"/>
      <c r="J81" s="45"/>
      <c r="M81" s="45"/>
      <c r="N81" s="45"/>
    </row>
    <row r="82" s="15" customFormat="1" ht="35" customHeight="1" spans="1:14">
      <c r="A82" s="47"/>
      <c r="B82" s="112"/>
      <c r="C82" s="35">
        <v>0</v>
      </c>
      <c r="D82" s="15"/>
      <c r="E82" s="45"/>
      <c r="F82" s="15"/>
      <c r="G82" s="15"/>
      <c r="H82" s="15"/>
      <c r="I82" s="45"/>
      <c r="J82" s="45"/>
      <c r="M82" s="45"/>
      <c r="N82" s="45"/>
    </row>
    <row r="83" s="15" customFormat="1" ht="35" customHeight="1" spans="1:14">
      <c r="A83" s="47"/>
      <c r="B83" s="112"/>
      <c r="C83" s="35">
        <v>0</v>
      </c>
      <c r="D83" s="15"/>
      <c r="E83" s="45"/>
      <c r="F83" s="15"/>
      <c r="G83" s="15"/>
      <c r="H83" s="15"/>
      <c r="I83" s="45"/>
      <c r="J83" s="45"/>
      <c r="M83" s="45"/>
      <c r="N83" s="45"/>
    </row>
    <row r="84" s="15" customFormat="1" ht="35" customHeight="1" spans="1:14">
      <c r="A84" s="47"/>
      <c r="B84" s="112"/>
      <c r="C84" s="35">
        <v>0</v>
      </c>
      <c r="D84" s="15"/>
      <c r="E84" s="45"/>
      <c r="F84" s="15"/>
      <c r="G84" s="15"/>
      <c r="H84" s="15"/>
      <c r="I84" s="45"/>
      <c r="J84" s="45"/>
      <c r="M84" s="45"/>
      <c r="N84" s="45"/>
    </row>
    <row r="85" s="15" customFormat="1" ht="35" customHeight="1" spans="1:14">
      <c r="A85" s="47"/>
      <c r="B85" s="112"/>
      <c r="C85" s="35">
        <v>0</v>
      </c>
      <c r="D85" s="15"/>
      <c r="E85" s="45"/>
      <c r="F85" s="15"/>
      <c r="G85" s="15"/>
      <c r="H85" s="15"/>
      <c r="I85" s="45"/>
      <c r="J85" s="45"/>
      <c r="M85" s="45"/>
      <c r="N85" s="45"/>
    </row>
    <row r="86" s="15" customFormat="1" ht="35" customHeight="1" spans="1:14">
      <c r="A86" s="47"/>
      <c r="B86" s="112"/>
      <c r="C86" s="35">
        <v>0</v>
      </c>
      <c r="D86" s="15"/>
      <c r="E86" s="45"/>
      <c r="F86" s="15"/>
      <c r="G86" s="15"/>
      <c r="H86" s="15"/>
      <c r="I86" s="45"/>
      <c r="J86" s="45"/>
      <c r="M86" s="45"/>
      <c r="N86" s="45"/>
    </row>
    <row r="87" s="15" customFormat="1" ht="35" customHeight="1" spans="1:14">
      <c r="A87" s="47"/>
      <c r="B87" s="112"/>
      <c r="C87" s="35">
        <v>0</v>
      </c>
      <c r="D87" s="15"/>
      <c r="E87" s="45"/>
      <c r="F87" s="15"/>
      <c r="G87" s="15"/>
      <c r="H87" s="15"/>
      <c r="I87" s="45"/>
      <c r="J87" s="45"/>
      <c r="M87" s="45"/>
      <c r="N87" s="45"/>
    </row>
    <row r="88" s="15" customFormat="1" ht="35" customHeight="1" spans="1:14">
      <c r="A88" s="47"/>
      <c r="B88" s="112"/>
      <c r="C88" s="35">
        <v>0</v>
      </c>
      <c r="D88" s="15"/>
      <c r="E88" s="45"/>
      <c r="F88" s="15"/>
      <c r="G88" s="15"/>
      <c r="H88" s="15"/>
      <c r="I88" s="45"/>
      <c r="J88" s="45"/>
      <c r="M88" s="45"/>
      <c r="N88" s="45"/>
    </row>
    <row r="89" s="15" customFormat="1" ht="35" customHeight="1" spans="1:14">
      <c r="A89" s="46"/>
      <c r="B89" s="37" t="s">
        <v>48</v>
      </c>
      <c r="C89" s="35">
        <f>SUM(C82:C88)</f>
        <v>0</v>
      </c>
      <c r="E89" s="45"/>
      <c r="F89" s="15"/>
      <c r="G89" s="15"/>
      <c r="H89" s="15"/>
      <c r="I89" s="45"/>
      <c r="J89" s="45"/>
      <c r="M89" s="45"/>
      <c r="N89" s="45"/>
    </row>
    <row r="90" s="15" customFormat="1" ht="35" customHeight="1" spans="1:14">
      <c r="A90" s="31" t="s">
        <v>51</v>
      </c>
      <c r="B90" s="111"/>
      <c r="C90" s="33"/>
      <c r="D90" s="15"/>
      <c r="E90" s="45"/>
      <c r="F90" s="15"/>
      <c r="G90" s="15"/>
      <c r="H90" s="15"/>
      <c r="I90" s="45"/>
      <c r="J90" s="45"/>
      <c r="M90" s="45"/>
      <c r="N90" s="45"/>
    </row>
    <row r="91" s="15" customFormat="1" ht="35" customHeight="1" spans="1:14">
      <c r="A91" s="47"/>
      <c r="B91" s="112"/>
      <c r="C91" s="35">
        <v>0</v>
      </c>
      <c r="D91" s="15"/>
      <c r="E91" s="45"/>
      <c r="F91" s="15"/>
      <c r="G91" s="15"/>
      <c r="H91" s="15"/>
      <c r="I91" s="45"/>
      <c r="J91" s="45"/>
      <c r="M91" s="45"/>
      <c r="N91" s="45"/>
    </row>
    <row r="92" s="15" customFormat="1" ht="35" customHeight="1" spans="1:14">
      <c r="A92" s="47"/>
      <c r="B92" s="112"/>
      <c r="C92" s="35">
        <v>0</v>
      </c>
      <c r="D92" s="15"/>
      <c r="E92" s="45"/>
      <c r="F92" s="15"/>
      <c r="G92" s="15"/>
      <c r="H92" s="15"/>
      <c r="I92" s="45"/>
      <c r="J92" s="45"/>
      <c r="M92" s="45"/>
      <c r="N92" s="45"/>
    </row>
    <row r="93" s="15" customFormat="1" ht="35" customHeight="1" spans="1:14">
      <c r="A93" s="47"/>
      <c r="B93" s="112"/>
      <c r="C93" s="35">
        <v>0</v>
      </c>
      <c r="D93" s="15"/>
      <c r="E93" s="45"/>
      <c r="F93" s="15"/>
      <c r="G93" s="15"/>
      <c r="H93" s="15"/>
      <c r="I93" s="45"/>
      <c r="J93" s="45"/>
      <c r="M93" s="45"/>
      <c r="N93" s="45"/>
    </row>
    <row r="94" s="15" customFormat="1" ht="35" customHeight="1" spans="1:14">
      <c r="A94" s="47"/>
      <c r="B94" s="112"/>
      <c r="C94" s="35">
        <v>0</v>
      </c>
      <c r="D94" s="15"/>
      <c r="E94" s="45"/>
      <c r="F94" s="15"/>
      <c r="G94" s="15"/>
      <c r="H94" s="15"/>
      <c r="I94" s="45"/>
      <c r="J94" s="45"/>
      <c r="M94" s="45"/>
      <c r="N94" s="45"/>
    </row>
    <row r="95" s="15" customFormat="1" ht="35" customHeight="1" spans="1:14">
      <c r="A95" s="47"/>
      <c r="B95" s="112"/>
      <c r="C95" s="35">
        <v>0</v>
      </c>
      <c r="D95" s="15"/>
      <c r="E95" s="45"/>
      <c r="F95" s="15"/>
      <c r="G95" s="15"/>
      <c r="H95" s="15"/>
      <c r="I95" s="45"/>
      <c r="J95" s="45"/>
      <c r="M95" s="45"/>
      <c r="N95" s="45"/>
    </row>
    <row r="96" s="15" customFormat="1" ht="35" customHeight="1" spans="1:14">
      <c r="A96" s="47"/>
      <c r="B96" s="112"/>
      <c r="C96" s="35">
        <v>0</v>
      </c>
      <c r="D96" s="15"/>
      <c r="E96" s="45"/>
      <c r="F96" s="15"/>
      <c r="G96" s="15"/>
      <c r="H96" s="15"/>
      <c r="I96" s="45"/>
      <c r="J96" s="45"/>
      <c r="M96" s="45"/>
      <c r="N96" s="45"/>
    </row>
    <row r="97" s="15" customFormat="1" ht="35" customHeight="1" spans="1:14">
      <c r="A97" s="47"/>
      <c r="B97" s="112"/>
      <c r="C97" s="35">
        <v>0</v>
      </c>
      <c r="D97" s="15"/>
      <c r="E97" s="45"/>
      <c r="F97" s="15"/>
      <c r="G97" s="15"/>
      <c r="H97" s="15"/>
      <c r="I97" s="45"/>
      <c r="J97" s="45"/>
      <c r="M97" s="45"/>
      <c r="N97" s="45"/>
    </row>
    <row r="98" s="15" customFormat="1" ht="35" customHeight="1" spans="1:14">
      <c r="A98" s="47"/>
      <c r="B98" s="112"/>
      <c r="C98" s="35">
        <v>0</v>
      </c>
      <c r="D98" s="15"/>
      <c r="E98" s="45"/>
      <c r="F98" s="15"/>
      <c r="G98" s="15"/>
      <c r="H98" s="15"/>
      <c r="I98" s="45"/>
      <c r="J98" s="45"/>
      <c r="M98" s="45"/>
      <c r="N98" s="45"/>
    </row>
    <row r="99" s="15" customFormat="1" ht="35" customHeight="1" spans="1:14">
      <c r="A99" s="46"/>
      <c r="B99" s="37" t="s">
        <v>48</v>
      </c>
      <c r="C99" s="35">
        <f>SUM(C91:C98)</f>
        <v>0</v>
      </c>
      <c r="E99" s="45"/>
      <c r="F99" s="15"/>
      <c r="G99" s="15"/>
      <c r="H99" s="15"/>
      <c r="I99" s="45"/>
      <c r="J99" s="45"/>
      <c r="M99" s="45"/>
      <c r="N99" s="45"/>
    </row>
    <row r="100" s="15" customFormat="1" ht="35" customHeight="1" spans="1:14">
      <c r="A100" s="31" t="s">
        <v>52</v>
      </c>
      <c r="B100" s="111"/>
      <c r="C100" s="33"/>
      <c r="D100" s="15"/>
      <c r="E100" s="45"/>
      <c r="F100" s="15"/>
      <c r="G100" s="15"/>
      <c r="H100" s="15"/>
      <c r="I100" s="45"/>
      <c r="J100" s="45"/>
      <c r="M100" s="45"/>
      <c r="N100" s="45"/>
    </row>
    <row r="101" s="15" customFormat="1" ht="35" customHeight="1" spans="1:14">
      <c r="A101" s="47"/>
      <c r="B101" s="112"/>
      <c r="C101" s="35">
        <v>0</v>
      </c>
      <c r="D101" s="15"/>
      <c r="E101" s="45"/>
      <c r="F101" s="15"/>
      <c r="G101" s="15"/>
      <c r="H101" s="15"/>
      <c r="I101" s="45"/>
      <c r="J101" s="45"/>
      <c r="M101" s="45"/>
      <c r="N101" s="45"/>
    </row>
    <row r="102" s="15" customFormat="1" ht="35" customHeight="1" spans="1:14">
      <c r="A102" s="47"/>
      <c r="B102" s="112"/>
      <c r="C102" s="35">
        <v>0</v>
      </c>
      <c r="D102" s="15"/>
      <c r="E102" s="45"/>
      <c r="F102" s="15"/>
      <c r="G102" s="15"/>
      <c r="H102" s="15"/>
      <c r="I102" s="45"/>
      <c r="J102" s="45"/>
      <c r="M102" s="45"/>
      <c r="N102" s="45"/>
    </row>
    <row r="103" s="15" customFormat="1" ht="35" customHeight="1" spans="1:14">
      <c r="A103" s="47"/>
      <c r="B103" s="112"/>
      <c r="C103" s="35">
        <v>0</v>
      </c>
      <c r="D103" s="15"/>
      <c r="E103" s="45"/>
      <c r="F103" s="15"/>
      <c r="G103" s="15"/>
      <c r="H103" s="15"/>
      <c r="I103" s="45"/>
      <c r="J103" s="45"/>
      <c r="M103" s="45"/>
      <c r="N103" s="45"/>
    </row>
    <row r="104" s="15" customFormat="1" ht="35" customHeight="1" spans="1:14">
      <c r="A104" s="47"/>
      <c r="B104" s="112"/>
      <c r="C104" s="35">
        <v>0</v>
      </c>
      <c r="D104" s="15"/>
      <c r="E104" s="45"/>
      <c r="F104" s="15"/>
      <c r="G104" s="15"/>
      <c r="H104" s="15"/>
      <c r="I104" s="45"/>
      <c r="J104" s="45"/>
      <c r="M104" s="45"/>
      <c r="N104" s="45"/>
    </row>
    <row r="105" s="15" customFormat="1" ht="35" customHeight="1" spans="1:14">
      <c r="A105" s="47"/>
      <c r="B105" s="112"/>
      <c r="C105" s="35">
        <v>0</v>
      </c>
      <c r="D105" s="15"/>
      <c r="E105" s="45"/>
      <c r="F105" s="15"/>
      <c r="G105" s="15"/>
      <c r="H105" s="15"/>
      <c r="I105" s="45"/>
      <c r="J105" s="45"/>
      <c r="M105" s="45"/>
      <c r="N105" s="45"/>
    </row>
    <row r="106" s="15" customFormat="1" ht="35" customHeight="1" spans="1:14">
      <c r="A106" s="47"/>
      <c r="B106" s="112"/>
      <c r="C106" s="35">
        <v>0</v>
      </c>
      <c r="D106" s="15"/>
      <c r="E106" s="45"/>
      <c r="F106" s="15"/>
      <c r="G106" s="15"/>
      <c r="H106" s="15"/>
      <c r="I106" s="45"/>
      <c r="J106" s="45"/>
      <c r="M106" s="45"/>
      <c r="N106" s="45"/>
    </row>
    <row r="107" s="15" customFormat="1" ht="35" customHeight="1" spans="1:14">
      <c r="A107" s="47"/>
      <c r="B107" s="112"/>
      <c r="C107" s="35">
        <v>0</v>
      </c>
      <c r="D107" s="15"/>
      <c r="E107" s="45"/>
      <c r="F107" s="15"/>
      <c r="G107" s="15"/>
      <c r="H107" s="15"/>
      <c r="I107" s="45"/>
      <c r="J107" s="45"/>
      <c r="M107" s="45"/>
      <c r="N107" s="45"/>
    </row>
    <row r="108" s="15" customFormat="1" ht="35" customHeight="1" spans="1:14">
      <c r="A108" s="47"/>
      <c r="B108" s="112"/>
      <c r="C108" s="35">
        <v>0</v>
      </c>
      <c r="D108" s="15"/>
      <c r="E108" s="45"/>
      <c r="F108" s="15"/>
      <c r="G108" s="15"/>
      <c r="H108" s="15"/>
      <c r="I108" s="45"/>
      <c r="J108" s="45"/>
      <c r="M108" s="45"/>
      <c r="N108" s="45"/>
    </row>
    <row r="109" s="15" customFormat="1" ht="35" customHeight="1" spans="1:14">
      <c r="A109" s="47"/>
      <c r="B109" s="37" t="s">
        <v>48</v>
      </c>
      <c r="C109" s="35">
        <f>SUM(C101:C108)</f>
        <v>0</v>
      </c>
      <c r="E109" s="45"/>
      <c r="F109" s="15"/>
      <c r="G109" s="15"/>
      <c r="H109" s="15"/>
      <c r="I109" s="45"/>
      <c r="J109" s="45"/>
      <c r="M109" s="45"/>
      <c r="N109" s="45"/>
    </row>
    <row r="110" s="15" customFormat="1" ht="35" customHeight="1" spans="1:14">
      <c r="A110" s="46"/>
      <c r="B110" s="37" t="s">
        <v>53</v>
      </c>
      <c r="C110" s="35">
        <f>C69+C80+C89+C99+C109</f>
        <v>0</v>
      </c>
      <c r="E110" s="45"/>
      <c r="F110" s="15"/>
      <c r="G110" s="15"/>
      <c r="H110" s="15"/>
      <c r="I110" s="45"/>
      <c r="J110" s="45"/>
      <c r="M110" s="45"/>
      <c r="N110" s="45"/>
    </row>
    <row r="111" s="15" customFormat="1" ht="35" customHeight="1" spans="1:14">
      <c r="A111" s="31" t="s">
        <v>54</v>
      </c>
      <c r="B111" s="111"/>
      <c r="C111" s="33"/>
      <c r="D111" s="15"/>
      <c r="E111" s="45"/>
      <c r="F111" s="15"/>
      <c r="G111" s="15"/>
      <c r="H111" s="15"/>
      <c r="I111" s="45"/>
      <c r="J111" s="45"/>
      <c r="M111" s="45"/>
      <c r="N111" s="45"/>
    </row>
    <row r="112" s="15" customFormat="1" ht="35" customHeight="1" spans="1:14">
      <c r="A112" s="47"/>
      <c r="B112" s="112"/>
      <c r="C112" s="35">
        <v>0</v>
      </c>
      <c r="D112" s="15"/>
      <c r="E112" s="45"/>
      <c r="F112" s="15"/>
      <c r="G112" s="15"/>
      <c r="H112" s="15"/>
      <c r="I112" s="45"/>
      <c r="J112" s="45"/>
      <c r="M112" s="45"/>
      <c r="N112" s="45"/>
    </row>
    <row r="113" s="15" customFormat="1" ht="35" customHeight="1" spans="1:14">
      <c r="A113" s="47"/>
      <c r="B113" s="112"/>
      <c r="C113" s="35">
        <v>0</v>
      </c>
      <c r="D113" s="15"/>
      <c r="E113" s="45"/>
      <c r="F113" s="15"/>
      <c r="G113" s="15"/>
      <c r="H113" s="15"/>
      <c r="I113" s="45"/>
      <c r="J113" s="45"/>
      <c r="M113" s="45"/>
      <c r="N113" s="45"/>
    </row>
    <row r="114" s="15" customFormat="1" ht="35" customHeight="1" spans="1:14">
      <c r="A114" s="47"/>
      <c r="B114" s="112"/>
      <c r="C114" s="35">
        <v>0</v>
      </c>
      <c r="D114" s="15"/>
      <c r="E114" s="45"/>
      <c r="F114" s="15"/>
      <c r="G114" s="15"/>
      <c r="H114" s="15"/>
      <c r="I114" s="45"/>
      <c r="J114" s="45"/>
      <c r="M114" s="45"/>
      <c r="N114" s="45"/>
    </row>
    <row r="115" s="15" customFormat="1" ht="35" customHeight="1" spans="1:14">
      <c r="A115" s="47"/>
      <c r="B115" s="112"/>
      <c r="C115" s="35">
        <v>0</v>
      </c>
      <c r="D115" s="15"/>
      <c r="E115" s="45"/>
      <c r="F115" s="15"/>
      <c r="G115" s="15"/>
      <c r="H115" s="15"/>
      <c r="I115" s="45"/>
      <c r="J115" s="45"/>
      <c r="M115" s="45"/>
      <c r="N115" s="45"/>
    </row>
    <row r="116" s="15" customFormat="1" ht="35" customHeight="1" spans="1:14">
      <c r="A116" s="47"/>
      <c r="B116" s="112"/>
      <c r="C116" s="35">
        <v>0</v>
      </c>
      <c r="D116" s="15"/>
      <c r="E116" s="45"/>
      <c r="F116" s="15"/>
      <c r="G116" s="15"/>
      <c r="H116" s="15"/>
      <c r="I116" s="45"/>
      <c r="J116" s="45"/>
      <c r="M116" s="45"/>
      <c r="N116" s="45"/>
    </row>
    <row r="117" s="15" customFormat="1" ht="35" customHeight="1" spans="1:14">
      <c r="A117" s="47"/>
      <c r="B117" s="112"/>
      <c r="C117" s="35">
        <v>0</v>
      </c>
      <c r="D117" s="15"/>
      <c r="E117" s="45"/>
      <c r="F117" s="15"/>
      <c r="G117" s="15"/>
      <c r="H117" s="15"/>
      <c r="I117" s="45"/>
      <c r="J117" s="45"/>
      <c r="M117" s="45"/>
      <c r="N117" s="45"/>
    </row>
    <row r="118" s="15" customFormat="1" ht="35" customHeight="1" spans="1:14">
      <c r="A118" s="47"/>
      <c r="B118" s="112"/>
      <c r="C118" s="35">
        <v>0</v>
      </c>
      <c r="D118" s="15"/>
      <c r="E118" s="45"/>
      <c r="F118" s="15"/>
      <c r="G118" s="15"/>
      <c r="H118" s="15"/>
      <c r="I118" s="45"/>
      <c r="J118" s="45"/>
      <c r="M118" s="45"/>
      <c r="N118" s="45"/>
    </row>
    <row r="119" s="15" customFormat="1" ht="35" customHeight="1" spans="1:14">
      <c r="A119" s="47"/>
      <c r="B119" s="112"/>
      <c r="C119" s="35">
        <v>0</v>
      </c>
      <c r="D119" s="15"/>
      <c r="E119" s="45"/>
      <c r="F119" s="15"/>
      <c r="G119" s="15"/>
      <c r="H119" s="15"/>
      <c r="I119" s="45"/>
      <c r="J119" s="45"/>
      <c r="M119" s="45"/>
      <c r="N119" s="45"/>
    </row>
    <row r="120" s="15" customFormat="1" ht="35" customHeight="1" spans="1:14">
      <c r="A120" s="47"/>
      <c r="B120" s="112"/>
      <c r="C120" s="35">
        <v>0</v>
      </c>
      <c r="D120" s="15"/>
      <c r="E120" s="45"/>
      <c r="F120" s="15"/>
      <c r="G120" s="15"/>
      <c r="H120" s="15"/>
      <c r="I120" s="45"/>
      <c r="J120" s="45"/>
      <c r="M120" s="45"/>
      <c r="N120" s="45"/>
    </row>
    <row r="121" s="15" customFormat="1" ht="35" customHeight="1" spans="1:14">
      <c r="A121" s="47"/>
      <c r="B121" s="112"/>
      <c r="C121" s="35">
        <v>0</v>
      </c>
      <c r="D121" s="15"/>
      <c r="E121" s="45"/>
      <c r="F121" s="15"/>
      <c r="G121" s="15"/>
      <c r="H121" s="15"/>
      <c r="I121" s="45"/>
      <c r="J121" s="45"/>
      <c r="M121" s="45"/>
      <c r="N121" s="45"/>
    </row>
    <row r="122" s="15" customFormat="1" ht="35" customHeight="1" spans="1:14">
      <c r="A122" s="46"/>
      <c r="B122" s="37" t="s">
        <v>55</v>
      </c>
      <c r="C122" s="35">
        <f>SUM(C112:C121)</f>
        <v>0</v>
      </c>
      <c r="E122" s="45"/>
      <c r="F122" s="15"/>
      <c r="G122" s="15"/>
      <c r="H122" s="15"/>
      <c r="I122" s="45"/>
      <c r="J122" s="45"/>
      <c r="M122" s="45"/>
      <c r="N122" s="45"/>
    </row>
    <row r="123" s="15" customFormat="1" ht="35" customHeight="1" spans="1:14">
      <c r="A123" s="46"/>
      <c r="B123" s="37" t="s">
        <v>56</v>
      </c>
      <c r="C123" s="35">
        <f>C122+C110</f>
        <v>0</v>
      </c>
      <c r="E123" s="45"/>
      <c r="F123" s="15"/>
      <c r="G123" s="15"/>
      <c r="H123" s="15"/>
      <c r="I123" s="45"/>
      <c r="J123" s="45"/>
      <c r="M123" s="45"/>
      <c r="N123" s="45"/>
    </row>
    <row r="124" s="15" customFormat="1" ht="35" customHeight="1" spans="2:14">
      <c r="B124" s="45"/>
      <c r="C124" s="15"/>
      <c r="D124" s="15"/>
      <c r="E124" s="45"/>
      <c r="F124" s="15"/>
      <c r="G124" s="15"/>
      <c r="H124" s="15"/>
      <c r="I124" s="45"/>
      <c r="J124" s="45"/>
      <c r="M124" s="45"/>
      <c r="N124" s="45"/>
    </row>
    <row r="125" s="15" customFormat="1" ht="35" customHeight="1" spans="2:14">
      <c r="B125" s="45"/>
      <c r="C125" s="15"/>
      <c r="D125" s="15"/>
      <c r="E125" s="45"/>
      <c r="F125" s="15"/>
      <c r="G125" s="15"/>
      <c r="H125" s="15"/>
      <c r="I125" s="45"/>
      <c r="J125" s="45"/>
      <c r="M125" s="45"/>
      <c r="N125" s="45"/>
    </row>
    <row r="126" s="15" customFormat="1" ht="35" customHeight="1" spans="2:14">
      <c r="B126" s="45"/>
      <c r="C126" s="15"/>
      <c r="D126" s="15"/>
      <c r="E126" s="45"/>
      <c r="F126" s="15"/>
      <c r="G126" s="15"/>
      <c r="H126" s="15"/>
      <c r="I126" s="45"/>
      <c r="J126" s="45"/>
      <c r="M126" s="45"/>
      <c r="N126" s="45"/>
    </row>
    <row r="127" s="15" customFormat="1" ht="35" customHeight="1" spans="2:14">
      <c r="B127" s="45"/>
      <c r="C127" s="15"/>
      <c r="D127" s="15"/>
      <c r="E127" s="45"/>
      <c r="F127" s="15"/>
      <c r="G127" s="15"/>
      <c r="H127" s="15"/>
      <c r="I127" s="45"/>
      <c r="J127" s="45"/>
      <c r="M127" s="45"/>
      <c r="N127" s="45"/>
    </row>
    <row r="128" s="15" customFormat="1" ht="35" customHeight="1" spans="1:14">
      <c r="A128" s="133" t="str">
        <f>"Debts Or Credits For the Comming "&amp;TEXT(Main!B3,"mmmm dd yyyy")&amp;" to "&amp;IF(Main!B2,TEXT(EDATE(Main!B3,1)-1,"mmmm dd yyyy"),TEXT(Main!B3+Main!B5-Main!B3,"dd mmmm yyyy"))</f>
        <v>Debts Or Credits For the Comming May 01 2025 to May 31 2025</v>
      </c>
      <c r="B128" s="133"/>
      <c r="C128" s="133"/>
      <c r="D128" s="133"/>
      <c r="E128" s="133"/>
      <c r="F128" s="15"/>
      <c r="G128" s="15"/>
      <c r="H128" s="15"/>
      <c r="I128" s="45"/>
      <c r="J128" s="45"/>
      <c r="M128" s="45"/>
      <c r="N128" s="45"/>
    </row>
    <row r="129" s="15" customFormat="1" ht="35" customHeight="1" spans="1:14">
      <c r="A129" s="134" t="s">
        <v>57</v>
      </c>
      <c r="B129" s="134"/>
      <c r="C129" s="134" t="s">
        <v>44</v>
      </c>
      <c r="D129" s="134"/>
      <c r="E129" s="134" t="s">
        <v>45</v>
      </c>
      <c r="F129" s="15"/>
      <c r="G129" s="15"/>
      <c r="H129" s="15"/>
      <c r="I129" s="45"/>
      <c r="J129" s="45"/>
      <c r="M129" s="45"/>
      <c r="N129" s="45"/>
    </row>
    <row r="130" s="15" customFormat="1" ht="35" customHeight="1" spans="1:14">
      <c r="A130" s="54" t="s">
        <v>52</v>
      </c>
      <c r="B130" s="55"/>
      <c r="C130" s="135" t="s">
        <v>58</v>
      </c>
      <c r="D130" s="136"/>
      <c r="E130" s="144"/>
      <c r="F130" s="15"/>
      <c r="G130" s="15"/>
      <c r="H130" s="15"/>
      <c r="I130" s="45"/>
      <c r="J130" s="45"/>
      <c r="M130" s="45"/>
      <c r="N130" s="45"/>
    </row>
    <row r="131" s="15" customFormat="1" ht="35" customHeight="1" spans="1:14">
      <c r="A131" s="58"/>
      <c r="B131" s="59"/>
      <c r="C131" s="137"/>
      <c r="D131" s="138"/>
      <c r="E131" s="14">
        <v>0</v>
      </c>
      <c r="F131" s="15"/>
      <c r="G131" s="15"/>
      <c r="H131" s="15"/>
      <c r="I131" s="45"/>
      <c r="J131" s="45"/>
      <c r="M131" s="45"/>
      <c r="N131" s="45"/>
    </row>
    <row r="132" s="15" customFormat="1" ht="35" customHeight="1" spans="1:14">
      <c r="A132" s="58"/>
      <c r="B132" s="59"/>
      <c r="C132" s="137"/>
      <c r="D132" s="138"/>
      <c r="E132" s="14">
        <v>0</v>
      </c>
      <c r="F132" s="15"/>
      <c r="G132" s="15"/>
      <c r="H132" s="15"/>
      <c r="I132" s="45"/>
      <c r="J132" s="45"/>
      <c r="M132" s="45"/>
      <c r="N132" s="45"/>
    </row>
    <row r="133" s="15" customFormat="1" ht="35" customHeight="1" spans="1:14">
      <c r="A133" s="58"/>
      <c r="B133" s="59"/>
      <c r="C133" s="137"/>
      <c r="D133" s="138"/>
      <c r="E133" s="14">
        <v>0</v>
      </c>
      <c r="F133" s="15"/>
      <c r="G133" s="15"/>
      <c r="H133" s="15"/>
      <c r="I133" s="45"/>
      <c r="J133" s="45"/>
      <c r="M133" s="45"/>
      <c r="N133" s="45"/>
    </row>
    <row r="134" s="15" customFormat="1" ht="35" customHeight="1" spans="1:14">
      <c r="A134" s="58"/>
      <c r="B134" s="59"/>
      <c r="C134" s="137"/>
      <c r="D134" s="138"/>
      <c r="E134" s="14">
        <v>0</v>
      </c>
      <c r="F134" s="15"/>
      <c r="G134" s="15"/>
      <c r="H134" s="15"/>
      <c r="I134" s="45"/>
      <c r="J134" s="45"/>
      <c r="M134" s="45"/>
      <c r="N134" s="45"/>
    </row>
    <row r="135" s="15" customFormat="1" ht="35" customHeight="1" spans="1:14">
      <c r="A135" s="58"/>
      <c r="B135" s="59"/>
      <c r="C135" s="137"/>
      <c r="D135" s="138"/>
      <c r="E135" s="14">
        <v>0</v>
      </c>
      <c r="F135" s="15"/>
      <c r="G135" s="15"/>
      <c r="H135" s="15"/>
      <c r="I135" s="45"/>
      <c r="J135" s="45"/>
      <c r="M135" s="45"/>
      <c r="N135" s="45"/>
    </row>
    <row r="136" s="15" customFormat="1" ht="35" customHeight="1" spans="1:14">
      <c r="A136" s="58"/>
      <c r="B136" s="59"/>
      <c r="C136" s="137"/>
      <c r="D136" s="138"/>
      <c r="E136" s="14">
        <v>0</v>
      </c>
      <c r="F136" s="15"/>
      <c r="G136" s="15"/>
      <c r="H136" s="15"/>
      <c r="I136" s="45"/>
      <c r="J136" s="45"/>
      <c r="M136" s="45"/>
      <c r="N136" s="45"/>
    </row>
    <row r="137" s="15" customFormat="1" ht="35" customHeight="1" spans="1:14">
      <c r="A137" s="58"/>
      <c r="B137" s="59"/>
      <c r="C137" s="137"/>
      <c r="D137" s="138"/>
      <c r="E137" s="14">
        <v>0</v>
      </c>
      <c r="F137" s="15"/>
      <c r="G137" s="15"/>
      <c r="H137" s="15"/>
      <c r="I137" s="45"/>
      <c r="J137" s="45"/>
      <c r="M137" s="45"/>
      <c r="N137" s="45"/>
    </row>
    <row r="138" s="15" customFormat="1" ht="35" customHeight="1" spans="1:14">
      <c r="A138" s="58"/>
      <c r="B138" s="59"/>
      <c r="C138" s="137"/>
      <c r="D138" s="138"/>
      <c r="E138" s="14">
        <v>0</v>
      </c>
      <c r="F138" s="15"/>
      <c r="G138" s="15"/>
      <c r="H138" s="15"/>
      <c r="I138" s="45"/>
      <c r="J138" s="45"/>
      <c r="M138" s="45"/>
      <c r="N138" s="45"/>
    </row>
    <row r="139" s="15" customFormat="1" ht="35" customHeight="1" spans="1:14">
      <c r="A139" s="58"/>
      <c r="B139" s="59"/>
      <c r="C139" s="137"/>
      <c r="D139" s="138"/>
      <c r="E139" s="14">
        <v>0</v>
      </c>
      <c r="F139" s="15"/>
      <c r="G139" s="15"/>
      <c r="H139" s="15"/>
      <c r="I139" s="45"/>
      <c r="J139" s="45"/>
      <c r="M139" s="45"/>
      <c r="N139" s="45"/>
    </row>
    <row r="140" s="15" customFormat="1" ht="35" customHeight="1" spans="1:14">
      <c r="A140" s="58"/>
      <c r="B140" s="59"/>
      <c r="C140" s="137"/>
      <c r="D140" s="138"/>
      <c r="E140" s="14">
        <v>0</v>
      </c>
      <c r="F140" s="15"/>
      <c r="G140" s="15"/>
      <c r="H140" s="15"/>
      <c r="I140" s="45"/>
      <c r="J140" s="45"/>
      <c r="M140" s="45"/>
      <c r="N140" s="45"/>
    </row>
    <row r="141" s="15" customFormat="1" ht="35" customHeight="1" spans="1:14">
      <c r="A141" s="58"/>
      <c r="B141" s="59"/>
      <c r="C141" s="135" t="s">
        <v>59</v>
      </c>
      <c r="D141" s="136"/>
      <c r="E141" s="144"/>
      <c r="F141" s="15"/>
      <c r="G141" s="15"/>
      <c r="H141" s="15"/>
      <c r="I141" s="45"/>
      <c r="J141" s="45"/>
      <c r="M141" s="45"/>
      <c r="N141" s="45"/>
    </row>
    <row r="142" s="15" customFormat="1" ht="35" customHeight="1" spans="1:14">
      <c r="A142" s="58"/>
      <c r="B142" s="59"/>
      <c r="C142" s="137"/>
      <c r="D142" s="138"/>
      <c r="E142" s="145">
        <v>0</v>
      </c>
      <c r="F142" s="15"/>
      <c r="G142" s="15"/>
      <c r="H142" s="15"/>
      <c r="I142" s="45"/>
      <c r="J142" s="45"/>
      <c r="M142" s="45"/>
      <c r="N142" s="45"/>
    </row>
    <row r="143" s="15" customFormat="1" ht="35" customHeight="1" spans="1:14">
      <c r="A143" s="58"/>
      <c r="B143" s="59"/>
      <c r="C143" s="137"/>
      <c r="D143" s="138"/>
      <c r="E143" s="145">
        <v>0</v>
      </c>
      <c r="F143" s="15"/>
      <c r="G143" s="15"/>
      <c r="H143" s="15"/>
      <c r="I143" s="45"/>
      <c r="J143" s="45"/>
      <c r="M143" s="45"/>
      <c r="N143" s="45"/>
    </row>
    <row r="144" s="15" customFormat="1" ht="35" customHeight="1" spans="1:14">
      <c r="A144" s="58"/>
      <c r="B144" s="59"/>
      <c r="C144" s="137"/>
      <c r="D144" s="138"/>
      <c r="E144" s="145">
        <v>0</v>
      </c>
      <c r="F144" s="15"/>
      <c r="G144" s="15"/>
      <c r="H144" s="15"/>
      <c r="I144" s="45"/>
      <c r="J144" s="45"/>
      <c r="M144" s="45"/>
      <c r="N144" s="45"/>
    </row>
    <row r="145" s="15" customFormat="1" ht="35" customHeight="1" spans="1:14">
      <c r="A145" s="58"/>
      <c r="B145" s="59"/>
      <c r="C145" s="137"/>
      <c r="D145" s="138"/>
      <c r="E145" s="145">
        <v>0</v>
      </c>
      <c r="F145" s="15"/>
      <c r="G145" s="15"/>
      <c r="H145" s="15"/>
      <c r="I145" s="45"/>
      <c r="J145" s="45"/>
      <c r="M145" s="45"/>
      <c r="N145" s="45"/>
    </row>
    <row r="146" s="15" customFormat="1" ht="35" customHeight="1" spans="1:14">
      <c r="A146" s="58"/>
      <c r="B146" s="59"/>
      <c r="C146" s="137"/>
      <c r="D146" s="138"/>
      <c r="E146" s="145">
        <v>0</v>
      </c>
      <c r="F146" s="15"/>
      <c r="G146" s="15"/>
      <c r="H146" s="15"/>
      <c r="I146" s="45"/>
      <c r="J146" s="45"/>
      <c r="M146" s="45"/>
      <c r="N146" s="45"/>
    </row>
    <row r="147" s="15" customFormat="1" ht="35" customHeight="1" spans="1:14">
      <c r="A147" s="67"/>
      <c r="B147" s="68"/>
      <c r="C147" s="137"/>
      <c r="D147" s="138"/>
      <c r="E147" s="145">
        <v>0</v>
      </c>
      <c r="F147" s="15"/>
      <c r="G147" s="15"/>
      <c r="H147" s="15"/>
      <c r="I147" s="45"/>
      <c r="J147" s="45"/>
      <c r="M147" s="45"/>
      <c r="N147" s="45"/>
    </row>
    <row r="148" s="15" customFormat="1" ht="35" customHeight="1" spans="1:14">
      <c r="A148" s="51" t="s">
        <v>60</v>
      </c>
      <c r="B148" s="69"/>
      <c r="C148" s="139"/>
      <c r="D148" s="140"/>
      <c r="E148" s="145">
        <f>C110</f>
        <v>0</v>
      </c>
      <c r="I148" s="45"/>
      <c r="J148" s="45"/>
      <c r="M148" s="45"/>
      <c r="N148" s="45"/>
    </row>
    <row r="149" s="15" customFormat="1" ht="35" customHeight="1" spans="1:14">
      <c r="A149" s="72"/>
      <c r="B149" s="141"/>
      <c r="C149" s="37" t="s">
        <v>61</v>
      </c>
      <c r="D149" s="37"/>
      <c r="E149" s="146">
        <f>F30-(SUM(E131:E140)+SUM(E142:E148))</f>
        <v>0</v>
      </c>
      <c r="I149" s="45"/>
      <c r="J149" s="45"/>
      <c r="M149" s="45"/>
      <c r="N149" s="45"/>
    </row>
    <row r="150" s="15" customFormat="1" ht="35" customHeight="1" spans="2:14">
      <c r="B150" s="45"/>
      <c r="C150" s="15"/>
      <c r="D150" s="15"/>
      <c r="E150" s="45"/>
      <c r="F150" s="15"/>
      <c r="G150" s="15"/>
      <c r="H150" s="15"/>
      <c r="I150" s="45"/>
      <c r="J150" s="45"/>
      <c r="M150" s="45"/>
      <c r="N150" s="45"/>
    </row>
    <row r="151" s="15" customFormat="1" ht="35" customHeight="1" spans="2:14">
      <c r="B151" s="45"/>
      <c r="C151" s="15"/>
      <c r="D151" s="15"/>
      <c r="E151" s="45"/>
      <c r="F151" s="15"/>
      <c r="G151" s="15"/>
      <c r="H151" s="15"/>
      <c r="I151" s="45"/>
      <c r="J151" s="45"/>
      <c r="M151" s="45"/>
      <c r="N151" s="45"/>
    </row>
    <row r="152" s="15" customFormat="1" ht="35" customHeight="1" spans="2:14">
      <c r="B152" s="45"/>
      <c r="C152" s="15"/>
      <c r="D152" s="15"/>
      <c r="E152" s="45"/>
      <c r="F152" s="15"/>
      <c r="G152" s="15"/>
      <c r="H152" s="15"/>
      <c r="I152" s="45"/>
      <c r="J152" s="45"/>
      <c r="M152" s="45"/>
      <c r="N152" s="45"/>
    </row>
    <row r="153" s="15" customFormat="1" ht="35" customHeight="1" spans="2:14">
      <c r="B153" s="45"/>
      <c r="C153" s="15"/>
      <c r="D153" s="15"/>
      <c r="E153" s="45"/>
      <c r="F153" s="15"/>
      <c r="G153" s="15"/>
      <c r="H153" s="15"/>
      <c r="I153" s="45"/>
      <c r="J153" s="45"/>
      <c r="M153" s="45"/>
      <c r="N153" s="45"/>
    </row>
    <row r="154" s="15" customFormat="1" ht="35" customHeight="1" spans="1:14">
      <c r="A154" s="48" t="str">
        <f>"Debts Or Credits For the Comming "&amp;IF(Main!B2,TEXT(EDATE(Main!B3,1),"mmmm dd yyyy"),TEXT(Main!B3+(Main!B5-Main!B3)+1,"mmmm dd yyyy"))&amp;" to "&amp;IF(Main!B2,TEXT(EDATE(Main!B3,2)-1,"dd mmmm yyyy"),TEXT(Main!B3+(Main!B5-Main!B3)*2+1,"dd mmmm yyyy"))</f>
        <v>Debts Or Credits For the Comming June 01 2025 to 30 June 2025</v>
      </c>
      <c r="B154" s="49"/>
      <c r="C154" s="49"/>
      <c r="D154" s="49"/>
      <c r="E154" s="50"/>
      <c r="F154" s="15"/>
      <c r="G154" s="15"/>
      <c r="H154" s="15"/>
      <c r="I154" s="45"/>
      <c r="J154" s="45"/>
      <c r="M154" s="45"/>
      <c r="N154" s="45"/>
    </row>
    <row r="155" s="15" customFormat="1" ht="35" customHeight="1" spans="1:14">
      <c r="A155" s="48" t="s">
        <v>57</v>
      </c>
      <c r="B155" s="50"/>
      <c r="C155" s="74" t="s">
        <v>44</v>
      </c>
      <c r="D155" s="75"/>
      <c r="E155" s="80" t="s">
        <v>45</v>
      </c>
      <c r="F155" s="15"/>
      <c r="G155" s="15"/>
      <c r="H155" s="15"/>
      <c r="I155" s="45"/>
      <c r="J155" s="45"/>
      <c r="M155" s="45"/>
      <c r="N155" s="45"/>
    </row>
    <row r="156" s="15" customFormat="1" ht="35" customHeight="1" spans="1:14">
      <c r="A156" s="51" t="str">
        <f>"Balance Brought Forward From "&amp;IF(Main!B2,TEXT(EDATE(Main!B3,1)-1,"mmmm yyyy"),TEXT(Main!B3+Main!B5-Main!B3,"mmmm yyyy"))</f>
        <v>Balance Brought Forward From May 2025</v>
      </c>
      <c r="B156" s="52"/>
      <c r="C156" s="53"/>
      <c r="D156" s="53"/>
      <c r="E156" s="146">
        <f>E149</f>
        <v>0</v>
      </c>
      <c r="I156" s="45"/>
      <c r="J156" s="45"/>
      <c r="M156" s="45"/>
      <c r="N156" s="45"/>
    </row>
    <row r="157" s="15" customFormat="1" ht="35" customHeight="1" spans="1:14">
      <c r="A157" s="54" t="s">
        <v>52</v>
      </c>
      <c r="B157" s="55"/>
      <c r="C157" s="142" t="s">
        <v>58</v>
      </c>
      <c r="D157" s="143"/>
      <c r="E157" s="147"/>
      <c r="F157" s="15"/>
      <c r="G157" s="15"/>
      <c r="H157" s="15"/>
      <c r="I157" s="45"/>
      <c r="J157" s="45"/>
      <c r="M157" s="45"/>
      <c r="N157" s="45"/>
    </row>
    <row r="158" s="15" customFormat="1" ht="35" customHeight="1" spans="1:14">
      <c r="A158" s="58"/>
      <c r="B158" s="59"/>
      <c r="C158" s="137"/>
      <c r="D158" s="138"/>
      <c r="E158" s="14">
        <v>0</v>
      </c>
      <c r="F158" s="15"/>
      <c r="G158" s="15"/>
      <c r="H158" s="15"/>
      <c r="I158" s="45"/>
      <c r="J158" s="45"/>
      <c r="M158" s="45"/>
      <c r="N158" s="45"/>
    </row>
    <row r="159" s="15" customFormat="1" ht="35" customHeight="1" spans="1:14">
      <c r="A159" s="58"/>
      <c r="B159" s="59"/>
      <c r="C159" s="137"/>
      <c r="D159" s="138"/>
      <c r="E159" s="14">
        <v>0</v>
      </c>
      <c r="F159" s="15"/>
      <c r="G159" s="15"/>
      <c r="H159" s="15"/>
      <c r="I159" s="45"/>
      <c r="J159" s="45"/>
      <c r="M159" s="45"/>
      <c r="N159" s="45"/>
    </row>
    <row r="160" s="15" customFormat="1" ht="35" customHeight="1" spans="1:14">
      <c r="A160" s="58"/>
      <c r="B160" s="59"/>
      <c r="C160" s="137"/>
      <c r="D160" s="138"/>
      <c r="E160" s="14">
        <v>0</v>
      </c>
      <c r="F160" s="15"/>
      <c r="G160" s="15"/>
      <c r="H160" s="15"/>
      <c r="I160" s="45"/>
      <c r="J160" s="45"/>
      <c r="M160" s="45"/>
      <c r="N160" s="45"/>
    </row>
    <row r="161" s="15" customFormat="1" ht="35" customHeight="1" spans="1:14">
      <c r="A161" s="58"/>
      <c r="B161" s="59"/>
      <c r="C161" s="137"/>
      <c r="D161" s="138"/>
      <c r="E161" s="14">
        <v>0</v>
      </c>
      <c r="F161" s="15"/>
      <c r="G161" s="15"/>
      <c r="H161" s="15"/>
      <c r="I161" s="45"/>
      <c r="J161" s="45"/>
      <c r="M161" s="45"/>
      <c r="N161" s="45"/>
    </row>
    <row r="162" s="15" customFormat="1" ht="35" customHeight="1" spans="1:14">
      <c r="A162" s="58"/>
      <c r="B162" s="59"/>
      <c r="C162" s="137"/>
      <c r="D162" s="138"/>
      <c r="E162" s="14">
        <v>0</v>
      </c>
      <c r="F162" s="15"/>
      <c r="G162" s="15"/>
      <c r="H162" s="15"/>
      <c r="I162" s="45"/>
      <c r="J162" s="45"/>
      <c r="M162" s="45"/>
      <c r="N162" s="45"/>
    </row>
    <row r="163" s="15" customFormat="1" ht="35" customHeight="1" spans="1:14">
      <c r="A163" s="58"/>
      <c r="B163" s="59"/>
      <c r="C163" s="137"/>
      <c r="D163" s="138"/>
      <c r="E163" s="14">
        <v>0</v>
      </c>
      <c r="F163" s="15"/>
      <c r="G163" s="15"/>
      <c r="H163" s="15"/>
      <c r="I163" s="45"/>
      <c r="J163" s="45"/>
      <c r="M163" s="45"/>
      <c r="N163" s="45"/>
    </row>
    <row r="164" s="15" customFormat="1" ht="35" customHeight="1" spans="1:14">
      <c r="A164" s="58"/>
      <c r="B164" s="59"/>
      <c r="C164" s="137"/>
      <c r="D164" s="138"/>
      <c r="E164" s="14">
        <v>0</v>
      </c>
      <c r="F164" s="15"/>
      <c r="G164" s="15"/>
      <c r="H164" s="15"/>
      <c r="I164" s="45"/>
      <c r="J164" s="45"/>
      <c r="M164" s="45"/>
      <c r="N164" s="45"/>
    </row>
    <row r="165" s="15" customFormat="1" ht="35" customHeight="1" spans="1:14">
      <c r="A165" s="58"/>
      <c r="B165" s="59"/>
      <c r="C165" s="137"/>
      <c r="D165" s="138"/>
      <c r="E165" s="14">
        <v>0</v>
      </c>
      <c r="F165" s="15"/>
      <c r="G165" s="15"/>
      <c r="H165" s="15"/>
      <c r="I165" s="45"/>
      <c r="J165" s="45"/>
      <c r="M165" s="45"/>
      <c r="N165" s="45"/>
    </row>
    <row r="166" s="15" customFormat="1" ht="35" customHeight="1" spans="1:14">
      <c r="A166" s="58"/>
      <c r="B166" s="59"/>
      <c r="C166" s="137"/>
      <c r="D166" s="138"/>
      <c r="E166" s="14">
        <v>0</v>
      </c>
      <c r="F166" s="15"/>
      <c r="G166" s="15"/>
      <c r="H166" s="15"/>
      <c r="I166" s="45"/>
      <c r="J166" s="45"/>
      <c r="M166" s="45"/>
      <c r="N166" s="45"/>
    </row>
    <row r="167" s="15" customFormat="1" ht="35" customHeight="1" spans="1:14">
      <c r="A167" s="58"/>
      <c r="B167" s="59"/>
      <c r="C167" s="137"/>
      <c r="D167" s="138"/>
      <c r="E167" s="14">
        <v>0</v>
      </c>
      <c r="F167" s="15"/>
      <c r="G167" s="15"/>
      <c r="H167" s="15"/>
      <c r="I167" s="45"/>
      <c r="J167" s="45"/>
      <c r="M167" s="45"/>
      <c r="N167" s="45"/>
    </row>
    <row r="168" s="15" customFormat="1" ht="35" customHeight="1" spans="1:14">
      <c r="A168" s="58"/>
      <c r="B168" s="59"/>
      <c r="C168" s="135" t="s">
        <v>59</v>
      </c>
      <c r="D168" s="136"/>
      <c r="E168" s="144"/>
      <c r="F168" s="15"/>
      <c r="G168" s="15"/>
      <c r="H168" s="15"/>
      <c r="I168" s="45"/>
      <c r="J168" s="45"/>
      <c r="M168" s="45"/>
      <c r="N168" s="45"/>
    </row>
    <row r="169" s="15" customFormat="1" ht="35" customHeight="1" spans="1:14">
      <c r="A169" s="58"/>
      <c r="B169" s="59"/>
      <c r="C169" s="137"/>
      <c r="D169" s="138"/>
      <c r="E169" s="145">
        <v>0</v>
      </c>
      <c r="F169" s="15"/>
      <c r="G169" s="15"/>
      <c r="H169" s="15"/>
      <c r="I169" s="45"/>
      <c r="J169" s="45"/>
      <c r="M169" s="45"/>
      <c r="N169" s="45"/>
    </row>
    <row r="170" s="15" customFormat="1" ht="35" customHeight="1" spans="1:14">
      <c r="A170" s="58"/>
      <c r="B170" s="59"/>
      <c r="C170" s="137"/>
      <c r="D170" s="138"/>
      <c r="E170" s="145">
        <v>0</v>
      </c>
      <c r="F170" s="15"/>
      <c r="G170" s="15"/>
      <c r="H170" s="15"/>
      <c r="I170" s="45"/>
      <c r="J170" s="45"/>
      <c r="M170" s="45"/>
      <c r="N170" s="45"/>
    </row>
    <row r="171" s="15" customFormat="1" ht="35" customHeight="1" spans="1:14">
      <c r="A171" s="58"/>
      <c r="B171" s="59"/>
      <c r="C171" s="137"/>
      <c r="D171" s="138"/>
      <c r="E171" s="145">
        <v>0</v>
      </c>
      <c r="F171" s="15"/>
      <c r="G171" s="15"/>
      <c r="H171" s="15"/>
      <c r="I171" s="45"/>
      <c r="J171" s="45"/>
      <c r="M171" s="45"/>
      <c r="N171" s="45"/>
    </row>
    <row r="172" s="15" customFormat="1" ht="35" customHeight="1" spans="1:14">
      <c r="A172" s="58"/>
      <c r="B172" s="59"/>
      <c r="C172" s="137"/>
      <c r="D172" s="138"/>
      <c r="E172" s="145">
        <v>0</v>
      </c>
      <c r="F172" s="15"/>
      <c r="G172" s="15"/>
      <c r="H172" s="15"/>
      <c r="I172" s="45"/>
      <c r="J172" s="45"/>
      <c r="M172" s="45"/>
      <c r="N172" s="45"/>
    </row>
    <row r="173" s="15" customFormat="1" ht="35" customHeight="1" spans="1:14">
      <c r="A173" s="58"/>
      <c r="B173" s="59"/>
      <c r="C173" s="137"/>
      <c r="D173" s="138"/>
      <c r="E173" s="145">
        <v>0</v>
      </c>
      <c r="F173" s="15"/>
      <c r="G173" s="15"/>
      <c r="H173" s="15"/>
      <c r="I173" s="45"/>
      <c r="J173" s="45"/>
      <c r="M173" s="45"/>
      <c r="N173" s="45"/>
    </row>
    <row r="174" s="15" customFormat="1" ht="35" customHeight="1" spans="1:14">
      <c r="A174" s="67"/>
      <c r="B174" s="68"/>
      <c r="C174" s="137"/>
      <c r="D174" s="138"/>
      <c r="E174" s="145">
        <v>0</v>
      </c>
      <c r="F174" s="15"/>
      <c r="G174" s="15"/>
      <c r="H174" s="15"/>
      <c r="I174" s="45"/>
      <c r="J174" s="45"/>
      <c r="M174" s="45"/>
      <c r="N174" s="45"/>
    </row>
    <row r="175" s="15" customFormat="1" ht="35" customHeight="1" spans="1:14">
      <c r="A175" s="51" t="s">
        <v>60</v>
      </c>
      <c r="B175" s="69"/>
      <c r="C175" s="139"/>
      <c r="D175" s="140"/>
      <c r="E175" s="145">
        <f>C110</f>
        <v>0</v>
      </c>
      <c r="I175" s="45"/>
      <c r="J175" s="45"/>
      <c r="M175" s="45"/>
      <c r="N175" s="45"/>
    </row>
    <row r="176" s="15" customFormat="1" ht="35" customHeight="1" spans="1:14">
      <c r="A176" s="72"/>
      <c r="B176" s="141"/>
      <c r="C176" s="37" t="s">
        <v>61</v>
      </c>
      <c r="D176" s="37"/>
      <c r="E176" s="148">
        <f>(F42+E156)-(SUM(E158:E167)+SUM(E169:E175))</f>
        <v>0</v>
      </c>
      <c r="I176" s="45"/>
      <c r="J176" s="45"/>
      <c r="M176" s="45"/>
      <c r="N176" s="45"/>
    </row>
    <row r="177" s="15" customFormat="1" ht="35" customHeight="1" spans="2:14">
      <c r="B177" s="45"/>
      <c r="C177" s="15"/>
      <c r="D177" s="15"/>
      <c r="E177" s="45"/>
      <c r="F177" s="15"/>
      <c r="G177" s="15"/>
      <c r="H177" s="15"/>
      <c r="I177" s="45"/>
      <c r="J177" s="45"/>
      <c r="M177" s="45"/>
      <c r="N177" s="45"/>
    </row>
    <row r="178" s="15" customFormat="1" ht="35" customHeight="1" spans="2:14">
      <c r="B178" s="45"/>
      <c r="C178" s="15"/>
      <c r="D178" s="15"/>
      <c r="E178" s="45"/>
      <c r="F178" s="15"/>
      <c r="G178" s="15"/>
      <c r="H178" s="15"/>
      <c r="I178" s="45"/>
      <c r="J178" s="45"/>
      <c r="M178" s="45"/>
      <c r="N178" s="45"/>
    </row>
    <row r="179" s="15" customFormat="1" ht="35" customHeight="1" spans="2:14">
      <c r="B179" s="45"/>
      <c r="C179" s="15"/>
      <c r="D179" s="15"/>
      <c r="E179" s="45"/>
      <c r="F179" s="15"/>
      <c r="G179" s="15"/>
      <c r="H179" s="15"/>
      <c r="I179" s="45"/>
      <c r="J179" s="45"/>
      <c r="M179" s="45"/>
      <c r="N179" s="45"/>
    </row>
    <row r="180" s="15" customFormat="1" ht="35" customHeight="1" spans="2:14">
      <c r="B180" s="45"/>
      <c r="C180" s="15"/>
      <c r="D180" s="15"/>
      <c r="E180" s="45"/>
      <c r="F180" s="15"/>
      <c r="G180" s="15"/>
      <c r="H180" s="15"/>
      <c r="I180" s="45"/>
      <c r="J180" s="45"/>
      <c r="M180" s="45"/>
      <c r="N180" s="45"/>
    </row>
    <row r="181" s="15" customFormat="1" ht="35" customHeight="1" spans="1:14">
      <c r="A181" s="48" t="str">
        <f>"Debts Or Credits For the Comming "&amp;IF(Main!B2,TEXT(EDATE(Main!B3,2),"dd mmmm yyyy"),TEXT(Main!B3+((Main!B5-Main!B3)*2)+2,"dd mmmm yyyy"))&amp;" to "&amp;IF(Main!B2,TEXT(EDATE(Main!B3,3)-1,"dd mmmm yyyy"),TEXT(Main!B3+((Main!B5-Main!B3)*3+2),"dd mmmm yyyy"))</f>
        <v>Debts Or Credits For the Comming 01 July 2025 to 31 July 2025</v>
      </c>
      <c r="B181" s="49"/>
      <c r="C181" s="49"/>
      <c r="D181" s="49"/>
      <c r="E181" s="50"/>
      <c r="F181" s="15"/>
      <c r="G181" s="15"/>
      <c r="H181" s="15"/>
      <c r="I181" s="45"/>
      <c r="J181" s="45"/>
      <c r="M181" s="45"/>
      <c r="N181" s="45"/>
    </row>
    <row r="182" s="15" customFormat="1" ht="35" customHeight="1" spans="1:14">
      <c r="A182" s="48" t="s">
        <v>57</v>
      </c>
      <c r="B182" s="50"/>
      <c r="C182" s="74" t="s">
        <v>44</v>
      </c>
      <c r="D182" s="75"/>
      <c r="E182" s="80" t="s">
        <v>45</v>
      </c>
      <c r="F182" s="15"/>
      <c r="G182" s="15"/>
      <c r="H182" s="15"/>
      <c r="I182" s="45"/>
      <c r="J182" s="45"/>
      <c r="M182" s="45"/>
      <c r="N182" s="45"/>
    </row>
    <row r="183" s="15" customFormat="1" ht="35" customHeight="1" spans="1:14">
      <c r="A183" s="51" t="str">
        <f>"Balance Brought Forward From "&amp;IF(Main!B2,TEXT(EDATE(Main!B3,2)-1,"mmmm yyyy"),TEXT(Main!B3+(Main!B5-Main!B3)*2+1,"mmmm yyyy"))</f>
        <v>Balance Brought Forward From June 2025</v>
      </c>
      <c r="B183" s="52"/>
      <c r="C183" s="53"/>
      <c r="D183" s="53"/>
      <c r="E183" s="148">
        <f>E176</f>
        <v>0</v>
      </c>
      <c r="I183" s="45"/>
      <c r="J183" s="45"/>
      <c r="M183" s="45"/>
      <c r="N183" s="45"/>
    </row>
    <row r="184" s="15" customFormat="1" ht="35" customHeight="1" spans="1:14">
      <c r="A184" s="54" t="s">
        <v>52</v>
      </c>
      <c r="B184" s="55"/>
      <c r="C184" s="142" t="s">
        <v>58</v>
      </c>
      <c r="D184" s="143"/>
      <c r="E184" s="147"/>
      <c r="F184" s="15"/>
      <c r="G184" s="15"/>
      <c r="H184" s="15"/>
      <c r="I184" s="45"/>
      <c r="J184" s="45"/>
      <c r="M184" s="45"/>
      <c r="N184" s="45"/>
    </row>
    <row r="185" s="15" customFormat="1" ht="35" customHeight="1" spans="1:14">
      <c r="A185" s="58"/>
      <c r="B185" s="59"/>
      <c r="C185" s="137"/>
      <c r="D185" s="138"/>
      <c r="E185" s="14">
        <v>0</v>
      </c>
      <c r="F185" s="15"/>
      <c r="G185" s="15"/>
      <c r="H185" s="15"/>
      <c r="I185" s="45"/>
      <c r="J185" s="45"/>
      <c r="M185" s="45"/>
      <c r="N185" s="45"/>
    </row>
    <row r="186" s="15" customFormat="1" ht="35" customHeight="1" spans="1:14">
      <c r="A186" s="58"/>
      <c r="B186" s="59"/>
      <c r="C186" s="137"/>
      <c r="D186" s="138"/>
      <c r="E186" s="14">
        <v>0</v>
      </c>
      <c r="F186" s="15"/>
      <c r="G186" s="15"/>
      <c r="H186" s="15"/>
      <c r="I186" s="45"/>
      <c r="J186" s="45"/>
      <c r="M186" s="45"/>
      <c r="N186" s="45"/>
    </row>
    <row r="187" s="15" customFormat="1" ht="35" customHeight="1" spans="1:14">
      <c r="A187" s="58"/>
      <c r="B187" s="59"/>
      <c r="C187" s="137"/>
      <c r="D187" s="138"/>
      <c r="E187" s="14">
        <v>0</v>
      </c>
      <c r="F187" s="15"/>
      <c r="G187" s="15"/>
      <c r="H187" s="15"/>
      <c r="I187" s="45"/>
      <c r="J187" s="45"/>
      <c r="M187" s="45"/>
      <c r="N187" s="45"/>
    </row>
    <row r="188" s="15" customFormat="1" ht="35" customHeight="1" spans="1:14">
      <c r="A188" s="58"/>
      <c r="B188" s="59"/>
      <c r="C188" s="137"/>
      <c r="D188" s="138"/>
      <c r="E188" s="14">
        <v>0</v>
      </c>
      <c r="F188" s="15"/>
      <c r="G188" s="15"/>
      <c r="H188" s="15"/>
      <c r="I188" s="45"/>
      <c r="J188" s="45"/>
      <c r="M188" s="45"/>
      <c r="N188" s="45"/>
    </row>
    <row r="189" s="15" customFormat="1" ht="35" customHeight="1" spans="1:14">
      <c r="A189" s="58"/>
      <c r="B189" s="59"/>
      <c r="C189" s="137"/>
      <c r="D189" s="138"/>
      <c r="E189" s="14">
        <v>0</v>
      </c>
      <c r="F189" s="15"/>
      <c r="G189" s="15"/>
      <c r="H189" s="15"/>
      <c r="I189" s="45"/>
      <c r="J189" s="45"/>
      <c r="M189" s="45"/>
      <c r="N189" s="45"/>
    </row>
    <row r="190" s="15" customFormat="1" ht="35" customHeight="1" spans="1:14">
      <c r="A190" s="58"/>
      <c r="B190" s="59"/>
      <c r="C190" s="137"/>
      <c r="D190" s="138"/>
      <c r="E190" s="14">
        <v>0</v>
      </c>
      <c r="F190" s="15"/>
      <c r="G190" s="15"/>
      <c r="H190" s="15"/>
      <c r="I190" s="45"/>
      <c r="J190" s="45"/>
      <c r="M190" s="45"/>
      <c r="N190" s="45"/>
    </row>
    <row r="191" s="15" customFormat="1" ht="35" customHeight="1" spans="1:14">
      <c r="A191" s="58"/>
      <c r="B191" s="59"/>
      <c r="C191" s="137"/>
      <c r="D191" s="138"/>
      <c r="E191" s="14">
        <v>0</v>
      </c>
      <c r="F191" s="15"/>
      <c r="G191" s="15"/>
      <c r="H191" s="15"/>
      <c r="I191" s="45"/>
      <c r="J191" s="45"/>
      <c r="M191" s="45"/>
      <c r="N191" s="45"/>
    </row>
    <row r="192" s="15" customFormat="1" ht="35" customHeight="1" spans="1:14">
      <c r="A192" s="58"/>
      <c r="B192" s="59"/>
      <c r="C192" s="137"/>
      <c r="D192" s="138"/>
      <c r="E192" s="14">
        <v>0</v>
      </c>
      <c r="F192" s="15"/>
      <c r="G192" s="15"/>
      <c r="H192" s="15"/>
      <c r="I192" s="45"/>
      <c r="J192" s="45"/>
      <c r="M192" s="45"/>
      <c r="N192" s="45"/>
    </row>
    <row r="193" s="15" customFormat="1" ht="35" customHeight="1" spans="1:14">
      <c r="A193" s="58"/>
      <c r="B193" s="59"/>
      <c r="C193" s="137"/>
      <c r="D193" s="138"/>
      <c r="E193" s="14">
        <v>0</v>
      </c>
      <c r="F193" s="15"/>
      <c r="G193" s="15"/>
      <c r="H193" s="15"/>
      <c r="I193" s="45"/>
      <c r="J193" s="45"/>
      <c r="M193" s="45"/>
      <c r="N193" s="45"/>
    </row>
    <row r="194" s="15" customFormat="1" ht="35" customHeight="1" spans="1:14">
      <c r="A194" s="58"/>
      <c r="B194" s="59"/>
      <c r="C194" s="137"/>
      <c r="D194" s="138"/>
      <c r="E194" s="14">
        <v>0</v>
      </c>
      <c r="F194" s="15"/>
      <c r="G194" s="15"/>
      <c r="H194" s="15"/>
      <c r="I194" s="45"/>
      <c r="J194" s="45"/>
      <c r="M194" s="45"/>
      <c r="N194" s="45"/>
    </row>
    <row r="195" s="15" customFormat="1" ht="35" customHeight="1" spans="1:14">
      <c r="A195" s="58"/>
      <c r="B195" s="59"/>
      <c r="C195" s="135" t="s">
        <v>59</v>
      </c>
      <c r="D195" s="136"/>
      <c r="E195" s="144"/>
      <c r="F195" s="15"/>
      <c r="G195" s="15"/>
      <c r="H195" s="15"/>
      <c r="I195" s="45"/>
      <c r="J195" s="45"/>
      <c r="M195" s="45"/>
      <c r="N195" s="45"/>
    </row>
    <row r="196" s="15" customFormat="1" ht="35" customHeight="1" spans="1:14">
      <c r="A196" s="58"/>
      <c r="B196" s="59"/>
      <c r="C196" s="137"/>
      <c r="D196" s="138"/>
      <c r="E196" s="145">
        <v>0</v>
      </c>
      <c r="F196" s="15"/>
      <c r="G196" s="15"/>
      <c r="H196" s="15"/>
      <c r="I196" s="45"/>
      <c r="J196" s="45"/>
      <c r="M196" s="45"/>
      <c r="N196" s="45"/>
    </row>
    <row r="197" s="15" customFormat="1" ht="35" customHeight="1" spans="1:14">
      <c r="A197" s="58"/>
      <c r="B197" s="59"/>
      <c r="C197" s="137"/>
      <c r="D197" s="138"/>
      <c r="E197" s="145">
        <v>0</v>
      </c>
      <c r="F197" s="15"/>
      <c r="G197" s="15"/>
      <c r="H197" s="15"/>
      <c r="I197" s="45"/>
      <c r="J197" s="45"/>
      <c r="M197" s="45"/>
      <c r="N197" s="45"/>
    </row>
    <row r="198" s="15" customFormat="1" ht="35" customHeight="1" spans="1:14">
      <c r="A198" s="58"/>
      <c r="B198" s="59"/>
      <c r="C198" s="137"/>
      <c r="D198" s="138"/>
      <c r="E198" s="145">
        <v>0</v>
      </c>
      <c r="F198" s="15"/>
      <c r="G198" s="15"/>
      <c r="H198" s="15"/>
      <c r="I198" s="45"/>
      <c r="J198" s="45"/>
      <c r="M198" s="45"/>
      <c r="N198" s="45"/>
    </row>
    <row r="199" s="15" customFormat="1" ht="35" customHeight="1" spans="1:14">
      <c r="A199" s="58"/>
      <c r="B199" s="59"/>
      <c r="C199" s="137"/>
      <c r="D199" s="138"/>
      <c r="E199" s="145">
        <v>0</v>
      </c>
      <c r="F199" s="15"/>
      <c r="G199" s="15"/>
      <c r="H199" s="15"/>
      <c r="I199" s="45"/>
      <c r="J199" s="45"/>
      <c r="M199" s="45"/>
      <c r="N199" s="45"/>
    </row>
    <row r="200" s="15" customFormat="1" ht="35" customHeight="1" spans="1:14">
      <c r="A200" s="58"/>
      <c r="B200" s="59"/>
      <c r="C200" s="137"/>
      <c r="D200" s="138"/>
      <c r="E200" s="145">
        <v>0</v>
      </c>
      <c r="F200" s="15"/>
      <c r="G200" s="15"/>
      <c r="H200" s="15"/>
      <c r="I200" s="45"/>
      <c r="J200" s="45"/>
      <c r="M200" s="45"/>
      <c r="N200" s="45"/>
    </row>
    <row r="201" s="15" customFormat="1" ht="35" customHeight="1" spans="1:14">
      <c r="A201" s="67"/>
      <c r="B201" s="68"/>
      <c r="C201" s="137"/>
      <c r="D201" s="138"/>
      <c r="E201" s="145">
        <v>0</v>
      </c>
      <c r="F201" s="15"/>
      <c r="G201" s="15"/>
      <c r="H201" s="15"/>
      <c r="I201" s="45"/>
      <c r="J201" s="45"/>
      <c r="M201" s="45"/>
      <c r="N201" s="45"/>
    </row>
    <row r="202" s="15" customFormat="1" ht="35" customHeight="1" spans="1:14">
      <c r="A202" s="51" t="s">
        <v>60</v>
      </c>
      <c r="B202" s="69"/>
      <c r="C202" s="139"/>
      <c r="D202" s="140"/>
      <c r="E202" s="145">
        <f>C110</f>
        <v>0</v>
      </c>
      <c r="I202" s="45"/>
      <c r="J202" s="45"/>
      <c r="M202" s="45"/>
      <c r="N202" s="45"/>
    </row>
    <row r="203" s="15" customFormat="1" ht="35" customHeight="1" spans="1:14">
      <c r="A203" s="72"/>
      <c r="B203" s="141"/>
      <c r="C203" s="37" t="s">
        <v>61</v>
      </c>
      <c r="D203" s="37"/>
      <c r="E203" s="148">
        <f>(F54+E183)-(SUM(E185:E194)+SUM(E196:E202))</f>
        <v>0</v>
      </c>
      <c r="I203" s="45"/>
      <c r="J203" s="45"/>
      <c r="M203" s="45"/>
      <c r="N203" s="45"/>
    </row>
    <row r="204" s="15" customFormat="1" ht="35" customHeight="1" spans="2:14">
      <c r="B204" s="45"/>
      <c r="C204" s="15"/>
      <c r="D204" s="15"/>
      <c r="E204" s="45"/>
      <c r="F204" s="15"/>
      <c r="G204" s="15"/>
      <c r="H204" s="15"/>
      <c r="I204" s="45"/>
      <c r="J204" s="45"/>
      <c r="M204" s="45"/>
      <c r="N204" s="45"/>
    </row>
  </sheetData>
  <sheetProtection sheet="1" formatCells="0" formatColumns="0" formatRows="0" objects="1"/>
  <protectedRanges>
    <protectedRange sqref="A24:G29" name="R1"/>
    <protectedRange sqref="A36:G41" name="R2"/>
    <protectedRange sqref="A48:G53" name="R3"/>
    <protectedRange sqref="B3:C15" name="A1"/>
    <protectedRange sqref="A60:C68" name="F1"/>
    <protectedRange sqref="A70:C79 A61:A68 B61:B68 A61:B68 A61:B68" name="F2"/>
    <protectedRange sqref="A81:C89" name="F3"/>
    <protectedRange sqref="A90:C98 A71:B78 A82:B89 A82:B88 A61:A68 B61:B68 A82:B88 A61:B68 A82:B88 A61:B68" name="F4"/>
    <protectedRange sqref="A100:C108 A91:B98 A71:B78 A82:B89 A82:B88 A61:A68 B61:B68 A82:B88 A61:B68 A82:B88 A61:B68" name="F5"/>
    <protectedRange sqref="C130:E147" name="E1"/>
    <protectedRange sqref="C157:E174" name="E2"/>
    <protectedRange sqref="C184:E201" name="E3"/>
    <protectedRange sqref="E3:F15" name="A2"/>
    <protectedRange sqref="A111:C121 A101:A108 B101:B108 A101:B108 A91:B98 A82:B88 A71:B79 A61:B68 A101:B108 A91:B98 A71:B79" name="D1"/>
  </protectedRanges>
  <mergeCells count="171">
    <mergeCell ref="A1:F1"/>
    <mergeCell ref="I1:J1"/>
    <mergeCell ref="M1:N1"/>
    <mergeCell ref="A2:C2"/>
    <mergeCell ref="D2:F2"/>
    <mergeCell ref="A22:G22"/>
    <mergeCell ref="B23:C23"/>
    <mergeCell ref="D23:E23"/>
    <mergeCell ref="F23:G23"/>
    <mergeCell ref="B24:C24"/>
    <mergeCell ref="D24:E24"/>
    <mergeCell ref="F24:G24"/>
    <mergeCell ref="B25:C25"/>
    <mergeCell ref="D25:E25"/>
    <mergeCell ref="F25:G25"/>
    <mergeCell ref="B26:C26"/>
    <mergeCell ref="D26:E26"/>
    <mergeCell ref="F26:G26"/>
    <mergeCell ref="B27:C27"/>
    <mergeCell ref="D27:E27"/>
    <mergeCell ref="F27:G27"/>
    <mergeCell ref="B28:C28"/>
    <mergeCell ref="D28:E28"/>
    <mergeCell ref="F28:G28"/>
    <mergeCell ref="B29:C29"/>
    <mergeCell ref="D29:E29"/>
    <mergeCell ref="F29:G29"/>
    <mergeCell ref="B30:C30"/>
    <mergeCell ref="D30:E30"/>
    <mergeCell ref="F30:G30"/>
    <mergeCell ref="A34:G34"/>
    <mergeCell ref="B35:C35"/>
    <mergeCell ref="D35:E35"/>
    <mergeCell ref="F35:G35"/>
    <mergeCell ref="B36:C36"/>
    <mergeCell ref="D36:E36"/>
    <mergeCell ref="F36:G36"/>
    <mergeCell ref="B37:C37"/>
    <mergeCell ref="D37:E37"/>
    <mergeCell ref="F37:G37"/>
    <mergeCell ref="B38:C38"/>
    <mergeCell ref="D38:E38"/>
    <mergeCell ref="F38:G38"/>
    <mergeCell ref="B39:C39"/>
    <mergeCell ref="D39:E39"/>
    <mergeCell ref="F39:G39"/>
    <mergeCell ref="B40:C40"/>
    <mergeCell ref="D40:E40"/>
    <mergeCell ref="F40:G40"/>
    <mergeCell ref="B41:C41"/>
    <mergeCell ref="D41:E41"/>
    <mergeCell ref="F41:G41"/>
    <mergeCell ref="B42:C42"/>
    <mergeCell ref="D42:E42"/>
    <mergeCell ref="F42:G42"/>
    <mergeCell ref="A46:G46"/>
    <mergeCell ref="B47:C47"/>
    <mergeCell ref="D47:E47"/>
    <mergeCell ref="F47:G47"/>
    <mergeCell ref="B48:C48"/>
    <mergeCell ref="D48:E48"/>
    <mergeCell ref="F48:G48"/>
    <mergeCell ref="B49:C49"/>
    <mergeCell ref="D49:E49"/>
    <mergeCell ref="F49:G49"/>
    <mergeCell ref="B50:C50"/>
    <mergeCell ref="D50:E50"/>
    <mergeCell ref="F50:G50"/>
    <mergeCell ref="B51:C51"/>
    <mergeCell ref="D51:E51"/>
    <mergeCell ref="F51:G51"/>
    <mergeCell ref="B52:C52"/>
    <mergeCell ref="D52:E52"/>
    <mergeCell ref="F52:G52"/>
    <mergeCell ref="B53:C53"/>
    <mergeCell ref="D53:E53"/>
    <mergeCell ref="F53:G53"/>
    <mergeCell ref="B54:C54"/>
    <mergeCell ref="D54:E54"/>
    <mergeCell ref="F54:G54"/>
    <mergeCell ref="A58:C58"/>
    <mergeCell ref="A60:C60"/>
    <mergeCell ref="A70:C70"/>
    <mergeCell ref="A81:C81"/>
    <mergeCell ref="A90:C90"/>
    <mergeCell ref="A100:C100"/>
    <mergeCell ref="A111:C111"/>
    <mergeCell ref="A128:E128"/>
    <mergeCell ref="A129:B129"/>
    <mergeCell ref="C129:D129"/>
    <mergeCell ref="C130:D130"/>
    <mergeCell ref="C131:D131"/>
    <mergeCell ref="C132:D132"/>
    <mergeCell ref="C133:D133"/>
    <mergeCell ref="C134:D134"/>
    <mergeCell ref="C135:D135"/>
    <mergeCell ref="C136:D136"/>
    <mergeCell ref="C137:D137"/>
    <mergeCell ref="C138:D138"/>
    <mergeCell ref="C139:D139"/>
    <mergeCell ref="C140:D140"/>
    <mergeCell ref="C141:D141"/>
    <mergeCell ref="C142:D142"/>
    <mergeCell ref="C143:D143"/>
    <mergeCell ref="C144:D144"/>
    <mergeCell ref="C145:D145"/>
    <mergeCell ref="C146:D146"/>
    <mergeCell ref="C147:D147"/>
    <mergeCell ref="A148:B148"/>
    <mergeCell ref="C148:D148"/>
    <mergeCell ref="A149:B149"/>
    <mergeCell ref="C149:D149"/>
    <mergeCell ref="A154:E154"/>
    <mergeCell ref="A155:B155"/>
    <mergeCell ref="C155:D155"/>
    <mergeCell ref="A156:B156"/>
    <mergeCell ref="C156:D156"/>
    <mergeCell ref="C157:D157"/>
    <mergeCell ref="C158:D158"/>
    <mergeCell ref="C159:D159"/>
    <mergeCell ref="C160:D160"/>
    <mergeCell ref="C161:D161"/>
    <mergeCell ref="C162:D162"/>
    <mergeCell ref="C163:D163"/>
    <mergeCell ref="C164:D164"/>
    <mergeCell ref="C165:D165"/>
    <mergeCell ref="C166:D166"/>
    <mergeCell ref="C167:D167"/>
    <mergeCell ref="C168:D168"/>
    <mergeCell ref="C169:D169"/>
    <mergeCell ref="C170:D170"/>
    <mergeCell ref="C171:D171"/>
    <mergeCell ref="C172:D172"/>
    <mergeCell ref="C173:D173"/>
    <mergeCell ref="C174:D174"/>
    <mergeCell ref="A175:B175"/>
    <mergeCell ref="C175:D175"/>
    <mergeCell ref="A176:B176"/>
    <mergeCell ref="C176:D176"/>
    <mergeCell ref="A181:E181"/>
    <mergeCell ref="A182:B182"/>
    <mergeCell ref="C182:D182"/>
    <mergeCell ref="A183:B183"/>
    <mergeCell ref="C183:D183"/>
    <mergeCell ref="C184:D184"/>
    <mergeCell ref="C185:D185"/>
    <mergeCell ref="C186:D186"/>
    <mergeCell ref="C187:D187"/>
    <mergeCell ref="C188:D188"/>
    <mergeCell ref="C189:D189"/>
    <mergeCell ref="C190:D190"/>
    <mergeCell ref="C191:D191"/>
    <mergeCell ref="C192:D192"/>
    <mergeCell ref="C193:D193"/>
    <mergeCell ref="C194:D194"/>
    <mergeCell ref="C195:D195"/>
    <mergeCell ref="C196:D196"/>
    <mergeCell ref="C197:D197"/>
    <mergeCell ref="C198:D198"/>
    <mergeCell ref="C199:D199"/>
    <mergeCell ref="C200:D200"/>
    <mergeCell ref="C201:D201"/>
    <mergeCell ref="A202:B202"/>
    <mergeCell ref="C202:D202"/>
    <mergeCell ref="A203:B203"/>
    <mergeCell ref="C203:D203"/>
    <mergeCell ref="A3:A16"/>
    <mergeCell ref="D3:D16"/>
    <mergeCell ref="A130:B147"/>
    <mergeCell ref="A157:B174"/>
    <mergeCell ref="A184:B201"/>
  </mergeCells>
  <conditionalFormatting sqref="C89">
    <cfRule type="cellIs" dxfId="0" priority="62" operator="equal">
      <formula>0</formula>
    </cfRule>
    <cfRule type="cellIs" dxfId="1" priority="61" operator="greaterThan">
      <formula>0</formula>
    </cfRule>
  </conditionalFormatting>
  <conditionalFormatting sqref="C91">
    <cfRule type="cellIs" dxfId="0" priority="60" operator="equal">
      <formula>0</formula>
    </cfRule>
    <cfRule type="cellIs" dxfId="1" priority="59" operator="greaterThan">
      <formula>0</formula>
    </cfRule>
  </conditionalFormatting>
  <conditionalFormatting sqref="C122">
    <cfRule type="cellIs" dxfId="0" priority="36" operator="equal">
      <formula>0</formula>
    </cfRule>
    <cfRule type="cellIs" dxfId="1" priority="35" operator="greaterThan">
      <formula>0</formula>
    </cfRule>
  </conditionalFormatting>
  <conditionalFormatting sqref="C123">
    <cfRule type="cellIs" dxfId="1" priority="2" operator="lessThan">
      <formula>0</formula>
    </cfRule>
    <cfRule type="cellIs" dxfId="2" priority="1" operator="equal">
      <formula>0</formula>
    </cfRule>
  </conditionalFormatting>
  <conditionalFormatting sqref="E149">
    <cfRule type="cellIs" dxfId="3" priority="46" operator="greaterThanOrEqual">
      <formula>0</formula>
    </cfRule>
    <cfRule type="cellIs" dxfId="4" priority="45" operator="lessThan">
      <formula>0</formula>
    </cfRule>
  </conditionalFormatting>
  <conditionalFormatting sqref="E156">
    <cfRule type="cellIs" dxfId="3" priority="25" operator="greaterThanOrEqual">
      <formula>0</formula>
    </cfRule>
    <cfRule type="cellIs" dxfId="4" priority="24" operator="lessThan">
      <formula>0</formula>
    </cfRule>
  </conditionalFormatting>
  <conditionalFormatting sqref="E176">
    <cfRule type="cellIs" dxfId="3" priority="29" operator="greaterThanOrEqual">
      <formula>0</formula>
    </cfRule>
    <cfRule type="cellIs" dxfId="4" priority="28" operator="lessThan">
      <formula>0</formula>
    </cfRule>
  </conditionalFormatting>
  <conditionalFormatting sqref="E183">
    <cfRule type="cellIs" dxfId="3" priority="19" operator="greaterThanOrEqual">
      <formula>0</formula>
    </cfRule>
    <cfRule type="cellIs" dxfId="4" priority="18" operator="lessThan">
      <formula>0</formula>
    </cfRule>
  </conditionalFormatting>
  <conditionalFormatting sqref="E203">
    <cfRule type="cellIs" dxfId="3" priority="21" operator="greaterThanOrEqual">
      <formula>0</formula>
    </cfRule>
    <cfRule type="cellIs" dxfId="4" priority="20" operator="lessThan">
      <formula>0</formula>
    </cfRule>
  </conditionalFormatting>
  <conditionalFormatting sqref="C71:C80">
    <cfRule type="cellIs" dxfId="0" priority="66" operator="equal">
      <formula>0</formula>
    </cfRule>
    <cfRule type="cellIs" dxfId="1" priority="65" operator="greaterThan">
      <formula>0</formula>
    </cfRule>
  </conditionalFormatting>
  <conditionalFormatting sqref="C82:C83">
    <cfRule type="cellIs" dxfId="0" priority="64" operator="equal">
      <formula>0</formula>
    </cfRule>
    <cfRule type="cellIs" dxfId="1" priority="63" operator="greaterThan">
      <formula>0</formula>
    </cfRule>
  </conditionalFormatting>
  <conditionalFormatting sqref="C84:C88">
    <cfRule type="cellIs" dxfId="0" priority="44" operator="equal">
      <formula>0</formula>
    </cfRule>
    <cfRule type="cellIs" dxfId="1" priority="43" operator="greaterThan">
      <formula>0</formula>
    </cfRule>
  </conditionalFormatting>
  <conditionalFormatting sqref="C94:C98">
    <cfRule type="cellIs" dxfId="0" priority="42" operator="equal">
      <formula>0</formula>
    </cfRule>
    <cfRule type="cellIs" dxfId="1" priority="41" operator="greaterThan">
      <formula>0</formula>
    </cfRule>
  </conditionalFormatting>
  <conditionalFormatting sqref="C101:C103">
    <cfRule type="cellIs" dxfId="0" priority="56" operator="equal">
      <formula>0</formula>
    </cfRule>
    <cfRule type="cellIs" dxfId="1" priority="55" operator="greaterThan">
      <formula>0</formula>
    </cfRule>
  </conditionalFormatting>
  <conditionalFormatting sqref="C104:C105">
    <cfRule type="cellIs" dxfId="0" priority="7" operator="equal">
      <formula>0</formula>
    </cfRule>
    <cfRule type="cellIs" dxfId="1" priority="6" operator="greaterThan">
      <formula>0</formula>
    </cfRule>
  </conditionalFormatting>
  <conditionalFormatting sqref="C106:C108">
    <cfRule type="cellIs" dxfId="0" priority="40" operator="equal">
      <formula>0</formula>
    </cfRule>
    <cfRule type="cellIs" dxfId="1" priority="39" operator="greaterThan">
      <formula>0</formula>
    </cfRule>
  </conditionalFormatting>
  <conditionalFormatting sqref="C112:C121">
    <cfRule type="cellIs" dxfId="0" priority="17" operator="equal">
      <formula>0</formula>
    </cfRule>
    <cfRule type="cellIs" dxfId="1" priority="16" operator="greaterThan">
      <formula>0</formula>
    </cfRule>
  </conditionalFormatting>
  <conditionalFormatting sqref="E131:E140">
    <cfRule type="cellIs" dxfId="0" priority="15" operator="equal">
      <formula>0</formula>
    </cfRule>
    <cfRule type="cellIs" dxfId="1" priority="14" operator="greaterThan">
      <formula>0</formula>
    </cfRule>
  </conditionalFormatting>
  <conditionalFormatting sqref="E158:E167">
    <cfRule type="cellIs" dxfId="0" priority="13" operator="equal">
      <formula>0</formula>
    </cfRule>
    <cfRule type="cellIs" dxfId="1" priority="12" operator="greaterThan">
      <formula>0</formula>
    </cfRule>
  </conditionalFormatting>
  <conditionalFormatting sqref="E185:E194">
    <cfRule type="cellIs" dxfId="0" priority="11" operator="equal">
      <formula>0</formula>
    </cfRule>
    <cfRule type="cellIs" dxfId="1" priority="10" operator="greaterThan">
      <formula>0</formula>
    </cfRule>
  </conditionalFormatting>
  <conditionalFormatting sqref="J3:J50">
    <cfRule type="cellIs" dxfId="2" priority="9" operator="greaterThanOrEqual">
      <formula>0</formula>
    </cfRule>
  </conditionalFormatting>
  <conditionalFormatting sqref="N3:N18">
    <cfRule type="cellIs" dxfId="2" priority="8" operator="greaterThanOrEqual">
      <formula>0</formula>
    </cfRule>
  </conditionalFormatting>
  <conditionalFormatting sqref="C61:C69 C99 C92:C93 C109:C110">
    <cfRule type="cellIs" dxfId="0" priority="68" operator="equal">
      <formula>0</formula>
    </cfRule>
    <cfRule type="cellIs" dxfId="1" priority="67" operator="greaterThan">
      <formula>0</formula>
    </cfRule>
  </conditionalFormatting>
  <conditionalFormatting sqref="E130 E141:E148">
    <cfRule type="cellIs" dxfId="0" priority="48" operator="equal">
      <formula>0</formula>
    </cfRule>
    <cfRule type="cellIs" dxfId="1" priority="47" operator="greaterThan">
      <formula>0</formula>
    </cfRule>
  </conditionalFormatting>
  <conditionalFormatting sqref="E157 E168:E175">
    <cfRule type="cellIs" dxfId="2" priority="31" operator="equal">
      <formula>0</formula>
    </cfRule>
    <cfRule type="cellIs" dxfId="1" priority="30" operator="greaterThan">
      <formula>0</formula>
    </cfRule>
  </conditionalFormatting>
  <conditionalFormatting sqref="E184 E195:E202">
    <cfRule type="cellIs" dxfId="2" priority="23" operator="equal">
      <formula>0</formula>
    </cfRule>
    <cfRule type="cellIs" dxfId="1" priority="22" operator="greaterThan">
      <formula>0</formula>
    </cfRule>
  </conditionalFormatting>
  <pageMargins left="0.7" right="0.7" top="0.75" bottom="0.75" header="0.3" footer="0.3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93"/>
  <sheetViews>
    <sheetView zoomScale="99" zoomScaleNormal="99" topLeftCell="A32" workbookViewId="0">
      <selection activeCell="B58" sqref="B58"/>
    </sheetView>
  </sheetViews>
  <sheetFormatPr defaultColWidth="9" defaultRowHeight="17.6"/>
  <cols>
    <col min="1" max="7" width="25.6111111111111" style="82" customWidth="1"/>
    <col min="8" max="9" width="20.625" style="82" customWidth="1"/>
    <col min="10" max="16384" width="9" style="82"/>
  </cols>
  <sheetData>
    <row r="1" s="38" customFormat="1" ht="35" customHeight="1" spans="1:7">
      <c r="A1" s="2" t="str">
        <f>"Forecasts For the Year "&amp;IF(Main!B2,TEXT(EDATE(Main!B3,3),"mmmm yyyy"),TEXT(Main!B3+((Main!B5-Main!B3)*3+3),"mmmm yyyy"))&amp;" to "&amp;IF(Main!B2,TEXT(EDATE(Main!B3,6)-1,"mmmm yyyy"),TEXT(Main!B3+((Main!B5-Main!B3)*6+5),"mmmm yyyy"))</f>
        <v>Forecasts For the Year August 2025 to October 2025</v>
      </c>
      <c r="B1" s="2"/>
      <c r="C1" s="2"/>
      <c r="D1" s="2"/>
      <c r="E1" s="2"/>
      <c r="F1" s="2"/>
      <c r="G1" s="2"/>
    </row>
    <row r="2" s="38" customFormat="1" ht="35" customHeight="1" spans="1:7">
      <c r="A2" s="3" t="s">
        <v>33</v>
      </c>
      <c r="B2" s="4" t="s">
        <v>62</v>
      </c>
      <c r="C2" s="5" cm="1">
        <f ca="1" t="array" ref="C2">INDIRECT("'"&amp;Main!B9&amp;"'!$C$16")</f>
        <v>0</v>
      </c>
      <c r="D2" s="5"/>
      <c r="E2" s="5"/>
      <c r="F2" s="5"/>
      <c r="G2" s="5"/>
    </row>
    <row r="3" s="38" customFormat="1" ht="35" customHeight="1" spans="1:7">
      <c r="A3" s="6"/>
      <c r="B3" s="7" t="s">
        <v>63</v>
      </c>
      <c r="C3" s="8">
        <f ca="1">E190</f>
        <v>0</v>
      </c>
      <c r="D3" s="8"/>
      <c r="E3" s="8"/>
      <c r="F3" s="8"/>
      <c r="G3" s="8"/>
    </row>
    <row r="4" s="38" customFormat="1" ht="35" customHeight="1" spans="1:9">
      <c r="A4" s="9" t="s">
        <v>42</v>
      </c>
      <c r="B4" s="10"/>
      <c r="C4" s="11">
        <f ca="1">SUM(C2:G3)</f>
        <v>0</v>
      </c>
      <c r="D4" s="11"/>
      <c r="E4" s="11"/>
      <c r="F4" s="11"/>
      <c r="G4" s="11"/>
      <c r="H4" s="15"/>
      <c r="I4" s="45"/>
    </row>
    <row r="5" s="38" customFormat="1" ht="35" customHeight="1" spans="1:9">
      <c r="A5" s="12" t="s">
        <v>64</v>
      </c>
      <c r="B5" s="12"/>
      <c r="C5" s="13">
        <f ca="1">C108</f>
        <v>0</v>
      </c>
      <c r="D5" s="14"/>
      <c r="E5" s="14"/>
      <c r="F5" s="14"/>
      <c r="G5" s="14"/>
      <c r="H5" s="15"/>
      <c r="I5" s="45"/>
    </row>
    <row r="6" s="38" customFormat="1" ht="35" customHeight="1" spans="1:9">
      <c r="A6" s="15"/>
      <c r="B6" s="15"/>
      <c r="C6" s="15"/>
      <c r="D6" s="15"/>
      <c r="E6" s="15"/>
      <c r="F6" s="15"/>
      <c r="G6" s="15"/>
      <c r="H6" s="15"/>
      <c r="I6" s="45"/>
    </row>
    <row r="7" s="38" customFormat="1" ht="35" customHeight="1" spans="1:9">
      <c r="A7" s="15"/>
      <c r="B7" s="15"/>
      <c r="C7" s="15"/>
      <c r="D7" s="15"/>
      <c r="E7" s="15"/>
      <c r="F7" s="15"/>
      <c r="G7" s="15"/>
      <c r="H7" s="15"/>
      <c r="I7" s="45"/>
    </row>
    <row r="8" s="38" customFormat="1" ht="35" customHeight="1" spans="1:9">
      <c r="A8" s="16" t="str">
        <f>IF(Main!B2,TEXT(EDATE(Main!B3,3),"dd mmmm yyyy"),TEXT(Main!B3+((Main!B5-Main!B3)*3+3),"dd mmmm yyyy"))&amp;" - "&amp;IF(Main!B2,TEXT(EDATE(Main!B3,4)-1,"dd mmmm yyyy"),TEXT(Main!B3+((Main!B5-Main!B3)*4+3),"dd mmmm yyyy"))&amp;" / "&amp;" (Revenue / Deferred Debts Or Expenses)"</f>
        <v>01 August 2025 - 31 August 2025 /  (Revenue / Deferred Debts Or Expenses)</v>
      </c>
      <c r="B8" s="17"/>
      <c r="C8" s="17"/>
      <c r="D8" s="17"/>
      <c r="E8" s="17"/>
      <c r="F8" s="17"/>
      <c r="G8" s="17"/>
      <c r="H8" s="15"/>
      <c r="I8" s="45"/>
    </row>
    <row r="9" s="38" customFormat="1" ht="35" customHeight="1" spans="1:9">
      <c r="A9" s="18" t="s">
        <v>29</v>
      </c>
      <c r="B9" s="18" t="s">
        <v>43</v>
      </c>
      <c r="C9" s="18"/>
      <c r="D9" s="18" t="s">
        <v>44</v>
      </c>
      <c r="E9" s="18"/>
      <c r="F9" s="18" t="s">
        <v>45</v>
      </c>
      <c r="G9" s="18"/>
      <c r="H9" s="15"/>
      <c r="I9" s="45"/>
    </row>
    <row r="10" s="38" customFormat="1" ht="35" customHeight="1" spans="1:9">
      <c r="A10" s="19"/>
      <c r="B10" s="20"/>
      <c r="C10" s="20"/>
      <c r="D10" s="20"/>
      <c r="E10" s="20"/>
      <c r="F10" s="39">
        <v>0</v>
      </c>
      <c r="G10" s="40"/>
      <c r="H10" s="15"/>
      <c r="I10" s="45"/>
    </row>
    <row r="11" s="38" customFormat="1" ht="35" customHeight="1" spans="1:9">
      <c r="A11" s="19"/>
      <c r="B11" s="21"/>
      <c r="C11" s="22"/>
      <c r="D11" s="23"/>
      <c r="E11" s="41"/>
      <c r="F11" s="39">
        <v>0</v>
      </c>
      <c r="G11" s="40"/>
      <c r="H11" s="15"/>
      <c r="I11" s="45"/>
    </row>
    <row r="12" s="38" customFormat="1" ht="35" customHeight="1" spans="1:9">
      <c r="A12" s="19"/>
      <c r="B12" s="21"/>
      <c r="C12" s="22"/>
      <c r="D12" s="23"/>
      <c r="E12" s="41"/>
      <c r="F12" s="39">
        <v>0</v>
      </c>
      <c r="G12" s="40"/>
      <c r="H12" s="15"/>
      <c r="I12" s="45"/>
    </row>
    <row r="13" s="38" customFormat="1" ht="35" customHeight="1" spans="1:9">
      <c r="A13" s="19"/>
      <c r="B13" s="21"/>
      <c r="C13" s="22"/>
      <c r="D13" s="23"/>
      <c r="E13" s="41"/>
      <c r="F13" s="39">
        <v>0</v>
      </c>
      <c r="G13" s="40"/>
      <c r="H13" s="15"/>
      <c r="I13" s="45"/>
    </row>
    <row r="14" s="38" customFormat="1" ht="35" customHeight="1" spans="1:9">
      <c r="A14" s="19"/>
      <c r="B14" s="21"/>
      <c r="C14" s="22"/>
      <c r="D14" s="23"/>
      <c r="E14" s="41"/>
      <c r="F14" s="39">
        <v>0</v>
      </c>
      <c r="G14" s="40"/>
      <c r="H14" s="15"/>
      <c r="I14" s="45"/>
    </row>
    <row r="15" s="38" customFormat="1" ht="35" customHeight="1" spans="1:9">
      <c r="A15" s="19"/>
      <c r="B15" s="21"/>
      <c r="C15" s="22"/>
      <c r="D15" s="23"/>
      <c r="E15" s="41"/>
      <c r="F15" s="39">
        <v>0</v>
      </c>
      <c r="G15" s="40"/>
      <c r="H15" s="15"/>
      <c r="I15" s="45"/>
    </row>
    <row r="16" s="38" customFormat="1" ht="35" customHeight="1" spans="1:9">
      <c r="A16" s="24"/>
      <c r="B16" s="25"/>
      <c r="C16" s="26"/>
      <c r="D16" s="27" t="s">
        <v>46</v>
      </c>
      <c r="E16" s="42"/>
      <c r="F16" s="43">
        <f>SUM(F10:G15)</f>
        <v>0</v>
      </c>
      <c r="G16" s="44"/>
      <c r="H16" s="15"/>
      <c r="I16" s="45"/>
    </row>
    <row r="17" s="38" customFormat="1" ht="35" customHeight="1" spans="1:9">
      <c r="A17" s="15"/>
      <c r="B17" s="15"/>
      <c r="C17" s="15"/>
      <c r="D17" s="15"/>
      <c r="E17" s="15"/>
      <c r="F17" s="15"/>
      <c r="G17" s="15"/>
      <c r="H17" s="15"/>
      <c r="I17" s="45"/>
    </row>
    <row r="18" s="38" customFormat="1" ht="35" customHeight="1" spans="1:9">
      <c r="A18" s="15"/>
      <c r="B18" s="15"/>
      <c r="C18" s="15"/>
      <c r="D18" s="15"/>
      <c r="E18" s="15"/>
      <c r="F18" s="15"/>
      <c r="G18" s="15"/>
      <c r="H18" s="15"/>
      <c r="I18" s="45"/>
    </row>
    <row r="19" s="38" customFormat="1" ht="35" customHeight="1" spans="1:9">
      <c r="A19" s="15"/>
      <c r="B19" s="15"/>
      <c r="C19" s="15"/>
      <c r="D19" s="15"/>
      <c r="E19" s="15"/>
      <c r="F19" s="15"/>
      <c r="G19" s="15"/>
      <c r="H19" s="15"/>
      <c r="I19" s="45"/>
    </row>
    <row r="20" s="38" customFormat="1" ht="35" customHeight="1" spans="1:9">
      <c r="A20" s="16" t="str">
        <f>IF(Main!B2,TEXT(EDATE(Main!B3,4),"dd mmmm yyyy"),TEXT(Main!B3+((Main!B5-Main!B3)*4+4),"dd mmmm yyyy"))&amp;" - "&amp;IF(Main!B2,TEXT(EDATE(Main!B3,5)-1,"dd mmmm yyyy"),TEXT(Main!B3+((Main!B5-Main!B3)*5+4),"dd mmmm yyyy"))&amp;" / "&amp;" (Revenue / Deferred Debts Or Expenses)"</f>
        <v>01 September 2025 - 30 September 2025 /  (Revenue / Deferred Debts Or Expenses)</v>
      </c>
      <c r="B20" s="17"/>
      <c r="C20" s="17"/>
      <c r="D20" s="17"/>
      <c r="E20" s="17"/>
      <c r="F20" s="17"/>
      <c r="G20" s="17"/>
      <c r="H20" s="15"/>
      <c r="I20" s="45"/>
    </row>
    <row r="21" s="38" customFormat="1" ht="35" customHeight="1" spans="1:9">
      <c r="A21" s="18" t="s">
        <v>29</v>
      </c>
      <c r="B21" s="18" t="s">
        <v>43</v>
      </c>
      <c r="C21" s="18"/>
      <c r="D21" s="18" t="s">
        <v>44</v>
      </c>
      <c r="E21" s="18"/>
      <c r="F21" s="18" t="s">
        <v>45</v>
      </c>
      <c r="G21" s="18"/>
      <c r="H21" s="15"/>
      <c r="I21" s="45"/>
    </row>
    <row r="22" s="38" customFormat="1" ht="35" customHeight="1" spans="1:9">
      <c r="A22" s="19"/>
      <c r="B22" s="20"/>
      <c r="C22" s="20"/>
      <c r="D22" s="20"/>
      <c r="E22" s="20"/>
      <c r="F22" s="39">
        <v>0</v>
      </c>
      <c r="G22" s="40"/>
      <c r="H22" s="15"/>
      <c r="I22" s="45"/>
    </row>
    <row r="23" s="38" customFormat="1" ht="35" customHeight="1" spans="1:9">
      <c r="A23" s="19"/>
      <c r="B23" s="21"/>
      <c r="C23" s="22"/>
      <c r="D23" s="23"/>
      <c r="E23" s="41"/>
      <c r="F23" s="39">
        <v>0</v>
      </c>
      <c r="G23" s="40"/>
      <c r="H23" s="15"/>
      <c r="I23" s="45"/>
    </row>
    <row r="24" s="38" customFormat="1" ht="35" customHeight="1" spans="1:9">
      <c r="A24" s="19"/>
      <c r="B24" s="21"/>
      <c r="C24" s="22"/>
      <c r="D24" s="23"/>
      <c r="E24" s="41"/>
      <c r="F24" s="39">
        <v>0</v>
      </c>
      <c r="G24" s="40"/>
      <c r="H24" s="15"/>
      <c r="I24" s="45"/>
    </row>
    <row r="25" s="38" customFormat="1" ht="35" customHeight="1" spans="1:9">
      <c r="A25" s="19"/>
      <c r="B25" s="21"/>
      <c r="C25" s="22"/>
      <c r="D25" s="23"/>
      <c r="E25" s="41"/>
      <c r="F25" s="39">
        <v>0</v>
      </c>
      <c r="G25" s="40"/>
      <c r="H25" s="15"/>
      <c r="I25" s="45"/>
    </row>
    <row r="26" s="38" customFormat="1" ht="35" customHeight="1" spans="1:9">
      <c r="A26" s="19"/>
      <c r="B26" s="21"/>
      <c r="C26" s="22"/>
      <c r="D26" s="23"/>
      <c r="E26" s="41"/>
      <c r="F26" s="39">
        <v>0</v>
      </c>
      <c r="G26" s="40"/>
      <c r="H26" s="15"/>
      <c r="I26" s="45"/>
    </row>
    <row r="27" s="38" customFormat="1" ht="35" customHeight="1" spans="1:9">
      <c r="A27" s="19"/>
      <c r="B27" s="21"/>
      <c r="C27" s="22"/>
      <c r="D27" s="23"/>
      <c r="E27" s="41"/>
      <c r="F27" s="39">
        <v>0</v>
      </c>
      <c r="G27" s="40"/>
      <c r="H27" s="15"/>
      <c r="I27" s="45"/>
    </row>
    <row r="28" s="38" customFormat="1" ht="35" customHeight="1" spans="1:9">
      <c r="A28" s="24"/>
      <c r="B28" s="25"/>
      <c r="C28" s="26"/>
      <c r="D28" s="27" t="s">
        <v>46</v>
      </c>
      <c r="E28" s="42"/>
      <c r="F28" s="43">
        <f>SUM(F22:G27)</f>
        <v>0</v>
      </c>
      <c r="G28" s="44"/>
      <c r="H28" s="15"/>
      <c r="I28" s="45"/>
    </row>
    <row r="29" s="38" customFormat="1" ht="35" customHeight="1" spans="1:9">
      <c r="A29" s="15"/>
      <c r="B29" s="15"/>
      <c r="C29" s="15"/>
      <c r="D29" s="15"/>
      <c r="E29" s="15"/>
      <c r="F29" s="15"/>
      <c r="G29" s="15"/>
      <c r="H29" s="15"/>
      <c r="I29" s="45"/>
    </row>
    <row r="30" s="38" customFormat="1" ht="35" customHeight="1" spans="1:9">
      <c r="A30" s="15"/>
      <c r="B30" s="15"/>
      <c r="C30" s="15"/>
      <c r="D30" s="15"/>
      <c r="E30" s="15"/>
      <c r="F30" s="15"/>
      <c r="G30" s="15"/>
      <c r="H30" s="15"/>
      <c r="I30" s="45"/>
    </row>
    <row r="31" s="38" customFormat="1" ht="35" customHeight="1" spans="1:9">
      <c r="A31" s="15"/>
      <c r="B31" s="15"/>
      <c r="C31" s="15"/>
      <c r="D31" s="15"/>
      <c r="E31" s="15"/>
      <c r="F31" s="15"/>
      <c r="G31" s="15"/>
      <c r="H31" s="15"/>
      <c r="I31" s="45"/>
    </row>
    <row r="32" s="38" customFormat="1" ht="35" customHeight="1" spans="1:9">
      <c r="A32" s="16" t="str">
        <f>IF(Main!B2,TEXT(EDATE(Main!B3,5),"dd mmmm yyyy"),TEXT(Main!B3+((Main!B5-Main!B3)*5+5),"dd mmmm yyyy"))&amp;" - "&amp;IF(Main!B2,TEXT(EDATE(Main!B3,6)-1,"dd mmmm yyyy"),TEXT(Main!B3+((Main!B5-Main!B3)*6+5),"dd mmmm yyyy"))&amp;" / "&amp;" (Revenue / Deferred Debts Or Expenses)"</f>
        <v>01 October 2025 - 31 October 2025 /  (Revenue / Deferred Debts Or Expenses)</v>
      </c>
      <c r="B32" s="17"/>
      <c r="C32" s="17"/>
      <c r="D32" s="17"/>
      <c r="E32" s="17"/>
      <c r="F32" s="17"/>
      <c r="G32" s="17"/>
      <c r="H32" s="15"/>
      <c r="I32" s="45"/>
    </row>
    <row r="33" s="38" customFormat="1" ht="35" customHeight="1" spans="1:9">
      <c r="A33" s="18" t="s">
        <v>29</v>
      </c>
      <c r="B33" s="18" t="s">
        <v>43</v>
      </c>
      <c r="C33" s="18"/>
      <c r="D33" s="18" t="s">
        <v>44</v>
      </c>
      <c r="E33" s="18"/>
      <c r="F33" s="18" t="s">
        <v>45</v>
      </c>
      <c r="G33" s="18"/>
      <c r="H33" s="15"/>
      <c r="I33" s="45"/>
    </row>
    <row r="34" s="38" customFormat="1" ht="35" customHeight="1" spans="1:9">
      <c r="A34" s="19"/>
      <c r="B34" s="20"/>
      <c r="C34" s="20"/>
      <c r="D34" s="20"/>
      <c r="E34" s="20"/>
      <c r="F34" s="39">
        <v>0</v>
      </c>
      <c r="G34" s="40"/>
      <c r="H34" s="15"/>
      <c r="I34" s="45"/>
    </row>
    <row r="35" s="38" customFormat="1" ht="35" customHeight="1" spans="1:9">
      <c r="A35" s="19"/>
      <c r="B35" s="21"/>
      <c r="C35" s="22"/>
      <c r="D35" s="23"/>
      <c r="E35" s="41"/>
      <c r="F35" s="39">
        <v>0</v>
      </c>
      <c r="G35" s="40"/>
      <c r="H35" s="15"/>
      <c r="I35" s="45"/>
    </row>
    <row r="36" s="38" customFormat="1" ht="35" customHeight="1" spans="1:9">
      <c r="A36" s="19"/>
      <c r="B36" s="21"/>
      <c r="C36" s="22"/>
      <c r="D36" s="23"/>
      <c r="E36" s="41"/>
      <c r="F36" s="39">
        <v>0</v>
      </c>
      <c r="G36" s="40"/>
      <c r="H36" s="15"/>
      <c r="I36" s="45"/>
    </row>
    <row r="37" s="38" customFormat="1" ht="35" customHeight="1" spans="1:9">
      <c r="A37" s="19"/>
      <c r="B37" s="21"/>
      <c r="C37" s="22"/>
      <c r="D37" s="23"/>
      <c r="E37" s="41"/>
      <c r="F37" s="39">
        <v>0</v>
      </c>
      <c r="G37" s="40"/>
      <c r="H37" s="15"/>
      <c r="I37" s="45"/>
    </row>
    <row r="38" s="38" customFormat="1" ht="35" customHeight="1" spans="1:9">
      <c r="A38" s="19"/>
      <c r="B38" s="21"/>
      <c r="C38" s="22"/>
      <c r="D38" s="23"/>
      <c r="E38" s="41"/>
      <c r="F38" s="39">
        <v>0</v>
      </c>
      <c r="G38" s="40"/>
      <c r="H38" s="15"/>
      <c r="I38" s="45"/>
    </row>
    <row r="39" s="38" customFormat="1" ht="35" customHeight="1" spans="1:9">
      <c r="A39" s="19"/>
      <c r="B39" s="21"/>
      <c r="C39" s="22"/>
      <c r="D39" s="23"/>
      <c r="E39" s="41"/>
      <c r="F39" s="39">
        <v>0</v>
      </c>
      <c r="G39" s="40"/>
      <c r="H39" s="15"/>
      <c r="I39" s="45"/>
    </row>
    <row r="40" s="38" customFormat="1" ht="35" customHeight="1" spans="1:9">
      <c r="A40" s="24"/>
      <c r="B40" s="25"/>
      <c r="C40" s="26"/>
      <c r="D40" s="27" t="s">
        <v>46</v>
      </c>
      <c r="E40" s="42"/>
      <c r="F40" s="43">
        <f>SUM(F34:G39)</f>
        <v>0</v>
      </c>
      <c r="G40" s="44"/>
      <c r="H40" s="15"/>
      <c r="I40" s="45"/>
    </row>
    <row r="41" s="38" customFormat="1" ht="35" customHeight="1" spans="1:9">
      <c r="A41" s="15"/>
      <c r="B41" s="15"/>
      <c r="C41" s="15"/>
      <c r="D41" s="15"/>
      <c r="E41" s="15"/>
      <c r="F41" s="15"/>
      <c r="G41" s="15"/>
      <c r="H41" s="15"/>
      <c r="I41" s="45"/>
    </row>
    <row r="42" s="38" customFormat="1" ht="35" customHeight="1" spans="1:9">
      <c r="A42" s="15"/>
      <c r="B42" s="15"/>
      <c r="C42" s="15"/>
      <c r="D42" s="15"/>
      <c r="E42" s="15"/>
      <c r="F42" s="15"/>
      <c r="G42" s="15"/>
      <c r="H42" s="15"/>
      <c r="I42" s="45"/>
    </row>
    <row r="43" s="38" customFormat="1" ht="35" customHeight="1" spans="1:9">
      <c r="A43" s="15"/>
      <c r="B43" s="15"/>
      <c r="C43" s="15"/>
      <c r="D43" s="15"/>
      <c r="E43" s="15"/>
      <c r="F43" s="15"/>
      <c r="G43" s="15"/>
      <c r="H43" s="15"/>
      <c r="I43" s="45"/>
    </row>
    <row r="44" s="38" customFormat="1" ht="35" customHeight="1" spans="1:9">
      <c r="A44" s="28" t="str">
        <f>"Fixed Expense For the Year "&amp;IF(Main!B2,TEXT(EDATE(Main!B3,3),"mmmm yyyy"),TEXT(Main!B3+((Main!B5-Main!B3)*3+3),"mmmm yyyy"))&amp;" to "&amp;IF(Main!B2,TEXT(EDATE(Main!B3,6)-1,"mmmm yyyy"),TEXT(Main!B3+((Main!B5-Main!B3)*6+5),"mmmm yyyy"))</f>
        <v>Fixed Expense For the Year August 2025 to October 2025</v>
      </c>
      <c r="B44" s="29"/>
      <c r="C44" s="30"/>
      <c r="D44" s="15"/>
      <c r="E44" s="15"/>
      <c r="F44" s="15"/>
      <c r="G44" s="15"/>
      <c r="H44" s="15"/>
      <c r="I44" s="45"/>
    </row>
    <row r="45" s="38" customFormat="1" ht="35" customHeight="1" spans="1:9">
      <c r="A45" s="2" t="s">
        <v>43</v>
      </c>
      <c r="B45" s="2" t="s">
        <v>44</v>
      </c>
      <c r="C45" s="2" t="s">
        <v>45</v>
      </c>
      <c r="D45" s="15"/>
      <c r="E45" s="15"/>
      <c r="F45" s="15"/>
      <c r="G45" s="15"/>
      <c r="H45" s="15"/>
      <c r="I45" s="45"/>
    </row>
    <row r="46" s="38" customFormat="1" ht="35" customHeight="1" spans="1:9">
      <c r="A46" s="31" t="s">
        <v>47</v>
      </c>
      <c r="B46" s="32"/>
      <c r="C46" s="33"/>
      <c r="D46" s="15"/>
      <c r="E46" s="15"/>
      <c r="F46" s="15"/>
      <c r="G46" s="15"/>
      <c r="H46" s="15"/>
      <c r="I46" s="45"/>
    </row>
    <row r="47" s="38" customFormat="1" ht="35" customHeight="1" spans="1:9">
      <c r="A47" s="34" t="str" cm="1">
        <f ca="1" t="array" ref="A47">IF((INDIRECT("'"&amp;INDIRECT("Main!B9")&amp;"'!A61"))=0,"",(INDIRECT("'"&amp;INDIRECT("Main!B9")&amp;"'!A61")))</f>
        <v/>
      </c>
      <c r="B47" s="34" t="str" cm="1">
        <f ca="1" t="array" ref="B47">IF((INDIRECT("'"&amp;INDIRECT("Main!B9")&amp;"'!B61"))=0,"",(INDIRECT("'"&amp;INDIRECT("Main!B9")&amp;"'!B61")))</f>
        <v/>
      </c>
      <c r="C47" s="35">
        <v>0</v>
      </c>
      <c r="D47" s="15"/>
      <c r="E47" s="15"/>
      <c r="F47" s="15"/>
      <c r="G47" s="15"/>
      <c r="H47" s="15"/>
      <c r="I47" s="45"/>
    </row>
    <row r="48" s="38" customFormat="1" ht="35" customHeight="1" spans="1:9">
      <c r="A48" s="34" t="str" cm="1">
        <f ca="1" t="array" ref="A48">IF((INDIRECT("'"&amp;INDIRECT("Main!B9")&amp;"'!A62"))=0,"",(INDIRECT("'"&amp;INDIRECT("Main!B9")&amp;"'!A62")))</f>
        <v/>
      </c>
      <c r="B48" s="34" t="str" cm="1">
        <f ca="1" t="array" ref="B48">IF((INDIRECT("'"&amp;INDIRECT("Main!B9")&amp;"'!B62"))=0,"",(INDIRECT("'"&amp;INDIRECT("Main!B9")&amp;"'!B62")))</f>
        <v/>
      </c>
      <c r="C48" s="35">
        <v>0</v>
      </c>
      <c r="D48" s="15"/>
      <c r="E48" s="15"/>
      <c r="F48" s="15"/>
      <c r="G48" s="15"/>
      <c r="H48" s="15"/>
      <c r="I48" s="45"/>
    </row>
    <row r="49" s="38" customFormat="1" ht="35" customHeight="1" spans="1:9">
      <c r="A49" s="34" t="str" cm="1">
        <f ca="1" t="array" ref="A49">IF((INDIRECT("'"&amp;INDIRECT("Main!B9")&amp;"'!A63"))=0,"",(INDIRECT("'"&amp;INDIRECT("Main!B9")&amp;"'!A63")))</f>
        <v/>
      </c>
      <c r="B49" s="34" t="str" cm="1">
        <f ca="1" t="array" ref="B49">IF((INDIRECT("'"&amp;INDIRECT("Main!B9")&amp;"'!B63"))=0,"",(INDIRECT("'"&amp;INDIRECT("Main!B9")&amp;"'!B63")))</f>
        <v/>
      </c>
      <c r="C49" s="35">
        <v>0</v>
      </c>
      <c r="D49" s="15"/>
      <c r="E49" s="15"/>
      <c r="F49" s="15"/>
      <c r="G49" s="15"/>
      <c r="H49" s="15"/>
      <c r="I49" s="45"/>
    </row>
    <row r="50" s="38" customFormat="1" ht="35" customHeight="1" spans="1:9">
      <c r="A50" s="34" t="str" cm="1">
        <f ca="1" t="array" ref="A50">IF((INDIRECT("'"&amp;INDIRECT("Main!B9")&amp;"'!A64"))=0,"",(INDIRECT("'"&amp;INDIRECT("Main!B9")&amp;"'!A64")))</f>
        <v/>
      </c>
      <c r="B50" s="34" t="str" cm="1">
        <f ca="1" t="array" ref="B50">IF((INDIRECT("'"&amp;INDIRECT("Main!B9")&amp;"'!B64"))=0,"",(INDIRECT("'"&amp;INDIRECT("Main!B9")&amp;"'!B64")))</f>
        <v/>
      </c>
      <c r="C50" s="35">
        <v>0</v>
      </c>
      <c r="D50" s="15"/>
      <c r="E50" s="15"/>
      <c r="F50" s="15"/>
      <c r="G50" s="15"/>
      <c r="H50" s="15"/>
      <c r="I50" s="45"/>
    </row>
    <row r="51" s="38" customFormat="1" ht="35" customHeight="1" spans="1:9">
      <c r="A51" s="34" t="str" cm="1">
        <f ca="1" t="array" ref="A51">IF((INDIRECT("'"&amp;INDIRECT("Main!B9")&amp;"'!A65"))=0,"",(INDIRECT("'"&amp;INDIRECT("Main!B9")&amp;"'!A65")))</f>
        <v/>
      </c>
      <c r="B51" s="34" t="str" cm="1">
        <f ca="1" t="array" ref="B51">IF((INDIRECT("'"&amp;INDIRECT("Main!B9")&amp;"'!B65"))=0,"",(INDIRECT("'"&amp;INDIRECT("Main!B9")&amp;"'!B65")))</f>
        <v/>
      </c>
      <c r="C51" s="35">
        <v>0</v>
      </c>
      <c r="D51" s="15"/>
      <c r="E51" s="15"/>
      <c r="F51" s="15"/>
      <c r="G51" s="15"/>
      <c r="H51" s="15"/>
      <c r="I51" s="45"/>
    </row>
    <row r="52" s="38" customFormat="1" ht="35" customHeight="1" spans="1:9">
      <c r="A52" s="34" t="str" cm="1">
        <f ca="1" t="array" ref="A52">IF((INDIRECT("'"&amp;INDIRECT("Main!B9")&amp;"'!A66"))=0,"",(INDIRECT("'"&amp;INDIRECT("Main!B9")&amp;"'!A66")))</f>
        <v/>
      </c>
      <c r="B52" s="34" t="str" cm="1">
        <f ca="1" t="array" ref="B52">IF((INDIRECT("'"&amp;INDIRECT("Main!B9")&amp;"'!B66"))=0,"",(INDIRECT("'"&amp;INDIRECT("Main!B9")&amp;"'!B66")))</f>
        <v/>
      </c>
      <c r="C52" s="35">
        <v>0</v>
      </c>
      <c r="D52" s="15"/>
      <c r="E52" s="15"/>
      <c r="F52" s="15"/>
      <c r="G52" s="15"/>
      <c r="H52" s="15"/>
      <c r="I52" s="45"/>
    </row>
    <row r="53" s="38" customFormat="1" ht="35" customHeight="1" spans="1:9">
      <c r="A53" s="34" t="str" cm="1">
        <f ca="1" t="array" ref="A53">IF((INDIRECT("'"&amp;INDIRECT("Main!B9")&amp;"'!A67"))=0,"",(INDIRECT("'"&amp;INDIRECT("Main!B9")&amp;"'!A67")))</f>
        <v/>
      </c>
      <c r="B53" s="34" t="str" cm="1">
        <f ca="1" t="array" ref="B53">IF((INDIRECT("'"&amp;INDIRECT("Main!B9")&amp;"'!B67"))=0,"",(INDIRECT("'"&amp;INDIRECT("Main!B9")&amp;"'!B67")))</f>
        <v/>
      </c>
      <c r="C53" s="35">
        <v>0</v>
      </c>
      <c r="D53" s="15"/>
      <c r="E53" s="15"/>
      <c r="F53" s="15"/>
      <c r="G53" s="15"/>
      <c r="H53" s="15"/>
      <c r="I53" s="45"/>
    </row>
    <row r="54" s="38" customFormat="1" ht="35" customHeight="1" spans="1:9">
      <c r="A54" s="34" t="str" cm="1">
        <f ca="1" t="array" ref="A54">IF((INDIRECT("'"&amp;INDIRECT("Main!B9")&amp;"'!A68"))=0,"",(INDIRECT("'"&amp;INDIRECT("Main!B9")&amp;"'!A68")))</f>
        <v/>
      </c>
      <c r="B54" s="34" t="str" cm="1">
        <f ca="1" t="array" ref="B54">IF((INDIRECT("'"&amp;INDIRECT("Main!B9")&amp;"'!B68"))=0,"",(INDIRECT("'"&amp;INDIRECT("Main!B9")&amp;"'!B68")))</f>
        <v/>
      </c>
      <c r="C54" s="35">
        <v>0</v>
      </c>
      <c r="D54" s="15"/>
      <c r="E54" s="15"/>
      <c r="F54" s="15"/>
      <c r="G54" s="15"/>
      <c r="H54" s="15"/>
      <c r="I54" s="45"/>
    </row>
    <row r="55" s="38" customFormat="1" ht="35" customHeight="1" spans="1:9">
      <c r="A55" s="36"/>
      <c r="B55" s="37" t="s">
        <v>48</v>
      </c>
      <c r="C55" s="35">
        <f>SUM(C47:C54)</f>
        <v>0</v>
      </c>
      <c r="D55" s="15"/>
      <c r="E55" s="15"/>
      <c r="F55" s="15"/>
      <c r="G55" s="15"/>
      <c r="H55" s="15"/>
      <c r="I55" s="45"/>
    </row>
    <row r="56" s="38" customFormat="1" ht="35" customHeight="1" spans="1:9">
      <c r="A56" s="83" t="s">
        <v>49</v>
      </c>
      <c r="B56" s="84"/>
      <c r="C56" s="85"/>
      <c r="D56" s="15"/>
      <c r="E56" s="15"/>
      <c r="F56" s="15"/>
      <c r="G56" s="15"/>
      <c r="H56" s="15"/>
      <c r="I56" s="45"/>
    </row>
    <row r="57" s="38" customFormat="1" ht="35" customHeight="1" spans="1:9">
      <c r="A57" s="34" t="str" cm="1">
        <f ca="1" t="array" ref="A57">IF((INDIRECT("'"&amp;INDIRECT("Main!B9")&amp;"'!A71"))=0,"",(INDIRECT("'"&amp;INDIRECT("Main!B9")&amp;"'!A71")))</f>
        <v/>
      </c>
      <c r="B57" s="34" t="str" cm="1">
        <f ca="1" t="array" ref="B57">IF((INDIRECT("'"&amp;INDIRECT("Main!B9")&amp;"'!B71"))=0,"",(INDIRECT("'"&amp;INDIRECT("Main!B9")&amp;"'!B71")))</f>
        <v/>
      </c>
      <c r="C57" s="35">
        <v>0</v>
      </c>
      <c r="D57" s="15"/>
      <c r="E57" s="15"/>
      <c r="F57" s="15"/>
      <c r="G57" s="15"/>
      <c r="H57" s="15"/>
      <c r="I57" s="45"/>
    </row>
    <row r="58" s="38" customFormat="1" ht="35" customHeight="1" spans="1:9">
      <c r="A58" s="34" t="str" cm="1">
        <f ca="1" t="array" ref="A58">IF((INDIRECT("'"&amp;INDIRECT("Main!B9")&amp;"'!A72"))=0,"",(INDIRECT("'"&amp;INDIRECT("Main!B9")&amp;"'!A72")))</f>
        <v/>
      </c>
      <c r="B58" s="34" t="str" cm="1">
        <f ca="1" t="array" ref="B58">IF((INDIRECT("'"&amp;INDIRECT("Main!B9")&amp;"'!B72"))=0,"",(INDIRECT("'"&amp;INDIRECT("Main!B9")&amp;"'!B72")))</f>
        <v/>
      </c>
      <c r="C58" s="35">
        <v>0</v>
      </c>
      <c r="D58" s="15"/>
      <c r="E58" s="15"/>
      <c r="F58" s="15"/>
      <c r="G58" s="15"/>
      <c r="H58" s="15"/>
      <c r="I58" s="45"/>
    </row>
    <row r="59" s="38" customFormat="1" ht="35" customHeight="1" spans="1:9">
      <c r="A59" s="34" t="str" cm="1">
        <f ca="1" t="array" ref="A59">IF((INDIRECT("'"&amp;INDIRECT("Main!B9")&amp;"'!A73"))=0,"",(INDIRECT("'"&amp;INDIRECT("Main!B9")&amp;"'!A73")))</f>
        <v/>
      </c>
      <c r="B59" s="34" t="str" cm="1">
        <f ca="1" t="array" ref="B59">IF((INDIRECT("'"&amp;INDIRECT("Main!B9")&amp;"'!B73"))=0,"",(INDIRECT("'"&amp;INDIRECT("Main!B9")&amp;"'!B73")))</f>
        <v/>
      </c>
      <c r="C59" s="35">
        <v>0</v>
      </c>
      <c r="D59" s="15"/>
      <c r="E59" s="15"/>
      <c r="F59" s="15"/>
      <c r="G59" s="15"/>
      <c r="H59" s="15"/>
      <c r="I59" s="45"/>
    </row>
    <row r="60" s="38" customFormat="1" ht="35" customHeight="1" spans="1:9">
      <c r="A60" s="34" t="str" cm="1">
        <f ca="1" t="array" ref="A60">IF((INDIRECT("'"&amp;INDIRECT("Main!B9")&amp;"'!A74"))=0,"",(INDIRECT("'"&amp;INDIRECT("Main!B9")&amp;"'!A74")))</f>
        <v/>
      </c>
      <c r="B60" s="34" t="str" cm="1">
        <f ca="1" t="array" ref="B60">IF((INDIRECT("'"&amp;INDIRECT("Main!B9")&amp;"'!B74"))=0,"",(INDIRECT("'"&amp;INDIRECT("Main!B9")&amp;"'!B74")))</f>
        <v/>
      </c>
      <c r="C60" s="35">
        <v>0</v>
      </c>
      <c r="D60" s="15"/>
      <c r="E60" s="15"/>
      <c r="F60" s="15"/>
      <c r="G60" s="15"/>
      <c r="H60" s="15"/>
      <c r="I60" s="45"/>
    </row>
    <row r="61" s="38" customFormat="1" ht="35" customHeight="1" spans="1:9">
      <c r="A61" s="34" t="str" cm="1">
        <f ca="1" t="array" ref="A61">IF((INDIRECT("'"&amp;INDIRECT("Main!B9")&amp;"'!A75"))=0,"",(INDIRECT("'"&amp;INDIRECT("Main!B9")&amp;"'!A75")))</f>
        <v/>
      </c>
      <c r="B61" s="34" t="str" cm="1">
        <f ca="1" t="array" ref="B61">IF((INDIRECT("'"&amp;INDIRECT("Main!B9")&amp;"'!B75"))=0,"",(INDIRECT("'"&amp;INDIRECT("Main!B9")&amp;"'!B75")))</f>
        <v/>
      </c>
      <c r="C61" s="35">
        <v>0</v>
      </c>
      <c r="D61" s="15"/>
      <c r="E61" s="15"/>
      <c r="F61" s="15"/>
      <c r="G61" s="15"/>
      <c r="H61" s="15"/>
      <c r="I61" s="45"/>
    </row>
    <row r="62" s="38" customFormat="1" ht="35" customHeight="1" spans="1:9">
      <c r="A62" s="34" t="str" cm="1">
        <f ca="1" t="array" ref="A62">IF((INDIRECT("'"&amp;INDIRECT("Main!B9")&amp;"'!A76"))=0,"",(INDIRECT("'"&amp;INDIRECT("Main!B9")&amp;"'!A76")))</f>
        <v/>
      </c>
      <c r="B62" s="34" t="str" cm="1">
        <f ca="1" t="array" ref="B62">IF((INDIRECT("'"&amp;INDIRECT("Main!B9")&amp;"'!B76"))=0,"",(INDIRECT("'"&amp;INDIRECT("Main!B9")&amp;"'!B76")))</f>
        <v/>
      </c>
      <c r="C62" s="35">
        <v>0</v>
      </c>
      <c r="D62" s="15"/>
      <c r="E62" s="15"/>
      <c r="F62" s="15"/>
      <c r="G62" s="15"/>
      <c r="H62" s="15"/>
      <c r="I62" s="45"/>
    </row>
    <row r="63" s="38" customFormat="1" ht="35" customHeight="1" spans="1:9">
      <c r="A63" s="34" t="str" cm="1">
        <f ca="1" t="array" ref="A63">IF((INDIRECT("'"&amp;INDIRECT("Main!B9")&amp;"'!A77"))=0,"",(INDIRECT("'"&amp;INDIRECT("Main!B9")&amp;"'!A77")))</f>
        <v/>
      </c>
      <c r="B63" s="34" t="str" cm="1">
        <f ca="1" t="array" ref="B63">IF((INDIRECT("'"&amp;INDIRECT("Main!B9")&amp;"'!B77"))=0,"",(INDIRECT("'"&amp;INDIRECT("Main!B9")&amp;"'!B77")))</f>
        <v/>
      </c>
      <c r="C63" s="35">
        <v>0</v>
      </c>
      <c r="D63" s="15"/>
      <c r="E63" s="15"/>
      <c r="F63" s="15"/>
      <c r="G63" s="15"/>
      <c r="H63" s="15"/>
      <c r="I63" s="45"/>
    </row>
    <row r="64" s="38" customFormat="1" ht="35" customHeight="1" spans="1:9">
      <c r="A64" s="34" t="str" cm="1">
        <f ca="1" t="array" ref="A64">IF((INDIRECT("'"&amp;INDIRECT("Main!B9")&amp;"'!A78"))=0,"",(INDIRECT("'"&amp;INDIRECT("Main!B9")&amp;"'!A78")))</f>
        <v/>
      </c>
      <c r="B64" s="34" t="str" cm="1">
        <f ca="1" t="array" ref="B64">IF((INDIRECT("'"&amp;INDIRECT("Main!B9")&amp;"'!B78"))=0,"",(INDIRECT("'"&amp;INDIRECT("Main!B9")&amp;"'!B78")))</f>
        <v/>
      </c>
      <c r="C64" s="35">
        <v>0</v>
      </c>
      <c r="D64" s="15"/>
      <c r="E64" s="15"/>
      <c r="F64" s="15"/>
      <c r="G64" s="15"/>
      <c r="H64" s="15"/>
      <c r="I64" s="45"/>
    </row>
    <row r="65" s="38" customFormat="1" ht="35" customHeight="1" spans="1:9">
      <c r="A65" s="34" t="str" cm="1">
        <f ca="1" t="array" ref="A65">IF((INDIRECT("'"&amp;INDIRECT("Main!B9")&amp;"'!A79"))=0,"",(INDIRECT("'"&amp;INDIRECT("Main!B9")&amp;"'!A79")))</f>
        <v/>
      </c>
      <c r="B65" s="34" t="str" cm="1">
        <f ca="1" t="array" ref="B65">IF((INDIRECT("'"&amp;INDIRECT("Main!B9")&amp;"'!B79"))=0,"",(INDIRECT("'"&amp;INDIRECT("Main!B9")&amp;"'!B79")))</f>
        <v/>
      </c>
      <c r="C65" s="35">
        <v>0</v>
      </c>
      <c r="D65" s="15"/>
      <c r="E65" s="15"/>
      <c r="F65" s="15"/>
      <c r="G65" s="15"/>
      <c r="H65" s="15"/>
      <c r="I65" s="45"/>
    </row>
    <row r="66" s="38" customFormat="1" ht="35" customHeight="1" spans="1:9">
      <c r="A66" s="46"/>
      <c r="B66" s="37" t="s">
        <v>48</v>
      </c>
      <c r="C66" s="35">
        <f>SUM(C57:C65)</f>
        <v>0</v>
      </c>
      <c r="D66" s="15"/>
      <c r="E66" s="15"/>
      <c r="F66" s="15"/>
      <c r="G66" s="15"/>
      <c r="H66" s="15"/>
      <c r="I66" s="45"/>
    </row>
    <row r="67" s="38" customFormat="1" ht="35" customHeight="1" spans="1:9">
      <c r="A67" s="83" t="s">
        <v>50</v>
      </c>
      <c r="B67" s="84"/>
      <c r="C67" s="85"/>
      <c r="D67" s="15"/>
      <c r="E67" s="15"/>
      <c r="F67" s="15"/>
      <c r="G67" s="15"/>
      <c r="H67" s="15"/>
      <c r="I67" s="45"/>
    </row>
    <row r="68" s="38" customFormat="1" ht="35" customHeight="1" spans="1:9">
      <c r="A68" s="47" t="str" cm="1">
        <f ca="1" t="array" ref="A68">IF((INDIRECT("'"&amp;INDIRECT("Main!B9")&amp;"'!A82"))=0,"",(INDIRECT("'"&amp;INDIRECT("Main!B9")&amp;"'!A82")))</f>
        <v/>
      </c>
      <c r="B68" s="47" t="str" cm="1">
        <f ca="1" t="array" ref="B68">IF((INDIRECT("'"&amp;INDIRECT("Main!B9")&amp;"'!B82"))=0,"",(INDIRECT("'"&amp;INDIRECT("Main!B9")&amp;"'!B82")))</f>
        <v/>
      </c>
      <c r="C68" s="35">
        <v>0</v>
      </c>
      <c r="D68" s="15"/>
      <c r="E68" s="15"/>
      <c r="F68" s="15"/>
      <c r="G68" s="15"/>
      <c r="H68" s="15"/>
      <c r="I68" s="45"/>
    </row>
    <row r="69" s="38" customFormat="1" ht="35" customHeight="1" spans="1:9">
      <c r="A69" s="47" t="str" cm="1">
        <f ca="1" t="array" ref="A69">IF((INDIRECT("'"&amp;INDIRECT("Main!B9")&amp;"'!A83"))=0,"",(INDIRECT("'"&amp;INDIRECT("Main!B9")&amp;"'!A83")))</f>
        <v/>
      </c>
      <c r="B69" s="47" t="str" cm="1">
        <f ca="1" t="array" ref="B69">IF((INDIRECT("'"&amp;INDIRECT("Main!B9")&amp;"'!B83"))=0,"",(INDIRECT("'"&amp;INDIRECT("Main!B9")&amp;"'!B83")))</f>
        <v/>
      </c>
      <c r="C69" s="35">
        <v>0</v>
      </c>
      <c r="D69" s="15"/>
      <c r="E69" s="15"/>
      <c r="F69" s="15"/>
      <c r="G69" s="15"/>
      <c r="H69" s="15"/>
      <c r="I69" s="45"/>
    </row>
    <row r="70" s="38" customFormat="1" ht="35" customHeight="1" spans="1:9">
      <c r="A70" s="47" t="str" cm="1">
        <f ca="1" t="array" ref="A70">IF((INDIRECT("'"&amp;INDIRECT("Main!B9")&amp;"'!A84"))=0,"",(INDIRECT("'"&amp;INDIRECT("Main!B9")&amp;"'!A84")))</f>
        <v/>
      </c>
      <c r="B70" s="47" t="str" cm="1">
        <f ca="1" t="array" ref="B70">IF((INDIRECT("'"&amp;INDIRECT("Main!B9")&amp;"'!B84"))=0,"",(INDIRECT("'"&amp;INDIRECT("Main!B9")&amp;"'!B84")))</f>
        <v/>
      </c>
      <c r="C70" s="35">
        <v>0</v>
      </c>
      <c r="D70" s="15"/>
      <c r="E70" s="15"/>
      <c r="F70" s="15"/>
      <c r="G70" s="15"/>
      <c r="H70" s="15"/>
      <c r="I70" s="45"/>
    </row>
    <row r="71" s="38" customFormat="1" ht="35" customHeight="1" spans="1:9">
      <c r="A71" s="47" t="str" cm="1">
        <f ca="1" t="array" ref="A71">IF((INDIRECT("'"&amp;INDIRECT("Main!B9")&amp;"'!A85"))=0,"",(INDIRECT("'"&amp;INDIRECT("Main!B9")&amp;"'!A85")))</f>
        <v/>
      </c>
      <c r="B71" s="47" t="str" cm="1">
        <f ca="1" t="array" ref="B71">IF((INDIRECT("'"&amp;INDIRECT("Main!B9")&amp;"'!B85"))=0,"",(INDIRECT("'"&amp;INDIRECT("Main!B9")&amp;"'!B85")))</f>
        <v/>
      </c>
      <c r="C71" s="35">
        <v>0</v>
      </c>
      <c r="D71" s="15"/>
      <c r="E71" s="15"/>
      <c r="F71" s="15"/>
      <c r="G71" s="15"/>
      <c r="H71" s="15"/>
      <c r="I71" s="45"/>
    </row>
    <row r="72" s="38" customFormat="1" ht="35" customHeight="1" spans="1:9">
      <c r="A72" s="47" t="str" cm="1">
        <f ca="1" t="array" ref="A72">IF((INDIRECT("'"&amp;INDIRECT("Main!B9")&amp;"'!A86"))=0,"",(INDIRECT("'"&amp;INDIRECT("Main!B9")&amp;"'!A86")))</f>
        <v/>
      </c>
      <c r="B72" s="47" t="str" cm="1">
        <f ca="1" t="array" ref="B72">IF((INDIRECT("'"&amp;INDIRECT("Main!B9")&amp;"'!B86"))=0,"",(INDIRECT("'"&amp;INDIRECT("Main!B9")&amp;"'!B86")))</f>
        <v/>
      </c>
      <c r="C72" s="35">
        <v>0</v>
      </c>
      <c r="D72" s="15"/>
      <c r="E72" s="15"/>
      <c r="F72" s="15"/>
      <c r="G72" s="15"/>
      <c r="H72" s="15"/>
      <c r="I72" s="45"/>
    </row>
    <row r="73" s="38" customFormat="1" ht="35" customHeight="1" spans="1:9">
      <c r="A73" s="47" t="str" cm="1">
        <f ca="1" t="array" ref="A73">IF((INDIRECT("'"&amp;INDIRECT("Main!B9")&amp;"'!A87"))=0,"",(INDIRECT("'"&amp;INDIRECT("Main!B9")&amp;"'!A87")))</f>
        <v/>
      </c>
      <c r="B73" s="47" t="str" cm="1">
        <f ca="1" t="array" ref="B73">IF((INDIRECT("'"&amp;INDIRECT("Main!B9")&amp;"'!B87"))=0,"",(INDIRECT("'"&amp;INDIRECT("Main!B9")&amp;"'!B87")))</f>
        <v/>
      </c>
      <c r="C73" s="35">
        <v>0</v>
      </c>
      <c r="D73" s="15"/>
      <c r="E73" s="15"/>
      <c r="F73" s="15"/>
      <c r="G73" s="15"/>
      <c r="H73" s="15"/>
      <c r="I73" s="45"/>
    </row>
    <row r="74" s="38" customFormat="1" ht="35" customHeight="1" spans="1:9">
      <c r="A74" s="47" t="str" cm="1">
        <f ca="1" t="array" ref="A74">IF((INDIRECT("'"&amp;INDIRECT("Main!B9")&amp;"'!A88"))=0,"",(INDIRECT("'"&amp;INDIRECT("Main!B9")&amp;"'!A88")))</f>
        <v/>
      </c>
      <c r="B74" s="47" t="str" cm="1">
        <f ca="1" t="array" ref="B74">IF((INDIRECT("'"&amp;INDIRECT("Main!B9")&amp;"'!B88"))=0,"",(INDIRECT("'"&amp;INDIRECT("Main!B9")&amp;"'!B88")))</f>
        <v/>
      </c>
      <c r="C74" s="35">
        <v>0</v>
      </c>
      <c r="D74" s="15"/>
      <c r="E74" s="15"/>
      <c r="F74" s="15"/>
      <c r="G74" s="15"/>
      <c r="H74" s="15"/>
      <c r="I74" s="45"/>
    </row>
    <row r="75" s="38" customFormat="1" ht="35" customHeight="1" spans="1:9">
      <c r="A75" s="46"/>
      <c r="B75" s="37" t="s">
        <v>48</v>
      </c>
      <c r="C75" s="35">
        <f>SUM(C68:C74)</f>
        <v>0</v>
      </c>
      <c r="D75" s="15"/>
      <c r="E75" s="15"/>
      <c r="F75" s="15"/>
      <c r="G75" s="15"/>
      <c r="H75" s="15"/>
      <c r="I75" s="45"/>
    </row>
    <row r="76" s="38" customFormat="1" ht="35" customHeight="1" spans="1:9">
      <c r="A76" s="83" t="s">
        <v>51</v>
      </c>
      <c r="B76" s="84"/>
      <c r="C76" s="85"/>
      <c r="D76" s="15"/>
      <c r="E76" s="15"/>
      <c r="F76" s="15"/>
      <c r="G76" s="15"/>
      <c r="H76" s="15"/>
      <c r="I76" s="45"/>
    </row>
    <row r="77" s="38" customFormat="1" ht="35" customHeight="1" spans="1:9">
      <c r="A77" s="34" t="str" cm="1">
        <f ca="1" t="array" ref="A77">IF((INDIRECT("'"&amp;INDIRECT("Main!B9")&amp;"'!A91"))=0,"",(INDIRECT("'"&amp;INDIRECT("Main!B9")&amp;"'!A91")))</f>
        <v/>
      </c>
      <c r="B77" s="34" t="str" cm="1">
        <f ca="1" t="array" ref="B77">IF((INDIRECT("'"&amp;INDIRECT("Main!B9")&amp;"'!B91"))=0,"",(INDIRECT("'"&amp;INDIRECT("Main!B9")&amp;"'!B91")))</f>
        <v/>
      </c>
      <c r="C77" s="35">
        <v>0</v>
      </c>
      <c r="D77" s="15"/>
      <c r="E77" s="15"/>
      <c r="F77" s="15"/>
      <c r="G77" s="15"/>
      <c r="H77" s="15"/>
      <c r="I77" s="45"/>
    </row>
    <row r="78" s="38" customFormat="1" ht="35" customHeight="1" spans="1:9">
      <c r="A78" s="34" t="str" cm="1">
        <f ca="1" t="array" ref="A78">IF((INDIRECT("'"&amp;INDIRECT("Main!B9")&amp;"'!A92"))=0,"",(INDIRECT("'"&amp;INDIRECT("Main!B9")&amp;"'!A92")))</f>
        <v/>
      </c>
      <c r="B78" s="34" t="str" cm="1">
        <f ca="1" t="array" ref="B78">IF((INDIRECT("'"&amp;INDIRECT("Main!B9")&amp;"'!B92"))=0,"",(INDIRECT("'"&amp;INDIRECT("Main!B9")&amp;"'!B92")))</f>
        <v/>
      </c>
      <c r="C78" s="35">
        <v>0</v>
      </c>
      <c r="D78" s="15"/>
      <c r="E78" s="15"/>
      <c r="F78" s="15"/>
      <c r="G78" s="15"/>
      <c r="H78" s="15"/>
      <c r="I78" s="45"/>
    </row>
    <row r="79" s="38" customFormat="1" ht="35" customHeight="1" spans="1:9">
      <c r="A79" s="34" t="str" cm="1">
        <f ca="1" t="array" ref="A79">IF((INDIRECT("'"&amp;INDIRECT("Main!B9")&amp;"'!A93"))=0,"",(INDIRECT("'"&amp;INDIRECT("Main!B9")&amp;"'!A93")))</f>
        <v/>
      </c>
      <c r="B79" s="34" t="str" cm="1">
        <f ca="1" t="array" ref="B79">IF((INDIRECT("'"&amp;INDIRECT("Main!B9")&amp;"'!B93"))=0,"",(INDIRECT("'"&amp;INDIRECT("Main!B9")&amp;"'!B93")))</f>
        <v/>
      </c>
      <c r="C79" s="35">
        <v>0</v>
      </c>
      <c r="D79" s="15"/>
      <c r="E79" s="15"/>
      <c r="F79" s="15"/>
      <c r="G79" s="15"/>
      <c r="H79" s="15"/>
      <c r="I79" s="45"/>
    </row>
    <row r="80" s="38" customFormat="1" ht="35" customHeight="1" spans="1:9">
      <c r="A80" s="34" t="str" cm="1">
        <f ca="1" t="array" ref="A80">IF((INDIRECT("'"&amp;INDIRECT("Main!B9")&amp;"'!A94"))=0,"",(INDIRECT("'"&amp;INDIRECT("Main!B9")&amp;"'!A94")))</f>
        <v/>
      </c>
      <c r="B80" s="34" t="str" cm="1">
        <f ca="1" t="array" ref="B80">IF((INDIRECT("'"&amp;INDIRECT("Main!B9")&amp;"'!B94"))=0,"",(INDIRECT("'"&amp;INDIRECT("Main!B9")&amp;"'!B94")))</f>
        <v/>
      </c>
      <c r="C80" s="35">
        <v>0</v>
      </c>
      <c r="D80" s="15"/>
      <c r="E80" s="15"/>
      <c r="F80" s="15"/>
      <c r="G80" s="15"/>
      <c r="H80" s="15"/>
      <c r="I80" s="45"/>
    </row>
    <row r="81" s="38" customFormat="1" ht="35" customHeight="1" spans="1:9">
      <c r="A81" s="34" t="str" cm="1">
        <f ca="1" t="array" ref="A81">IF((INDIRECT("'"&amp;INDIRECT("Main!B9")&amp;"'!A95"))=0,"",(INDIRECT("'"&amp;INDIRECT("Main!B9")&amp;"'!A95")))</f>
        <v/>
      </c>
      <c r="B81" s="34" t="str" cm="1">
        <f ca="1" t="array" ref="B81">IF((INDIRECT("'"&amp;INDIRECT("Main!B9")&amp;"'!B95"))=0,"",(INDIRECT("'"&amp;INDIRECT("Main!B9")&amp;"'!B95")))</f>
        <v/>
      </c>
      <c r="C81" s="35">
        <v>0</v>
      </c>
      <c r="D81" s="15"/>
      <c r="E81" s="15"/>
      <c r="F81" s="15"/>
      <c r="G81" s="15"/>
      <c r="H81" s="15"/>
      <c r="I81" s="45"/>
    </row>
    <row r="82" s="38" customFormat="1" ht="35" customHeight="1" spans="1:9">
      <c r="A82" s="34" t="str" cm="1">
        <f ca="1" t="array" ref="A82">IF((INDIRECT("'"&amp;INDIRECT("Main!B9")&amp;"'!A96"))=0,"",(INDIRECT("'"&amp;INDIRECT("Main!B9")&amp;"'!A96")))</f>
        <v/>
      </c>
      <c r="B82" s="34" t="str" cm="1">
        <f ca="1" t="array" ref="B82">IF((INDIRECT("'"&amp;INDIRECT("Main!B9")&amp;"'!B96"))=0,"",(INDIRECT("'"&amp;INDIRECT("Main!B9")&amp;"'!B96")))</f>
        <v/>
      </c>
      <c r="C82" s="35">
        <v>0</v>
      </c>
      <c r="D82" s="15"/>
      <c r="E82" s="15"/>
      <c r="F82" s="15"/>
      <c r="G82" s="15"/>
      <c r="H82" s="15"/>
      <c r="I82" s="45"/>
    </row>
    <row r="83" s="38" customFormat="1" ht="35" customHeight="1" spans="1:9">
      <c r="A83" s="34" t="str" cm="1">
        <f ca="1" t="array" ref="A83">IF((INDIRECT("'"&amp;INDIRECT("Main!B9")&amp;"'!A97"))=0,"",(INDIRECT("'"&amp;INDIRECT("Main!B9")&amp;"'!A97")))</f>
        <v/>
      </c>
      <c r="B83" s="34" t="str" cm="1">
        <f ca="1" t="array" ref="B83">IF((INDIRECT("'"&amp;INDIRECT("Main!B9")&amp;"'!B97"))=0,"",(INDIRECT("'"&amp;INDIRECT("Main!B9")&amp;"'!B97")))</f>
        <v/>
      </c>
      <c r="C83" s="35">
        <v>0</v>
      </c>
      <c r="D83" s="15"/>
      <c r="E83" s="15"/>
      <c r="F83" s="15"/>
      <c r="G83" s="15"/>
      <c r="H83" s="15"/>
      <c r="I83" s="45"/>
    </row>
    <row r="84" s="38" customFormat="1" ht="35" customHeight="1" spans="1:9">
      <c r="A84" s="34" t="str" cm="1">
        <f ca="1" t="array" ref="A84">IF((INDIRECT("'"&amp;INDIRECT("Main!B9")&amp;"'!A98"))=0,"",(INDIRECT("'"&amp;INDIRECT("Main!B9")&amp;"'!A98")))</f>
        <v/>
      </c>
      <c r="B84" s="34" t="str" cm="1">
        <f ca="1" t="array" ref="B84">IF((INDIRECT("'"&amp;INDIRECT("Main!B9")&amp;"'!B98"))=0,"",(INDIRECT("'"&amp;INDIRECT("Main!B9")&amp;"'!B98")))</f>
        <v/>
      </c>
      <c r="C84" s="35">
        <v>0</v>
      </c>
      <c r="D84" s="15"/>
      <c r="E84" s="15"/>
      <c r="F84" s="15"/>
      <c r="G84" s="15"/>
      <c r="H84" s="15"/>
      <c r="I84" s="45"/>
    </row>
    <row r="85" s="38" customFormat="1" ht="35" customHeight="1" spans="1:9">
      <c r="A85" s="46"/>
      <c r="B85" s="37" t="s">
        <v>48</v>
      </c>
      <c r="C85" s="35">
        <f>SUM(C77:C84)</f>
        <v>0</v>
      </c>
      <c r="D85" s="15"/>
      <c r="E85" s="15"/>
      <c r="F85" s="15"/>
      <c r="G85" s="15"/>
      <c r="H85" s="15"/>
      <c r="I85" s="45"/>
    </row>
    <row r="86" s="38" customFormat="1" ht="35" customHeight="1" spans="1:9">
      <c r="A86" s="83" t="s">
        <v>52</v>
      </c>
      <c r="B86" s="84"/>
      <c r="C86" s="85"/>
      <c r="D86" s="15"/>
      <c r="E86" s="15"/>
      <c r="F86" s="15"/>
      <c r="G86" s="15"/>
      <c r="H86" s="15"/>
      <c r="I86" s="45"/>
    </row>
    <row r="87" s="38" customFormat="1" ht="35" customHeight="1" spans="1:9">
      <c r="A87" s="34" t="str" cm="1">
        <f ca="1" t="array" ref="A87">IF((INDIRECT("'"&amp;INDIRECT("Main!B9")&amp;"'!A101"))=0,"",(INDIRECT("'"&amp;INDIRECT("Main!B9")&amp;"'!A101")))</f>
        <v/>
      </c>
      <c r="B87" s="34" t="str" cm="1">
        <f ca="1" t="array" ref="B87">IF((INDIRECT("'"&amp;INDIRECT("Main!B9")&amp;"'!B101"))=0,"",(INDIRECT("'"&amp;INDIRECT("Main!B9")&amp;"'!B101")))</f>
        <v/>
      </c>
      <c r="C87" s="35">
        <v>0</v>
      </c>
      <c r="D87" s="15"/>
      <c r="E87" s="15"/>
      <c r="F87" s="15"/>
      <c r="G87" s="15"/>
      <c r="H87" s="15"/>
      <c r="I87" s="45"/>
    </row>
    <row r="88" s="38" customFormat="1" ht="35" customHeight="1" spans="1:9">
      <c r="A88" s="34" t="str" cm="1">
        <f ca="1" t="array" ref="A88">IF((INDIRECT("'"&amp;INDIRECT("Main!B9")&amp;"'!A102"))=0,"",(INDIRECT("'"&amp;INDIRECT("Main!B9")&amp;"'!A102")))</f>
        <v/>
      </c>
      <c r="B88" s="34" t="str" cm="1">
        <f ca="1" t="array" ref="B88">IF((INDIRECT("'"&amp;INDIRECT("Main!B9")&amp;"'!B102"))=0,"",(INDIRECT("'"&amp;INDIRECT("Main!B9")&amp;"'!B102")))</f>
        <v/>
      </c>
      <c r="C88" s="35">
        <v>0</v>
      </c>
      <c r="D88" s="15"/>
      <c r="E88" s="15"/>
      <c r="F88" s="15"/>
      <c r="G88" s="15"/>
      <c r="H88" s="15"/>
      <c r="I88" s="45"/>
    </row>
    <row r="89" s="38" customFormat="1" ht="35" customHeight="1" spans="1:9">
      <c r="A89" s="34" t="str" cm="1">
        <f ca="1" t="array" ref="A89">IF((INDIRECT("'"&amp;INDIRECT("Main!B9")&amp;"'!A103"))=0,"",(INDIRECT("'"&amp;INDIRECT("Main!B9")&amp;"'!A103")))</f>
        <v/>
      </c>
      <c r="B89" s="34" t="str" cm="1">
        <f ca="1" t="array" ref="B89">IF((INDIRECT("'"&amp;INDIRECT("Main!B9")&amp;"'!B103"))=0,"",(INDIRECT("'"&amp;INDIRECT("Main!B9")&amp;"'!B103")))</f>
        <v/>
      </c>
      <c r="C89" s="35">
        <v>0</v>
      </c>
      <c r="D89" s="15"/>
      <c r="E89" s="15"/>
      <c r="F89" s="15"/>
      <c r="G89" s="15"/>
      <c r="H89" s="15"/>
      <c r="I89" s="45"/>
    </row>
    <row r="90" s="38" customFormat="1" ht="35" customHeight="1" spans="1:9">
      <c r="A90" s="34" t="str" cm="1">
        <f ca="1" t="array" ref="A90">IF((INDIRECT("'"&amp;INDIRECT("Main!B9")&amp;"'!A104"))=0,"",(INDIRECT("'"&amp;INDIRECT("Main!B9")&amp;"'!A104")))</f>
        <v/>
      </c>
      <c r="B90" s="34" t="str" cm="1">
        <f ca="1" t="array" ref="B90">IF((INDIRECT("'"&amp;INDIRECT("Main!B9")&amp;"'!B104"))=0,"",(INDIRECT("'"&amp;INDIRECT("Main!B9")&amp;"'!B104")))</f>
        <v/>
      </c>
      <c r="C90" s="35">
        <v>0</v>
      </c>
      <c r="D90" s="15"/>
      <c r="E90" s="62"/>
      <c r="F90" s="15"/>
      <c r="G90" s="15"/>
      <c r="H90" s="15"/>
      <c r="I90" s="45"/>
    </row>
    <row r="91" s="38" customFormat="1" ht="35" customHeight="1" spans="1:9">
      <c r="A91" s="34" t="str" cm="1">
        <f ca="1" t="array" ref="A91">IF((INDIRECT("'"&amp;INDIRECT("Main!B9")&amp;"'!A105"))=0,"",(INDIRECT("'"&amp;INDIRECT("Main!B9")&amp;"'!A105")))</f>
        <v/>
      </c>
      <c r="B91" s="34" t="str" cm="1">
        <f ca="1" t="array" ref="B91">IF((INDIRECT("'"&amp;INDIRECT("Main!B9")&amp;"'!B105"))=0,"",(INDIRECT("'"&amp;INDIRECT("Main!B9")&amp;"'!B105")))</f>
        <v/>
      </c>
      <c r="C91" s="35">
        <v>0</v>
      </c>
      <c r="D91" s="15"/>
      <c r="E91" s="15"/>
      <c r="F91" s="15"/>
      <c r="G91" s="15"/>
      <c r="H91" s="15"/>
      <c r="I91" s="45"/>
    </row>
    <row r="92" s="38" customFormat="1" ht="35" customHeight="1" spans="1:9">
      <c r="A92" s="34" t="str" cm="1">
        <f ca="1" t="array" ref="A92">IF((INDIRECT("'"&amp;INDIRECT("Main!B9")&amp;"'!A106"))=0,"",(INDIRECT("'"&amp;INDIRECT("Main!B9")&amp;"'!A106")))</f>
        <v/>
      </c>
      <c r="B92" s="34" t="str" cm="1">
        <f ca="1" t="array" ref="B92">IF((INDIRECT("'"&amp;INDIRECT("Main!B9")&amp;"'!B106"))=0,"",(INDIRECT("'"&amp;INDIRECT("Main!B9")&amp;"'!B106")))</f>
        <v/>
      </c>
      <c r="C92" s="35">
        <v>0</v>
      </c>
      <c r="D92" s="15"/>
      <c r="E92" s="15"/>
      <c r="F92" s="15"/>
      <c r="G92" s="15"/>
      <c r="H92" s="15"/>
      <c r="I92" s="45"/>
    </row>
    <row r="93" s="38" customFormat="1" ht="35" customHeight="1" spans="1:9">
      <c r="A93" s="34" t="str" cm="1">
        <f ca="1" t="array" ref="A93">IF((INDIRECT("'"&amp;INDIRECT("Main!B9")&amp;"'!A107"))=0,"",(INDIRECT("'"&amp;INDIRECT("Main!B9")&amp;"'!A107")))</f>
        <v/>
      </c>
      <c r="B93" s="34" t="str" cm="1">
        <f ca="1" t="array" ref="B93">IF((INDIRECT("'"&amp;INDIRECT("Main!B9")&amp;"'!B107"))=0,"",(INDIRECT("'"&amp;INDIRECT("Main!B9")&amp;"'!B107")))</f>
        <v/>
      </c>
      <c r="C93" s="35">
        <v>0</v>
      </c>
      <c r="D93" s="15"/>
      <c r="E93" s="15"/>
      <c r="F93" s="15"/>
      <c r="G93" s="15"/>
      <c r="H93" s="15"/>
      <c r="I93" s="45"/>
    </row>
    <row r="94" s="38" customFormat="1" ht="35" customHeight="1" spans="1:9">
      <c r="A94" s="34" t="str" cm="1">
        <f ca="1" t="array" ref="A94">IF((INDIRECT("'"&amp;INDIRECT("Main!B9")&amp;"'!A108"))=0,"",(INDIRECT("'"&amp;INDIRECT("Main!B9")&amp;"'!A108")))</f>
        <v/>
      </c>
      <c r="B94" s="34" t="str" cm="1">
        <f ca="1" t="array" ref="B94">IF((INDIRECT("'"&amp;INDIRECT("Main!B9")&amp;"'!B108"))=0,"",(INDIRECT("'"&amp;INDIRECT("Main!B9")&amp;"'!B108")))</f>
        <v/>
      </c>
      <c r="C94" s="35">
        <v>0</v>
      </c>
      <c r="D94" s="15"/>
      <c r="E94" s="15"/>
      <c r="F94" s="15"/>
      <c r="G94" s="15"/>
      <c r="H94" s="15"/>
      <c r="I94" s="45"/>
    </row>
    <row r="95" s="38" customFormat="1" ht="35" customHeight="1" spans="1:9">
      <c r="A95" s="47"/>
      <c r="B95" s="37" t="s">
        <v>48</v>
      </c>
      <c r="C95" s="35">
        <f>SUM(C87:C94)</f>
        <v>0</v>
      </c>
      <c r="D95" s="15"/>
      <c r="E95" s="15"/>
      <c r="F95" s="15"/>
      <c r="G95" s="15"/>
      <c r="H95" s="15"/>
      <c r="I95" s="45"/>
    </row>
    <row r="96" s="38" customFormat="1" ht="35" customHeight="1" spans="1:9">
      <c r="A96" s="46"/>
      <c r="B96" s="37" t="s">
        <v>53</v>
      </c>
      <c r="C96" s="35">
        <f>C55+C66+C75+C85+C95</f>
        <v>0</v>
      </c>
      <c r="D96" s="15"/>
      <c r="E96" s="15"/>
      <c r="F96" s="15"/>
      <c r="G96" s="15"/>
      <c r="H96" s="15"/>
      <c r="I96" s="45"/>
    </row>
    <row r="97" s="38" customFormat="1" ht="35" customHeight="1" spans="1:9">
      <c r="A97" s="83" t="s">
        <v>54</v>
      </c>
      <c r="B97" s="84"/>
      <c r="C97" s="85"/>
      <c r="D97" s="15"/>
      <c r="E97" s="15"/>
      <c r="F97" s="15"/>
      <c r="G97" s="15"/>
      <c r="H97" s="15"/>
      <c r="I97" s="45"/>
    </row>
    <row r="98" s="38" customFormat="1" ht="35" customHeight="1" spans="1:9">
      <c r="A98" s="34" t="str" cm="1">
        <f ca="1" t="array" ref="A98">IF((INDIRECT("'"&amp;INDIRECT("Main!B9")&amp;"'!A112"))=0,"",(INDIRECT("'"&amp;INDIRECT("Main!B9")&amp;"'!A112")))</f>
        <v/>
      </c>
      <c r="B98" s="34" t="str" cm="1">
        <f ca="1" t="array" ref="B98">IF((INDIRECT("'"&amp;INDIRECT("Main!B9")&amp;"'!B112"))=0,"",(INDIRECT("'"&amp;INDIRECT("Main!B9")&amp;"'!B112")))</f>
        <v/>
      </c>
      <c r="C98" s="86" cm="1">
        <f ca="1" t="array" ref="C98">(((INDIRECT("'"&amp;INDIRECT("Main!B9")&amp;"'!E131")+INDIRECT("'"&amp;INDIRECT("Main!B9")&amp;"'!E158")+INDIRECT("'"&amp;INDIRECT("Main!B9")&amp;"'!E185")))+SUM(E118+E145+E172))-INDIRECT("'"&amp;INDIRECT("Main!B9")&amp;"'!C112")</f>
        <v>0</v>
      </c>
      <c r="D98" s="15"/>
      <c r="E98" s="15"/>
      <c r="F98" s="15"/>
      <c r="G98" s="15"/>
      <c r="H98" s="15"/>
      <c r="I98" s="45"/>
    </row>
    <row r="99" s="38" customFormat="1" ht="35" customHeight="1" spans="1:9">
      <c r="A99" s="34" t="str" cm="1">
        <f ca="1" t="array" ref="A99">IF((INDIRECT("'"&amp;INDIRECT("Main!B9")&amp;"'!A113"))=0,"",(INDIRECT("'"&amp;INDIRECT("Main!B9")&amp;"'!A113")))</f>
        <v/>
      </c>
      <c r="B99" s="34" t="str" cm="1">
        <f ca="1" t="array" ref="B99">IF((INDIRECT("'"&amp;INDIRECT("Main!B9")&amp;"'!B113"))=0,"",(INDIRECT("'"&amp;INDIRECT("Main!B9")&amp;"'!B113")))</f>
        <v/>
      </c>
      <c r="C99" s="86" cm="1">
        <f ca="1" t="array" ref="C99">(((INDIRECT("'"&amp;INDIRECT("Main!B9")&amp;"'!E132")+INDIRECT("'"&amp;INDIRECT("Main!B9")&amp;"'!E159")+INDIRECT("'"&amp;INDIRECT("Main!B9")&amp;"'!E186")))+SUM(E119+E146+E173))-INDIRECT("'"&amp;INDIRECT("Main!B9")&amp;"'!C113")</f>
        <v>0</v>
      </c>
      <c r="D99" s="15"/>
      <c r="E99" s="15"/>
      <c r="F99" s="15"/>
      <c r="G99" s="15"/>
      <c r="H99" s="15"/>
      <c r="I99" s="45"/>
    </row>
    <row r="100" s="38" customFormat="1" ht="35" customHeight="1" spans="1:9">
      <c r="A100" s="34" t="str" cm="1">
        <f ca="1" t="array" ref="A100">IF((INDIRECT("'"&amp;INDIRECT("Main!B9")&amp;"'!A114"))=0,"",(INDIRECT("'"&amp;INDIRECT("Main!B9")&amp;"'!A114")))</f>
        <v/>
      </c>
      <c r="B100" s="34" t="str" cm="1">
        <f ca="1" t="array" ref="B100">IF((INDIRECT("'"&amp;INDIRECT("Main!B9")&amp;"'!B114"))=0,"",(INDIRECT("'"&amp;INDIRECT("Main!B9")&amp;"'!B114")))</f>
        <v/>
      </c>
      <c r="C100" s="86" cm="1">
        <f ca="1" t="array" ref="C100">(((INDIRECT("'"&amp;INDIRECT("Main!B9")&amp;"'!E133")+INDIRECT("'"&amp;INDIRECT("Main!B9")&amp;"'!E160")+INDIRECT("'"&amp;INDIRECT("Main!B9")&amp;"'!E187")))+SUM(E120+E147+E174))-INDIRECT("'"&amp;INDIRECT("Main!B9")&amp;"'!C114")</f>
        <v>0</v>
      </c>
      <c r="D100" s="15"/>
      <c r="E100" s="15"/>
      <c r="F100" s="15"/>
      <c r="G100" s="15"/>
      <c r="H100" s="15"/>
      <c r="I100" s="45"/>
    </row>
    <row r="101" s="38" customFormat="1" ht="35" customHeight="1" spans="1:9">
      <c r="A101" s="34" t="str" cm="1">
        <f ca="1" t="array" ref="A101">IF((INDIRECT("'"&amp;INDIRECT("Main!B9")&amp;"'!A115"))=0,"",(INDIRECT("'"&amp;INDIRECT("Main!B9")&amp;"'!A115")))</f>
        <v/>
      </c>
      <c r="B101" s="34" t="str" cm="1">
        <f ca="1" t="array" ref="B101">IF((INDIRECT("'"&amp;INDIRECT("Main!B9")&amp;"'!B115"))=0,"",(INDIRECT("'"&amp;INDIRECT("Main!B9")&amp;"'!B115")))</f>
        <v/>
      </c>
      <c r="C101" s="86" cm="1">
        <f ca="1" t="array" ref="C101">(((INDIRECT("'"&amp;INDIRECT("Main!B9")&amp;"'!E134")+INDIRECT("'"&amp;INDIRECT("Main!B9")&amp;"'!E161")+INDIRECT("'"&amp;INDIRECT("Main!B9")&amp;"'!E188")))+SUM(E121+E148+E175))-INDIRECT("'"&amp;INDIRECT("Main!B9")&amp;"'!C115")</f>
        <v>0</v>
      </c>
      <c r="D101" s="15"/>
      <c r="E101" s="15"/>
      <c r="F101" s="15"/>
      <c r="G101" s="15"/>
      <c r="H101" s="15"/>
      <c r="I101" s="45"/>
    </row>
    <row r="102" s="38" customFormat="1" ht="35" customHeight="1" spans="1:9">
      <c r="A102" s="34" t="str" cm="1">
        <f ca="1" t="array" ref="A102">IF((INDIRECT("'"&amp;INDIRECT("Main!B9")&amp;"'!A116"))=0,"",(INDIRECT("'"&amp;INDIRECT("Main!B9")&amp;"'!A116")))</f>
        <v/>
      </c>
      <c r="B102" s="34" t="str" cm="1">
        <f ca="1" t="array" ref="B102">IF((INDIRECT("'"&amp;INDIRECT("Main!B9")&amp;"'!B116"))=0,"",(INDIRECT("'"&amp;INDIRECT("Main!B9")&amp;"'!B116")))</f>
        <v/>
      </c>
      <c r="C102" s="86" cm="1">
        <f ca="1" t="array" ref="C102">(((INDIRECT("'"&amp;INDIRECT("Main!B9")&amp;"'!E135")+INDIRECT("'"&amp;INDIRECT("Main!B9")&amp;"'!E162")+INDIRECT("'"&amp;INDIRECT("Main!B9")&amp;"'!E189")))+SUM(E122+E149+E176))-INDIRECT("'"&amp;INDIRECT("Main!B9")&amp;"'!C116")</f>
        <v>0</v>
      </c>
      <c r="D102" s="15"/>
      <c r="E102" s="62"/>
      <c r="F102" s="15"/>
      <c r="G102" s="15"/>
      <c r="H102" s="15"/>
      <c r="I102" s="45"/>
    </row>
    <row r="103" s="38" customFormat="1" ht="35" customHeight="1" spans="1:9">
      <c r="A103" s="34" t="str" cm="1">
        <f ca="1" t="array" ref="A103">IF((INDIRECT("'"&amp;INDIRECT("Main!B9")&amp;"'!A117"))=0,"",(INDIRECT("'"&amp;INDIRECT("Main!B9")&amp;"'!A117")))</f>
        <v/>
      </c>
      <c r="B103" s="34" t="str" cm="1">
        <f ca="1" t="array" ref="B103">IF((INDIRECT("'"&amp;INDIRECT("Main!B9")&amp;"'!B117"))=0,"",(INDIRECT("'"&amp;INDIRECT("Main!B9")&amp;"'!B117")))</f>
        <v/>
      </c>
      <c r="C103" s="86" cm="1">
        <f ca="1" t="array" ref="C103">(((INDIRECT("'"&amp;INDIRECT("Main!B9")&amp;"'!E136")+INDIRECT("'"&amp;INDIRECT("Main!B9")&amp;"'!E163")+INDIRECT("'"&amp;INDIRECT("Main!B9")&amp;"'!E190")))+SUM(EE123+E150+E177)-INDIRECT("'"&amp;INDIRECT("Main!B9")&amp;"'!C117"))</f>
        <v>0</v>
      </c>
      <c r="D103" s="15"/>
      <c r="E103" s="15"/>
      <c r="F103" s="15"/>
      <c r="G103" s="15"/>
      <c r="H103" s="15"/>
      <c r="I103" s="45"/>
    </row>
    <row r="104" s="38" customFormat="1" ht="35" customHeight="1" spans="1:9">
      <c r="A104" s="34" t="str" cm="1">
        <f ca="1" t="array" ref="A104">IF((INDIRECT("'"&amp;INDIRECT("Main!B9")&amp;"'!A118"))=0,"",(INDIRECT("'"&amp;INDIRECT("Main!B9")&amp;"'!A118")))</f>
        <v/>
      </c>
      <c r="B104" s="34" t="str" cm="1">
        <f ca="1" t="array" ref="B104">IF((INDIRECT("'"&amp;INDIRECT("Main!B9")&amp;"'!B118"))=0,"",(INDIRECT("'"&amp;INDIRECT("Main!B9")&amp;"'!B118")))</f>
        <v/>
      </c>
      <c r="C104" s="86" cm="1">
        <f ca="1" t="array" ref="C104">(((INDIRECT("'"&amp;INDIRECT("Main!B9")&amp;"'!E137")+INDIRECT("'"&amp;INDIRECT("Main!B9")&amp;"'!E164")+INDIRECT("'"&amp;INDIRECT("Main!B9")&amp;"'!E191")))+SUM(E124+E151+E178))-INDIRECT("'"&amp;INDIRECT("Main!B9")&amp;"'!C118")</f>
        <v>0</v>
      </c>
      <c r="D104" s="15"/>
      <c r="E104" s="15"/>
      <c r="F104" s="15"/>
      <c r="G104" s="15"/>
      <c r="H104" s="15"/>
      <c r="I104" s="45"/>
    </row>
    <row r="105" s="38" customFormat="1" ht="35" customHeight="1" spans="1:9">
      <c r="A105" s="34" t="str" cm="1">
        <f ca="1" t="array" ref="A105">IF((INDIRECT("'"&amp;INDIRECT("Main!B9")&amp;"'!A119"))=0,"",(INDIRECT("'"&amp;INDIRECT("Main!B9")&amp;"'!A119")))</f>
        <v/>
      </c>
      <c r="B105" s="34" t="str" cm="1">
        <f ca="1" t="array" ref="B105">IF((INDIRECT("'"&amp;INDIRECT("Main!B9")&amp;"'!B119"))=0,"",(INDIRECT("'"&amp;INDIRECT("Main!B9")&amp;"'!B119")))</f>
        <v/>
      </c>
      <c r="C105" s="86" cm="1">
        <f ca="1" t="array" ref="C105">(((INDIRECT("'"&amp;INDIRECT("Main!B9")&amp;"'!E138")+INDIRECT("'"&amp;INDIRECT("Main!B9")&amp;"'!E165")+INDIRECT("'"&amp;INDIRECT("Main!B9")&amp;"'!E192")))+SUM(E125+E152+E179)-INDIRECT("'"&amp;INDIRECT("Main!B9")&amp;"'!C119"))</f>
        <v>0</v>
      </c>
      <c r="D105" s="15"/>
      <c r="E105" s="15"/>
      <c r="F105" s="15"/>
      <c r="G105" s="15"/>
      <c r="H105" s="15"/>
      <c r="I105" s="45"/>
    </row>
    <row r="106" s="38" customFormat="1" ht="35" customHeight="1" spans="1:9">
      <c r="A106" s="34" t="str" cm="1">
        <f ca="1" t="array" ref="A106">IF((INDIRECT("'"&amp;INDIRECT("Main!B9")&amp;"'!A120"))=0,"",(INDIRECT("'"&amp;INDIRECT("Main!B9")&amp;"'!A120")))</f>
        <v/>
      </c>
      <c r="B106" s="34" t="str" cm="1">
        <f ca="1" t="array" ref="B106">IF((INDIRECT("'"&amp;INDIRECT("Main!B9")&amp;"'!B120"))=0,"",(INDIRECT("'"&amp;INDIRECT("Main!B9")&amp;"'!B120")))</f>
        <v/>
      </c>
      <c r="C106" s="86" cm="1">
        <f ca="1" t="array" ref="C106">(((INDIRECT("'"&amp;INDIRECT("Main!B9")&amp;"'!E139")+INDIRECT("'"&amp;INDIRECT("Main!B9")&amp;"'!E166")+INDIRECT("'"&amp;INDIRECT("Main!B9")&amp;"'!E193")))+SUM(E126+E153+E180))-INDIRECT("'"&amp;INDIRECT("Main!B9")&amp;"'!C120")</f>
        <v>0</v>
      </c>
      <c r="D106" s="15"/>
      <c r="E106" s="15"/>
      <c r="F106" s="15"/>
      <c r="G106" s="15"/>
      <c r="H106" s="15"/>
      <c r="I106" s="45"/>
    </row>
    <row r="107" s="38" customFormat="1" ht="35" customHeight="1" spans="1:9">
      <c r="A107" s="34" t="str" cm="1">
        <f ca="1" t="array" ref="A107">IF((INDIRECT("'"&amp;INDIRECT("Main!B9")&amp;"'!A121"))=0,"",(INDIRECT("'"&amp;INDIRECT("Main!B9")&amp;"'!A121")))</f>
        <v/>
      </c>
      <c r="B107" s="34" t="str" cm="1">
        <f ca="1" t="array" ref="B107">IF((INDIRECT("'"&amp;INDIRECT("Main!B9")&amp;"'!B121"))=0,"",(INDIRECT("'"&amp;INDIRECT("Main!B9")&amp;"'!B121")))</f>
        <v/>
      </c>
      <c r="C107" s="86" cm="1">
        <f ca="1" t="array" ref="C107">(((INDIRECT("'"&amp;INDIRECT("Main!B9")&amp;"'!E140")+INDIRECT("'"&amp;INDIRECT("Main!B9")&amp;"'!E167")+INDIRECT("'"&amp;INDIRECT("Main!B9")&amp;"'!E194")))+SUM(E127+E154+E181))-INDIRECT("'"&amp;INDIRECT("Main!B9")&amp;"'!C121")</f>
        <v>0</v>
      </c>
      <c r="D107" s="15"/>
      <c r="E107" s="15"/>
      <c r="F107" s="15"/>
      <c r="G107" s="15"/>
      <c r="H107" s="15"/>
      <c r="I107" s="45"/>
    </row>
    <row r="108" s="38" customFormat="1" ht="35" customHeight="1" spans="1:9">
      <c r="A108" s="46"/>
      <c r="B108" s="37" t="s">
        <v>55</v>
      </c>
      <c r="C108" s="86">
        <f ca="1">SUM(C98:C107)</f>
        <v>0</v>
      </c>
      <c r="D108" s="15"/>
      <c r="E108" s="15"/>
      <c r="F108" s="15"/>
      <c r="G108" s="15"/>
      <c r="H108" s="15"/>
      <c r="I108" s="45"/>
    </row>
    <row r="109" s="38" customFormat="1" ht="35" customHeight="1" spans="1:9">
      <c r="A109" s="46"/>
      <c r="B109" s="37" t="s">
        <v>56</v>
      </c>
      <c r="C109" s="86">
        <f ca="1">C108-C96</f>
        <v>0</v>
      </c>
      <c r="D109" s="15"/>
      <c r="E109" s="15"/>
      <c r="F109" s="15"/>
      <c r="G109" s="15"/>
      <c r="H109" s="15"/>
      <c r="I109" s="45"/>
    </row>
    <row r="110" s="38" customFormat="1" ht="35" customHeight="1" spans="1:9">
      <c r="A110" s="15"/>
      <c r="B110" s="15"/>
      <c r="C110" s="15"/>
      <c r="D110" s="15"/>
      <c r="E110" s="15"/>
      <c r="F110" s="15"/>
      <c r="G110" s="15"/>
      <c r="H110" s="15"/>
      <c r="I110" s="45"/>
    </row>
    <row r="111" s="38" customFormat="1" ht="35" customHeight="1" spans="1:9">
      <c r="A111" s="15"/>
      <c r="B111" s="15"/>
      <c r="C111" s="15"/>
      <c r="D111" s="15"/>
      <c r="E111" s="15"/>
      <c r="F111" s="15"/>
      <c r="G111" s="15"/>
      <c r="H111" s="15"/>
      <c r="I111" s="45"/>
    </row>
    <row r="112" s="38" customFormat="1" ht="35" customHeight="1" spans="1:9">
      <c r="A112" s="15"/>
      <c r="B112" s="15"/>
      <c r="C112" s="15"/>
      <c r="D112" s="15"/>
      <c r="E112" s="15"/>
      <c r="F112" s="15"/>
      <c r="G112" s="15"/>
      <c r="H112" s="15"/>
      <c r="I112" s="45"/>
    </row>
    <row r="113" s="38" customFormat="1" ht="35" customHeight="1" spans="1:9">
      <c r="A113" s="15"/>
      <c r="B113" s="15"/>
      <c r="C113" s="15"/>
      <c r="D113" s="15"/>
      <c r="E113" s="15"/>
      <c r="F113" s="15"/>
      <c r="G113" s="15"/>
      <c r="H113" s="15"/>
      <c r="I113" s="45"/>
    </row>
    <row r="114" s="38" customFormat="1" ht="35" customHeight="1" spans="1:9">
      <c r="A114" s="48" t="str">
        <f>"Debts Or Credits For the Comming "&amp;IF(Main!B2,TEXT(EDATE(Main!B3,3),"mmmm dd yyyy"),TEXT(Main!B3+((Main!B5-Main!B3)*3+3),"mmmm dd yyyy"))&amp;" to "&amp;IF(Main!B2,TEXT(EDATE(Main!B3,4)-1,"mmmm dd yyyy"),TEXT(Main!B3+((Main!B5-Main!B3)*4+3),"mmmm dd yyyy"))</f>
        <v>Debts Or Credits For the Comming August 01 2025 to August 31 2025</v>
      </c>
      <c r="B114" s="49"/>
      <c r="C114" s="49"/>
      <c r="D114" s="49"/>
      <c r="E114" s="50"/>
      <c r="F114" s="15"/>
      <c r="G114" s="15"/>
      <c r="H114" s="15"/>
      <c r="I114" s="45"/>
    </row>
    <row r="115" s="38" customFormat="1" ht="35" customHeight="1" spans="1:9">
      <c r="A115" s="48" t="s">
        <v>57</v>
      </c>
      <c r="B115" s="50"/>
      <c r="C115" s="48" t="s">
        <v>44</v>
      </c>
      <c r="D115" s="50"/>
      <c r="E115" s="64" t="s">
        <v>45</v>
      </c>
      <c r="F115" s="15"/>
      <c r="G115" s="15"/>
      <c r="H115" s="15"/>
      <c r="I115" s="45"/>
    </row>
    <row r="116" s="38" customFormat="1" ht="35" customHeight="1" spans="1:9">
      <c r="A116" s="51" t="str">
        <f>"Balance Brought Forward From "&amp;IF(Main!B2,TEXT(EDATE(Main!B3,3)-1,"mmmm yyyy"),TEXT(Main!B3+((Main!B5-Main!B3)*3+3),"mmmm yyyy"))</f>
        <v>Balance Brought Forward From July 2025</v>
      </c>
      <c r="B116" s="52"/>
      <c r="C116" s="53"/>
      <c r="D116" s="53"/>
      <c r="E116" s="79" cm="1">
        <f ca="1" t="array" ref="E116">INDIRECT("'"&amp;INDIRECT("Main!B9")&amp;"'!E203")</f>
        <v>0</v>
      </c>
      <c r="F116" s="15"/>
      <c r="G116" s="15"/>
      <c r="H116" s="62"/>
      <c r="I116" s="45"/>
    </row>
    <row r="117" s="38" customFormat="1" ht="35" customHeight="1" spans="1:9">
      <c r="A117" s="54" t="s">
        <v>52</v>
      </c>
      <c r="B117" s="55"/>
      <c r="C117" s="56" t="s">
        <v>58</v>
      </c>
      <c r="D117" s="57"/>
      <c r="E117" s="66"/>
      <c r="F117" s="15"/>
      <c r="G117" s="15"/>
      <c r="H117" s="15"/>
      <c r="I117" s="45"/>
    </row>
    <row r="118" s="38" customFormat="1" ht="35" customHeight="1" spans="1:9">
      <c r="A118" s="58"/>
      <c r="B118" s="59"/>
      <c r="C118" s="60"/>
      <c r="D118" s="61"/>
      <c r="E118" s="35">
        <v>0</v>
      </c>
      <c r="F118" s="15"/>
      <c r="G118" s="15"/>
      <c r="H118" s="15"/>
      <c r="I118" s="45"/>
    </row>
    <row r="119" s="38" customFormat="1" ht="35" customHeight="1" spans="1:9">
      <c r="A119" s="58"/>
      <c r="B119" s="59"/>
      <c r="C119" s="60"/>
      <c r="D119" s="61"/>
      <c r="E119" s="35">
        <v>0</v>
      </c>
      <c r="F119" s="15"/>
      <c r="G119" s="15"/>
      <c r="H119" s="15"/>
      <c r="I119" s="45"/>
    </row>
    <row r="120" s="38" customFormat="1" ht="35" customHeight="1" spans="1:9">
      <c r="A120" s="58"/>
      <c r="B120" s="59"/>
      <c r="C120" s="60"/>
      <c r="D120" s="61"/>
      <c r="E120" s="35">
        <v>0</v>
      </c>
      <c r="F120" s="15"/>
      <c r="G120" s="15"/>
      <c r="H120" s="15"/>
      <c r="I120" s="45"/>
    </row>
    <row r="121" s="38" customFormat="1" ht="35" customHeight="1" spans="1:9">
      <c r="A121" s="58"/>
      <c r="B121" s="59"/>
      <c r="C121" s="60"/>
      <c r="D121" s="61"/>
      <c r="E121" s="35">
        <v>0</v>
      </c>
      <c r="F121" s="15"/>
      <c r="G121" s="15"/>
      <c r="H121" s="15"/>
      <c r="I121" s="45"/>
    </row>
    <row r="122" s="38" customFormat="1" ht="35" customHeight="1" spans="1:9">
      <c r="A122" s="58"/>
      <c r="B122" s="59"/>
      <c r="C122" s="60"/>
      <c r="D122" s="61"/>
      <c r="E122" s="35">
        <v>0</v>
      </c>
      <c r="F122" s="15"/>
      <c r="G122" s="15"/>
      <c r="H122" s="15"/>
      <c r="I122" s="45"/>
    </row>
    <row r="123" s="38" customFormat="1" ht="35" customHeight="1" spans="1:9">
      <c r="A123" s="58"/>
      <c r="B123" s="59"/>
      <c r="C123" s="60"/>
      <c r="D123" s="61"/>
      <c r="E123" s="35">
        <v>0</v>
      </c>
      <c r="F123" s="15"/>
      <c r="G123" s="15"/>
      <c r="H123" s="15"/>
      <c r="I123" s="45"/>
    </row>
    <row r="124" s="38" customFormat="1" ht="35" customHeight="1" spans="1:9">
      <c r="A124" s="58"/>
      <c r="B124" s="59"/>
      <c r="C124" s="60"/>
      <c r="D124" s="61"/>
      <c r="E124" s="35">
        <v>0</v>
      </c>
      <c r="F124" s="15"/>
      <c r="G124" s="15"/>
      <c r="H124" s="15"/>
      <c r="I124" s="45"/>
    </row>
    <row r="125" s="38" customFormat="1" ht="35" customHeight="1" spans="1:9">
      <c r="A125" s="58"/>
      <c r="B125" s="59"/>
      <c r="C125" s="60"/>
      <c r="D125" s="61"/>
      <c r="E125" s="35">
        <v>0</v>
      </c>
      <c r="F125" s="15"/>
      <c r="G125" s="15"/>
      <c r="H125" s="15"/>
      <c r="I125" s="45"/>
    </row>
    <row r="126" s="38" customFormat="1" ht="35" customHeight="1" spans="1:9">
      <c r="A126" s="58"/>
      <c r="B126" s="59"/>
      <c r="C126" s="60"/>
      <c r="D126" s="61"/>
      <c r="E126" s="35">
        <v>0</v>
      </c>
      <c r="F126" s="15"/>
      <c r="G126" s="15"/>
      <c r="H126" s="15"/>
      <c r="I126" s="45"/>
    </row>
    <row r="127" s="38" customFormat="1" ht="35" customHeight="1" spans="1:9">
      <c r="A127" s="58"/>
      <c r="B127" s="59"/>
      <c r="C127" s="60"/>
      <c r="D127" s="61"/>
      <c r="E127" s="35">
        <v>0</v>
      </c>
      <c r="F127" s="15"/>
      <c r="G127" s="15"/>
      <c r="H127" s="15"/>
      <c r="I127" s="45"/>
    </row>
    <row r="128" s="38" customFormat="1" ht="35" customHeight="1" spans="1:9">
      <c r="A128" s="58"/>
      <c r="B128" s="59"/>
      <c r="C128" s="56" t="s">
        <v>59</v>
      </c>
      <c r="D128" s="57"/>
      <c r="E128" s="66"/>
      <c r="F128" s="15"/>
      <c r="G128" s="15"/>
      <c r="H128" s="15"/>
      <c r="I128" s="45"/>
    </row>
    <row r="129" s="38" customFormat="1" ht="35" customHeight="1" spans="1:9">
      <c r="A129" s="58"/>
      <c r="B129" s="59"/>
      <c r="C129" s="60"/>
      <c r="D129" s="61"/>
      <c r="E129" s="78">
        <v>0</v>
      </c>
      <c r="F129" s="15"/>
      <c r="G129" s="15"/>
      <c r="H129" s="15"/>
      <c r="I129" s="45"/>
    </row>
    <row r="130" s="38" customFormat="1" ht="35" customHeight="1" spans="1:9">
      <c r="A130" s="58"/>
      <c r="B130" s="59"/>
      <c r="C130" s="60"/>
      <c r="D130" s="61"/>
      <c r="E130" s="78">
        <v>0</v>
      </c>
      <c r="F130" s="15"/>
      <c r="G130" s="15"/>
      <c r="H130" s="15"/>
      <c r="I130" s="45"/>
    </row>
    <row r="131" s="38" customFormat="1" ht="35" customHeight="1" spans="1:9">
      <c r="A131" s="58"/>
      <c r="B131" s="59"/>
      <c r="C131" s="60"/>
      <c r="D131" s="61"/>
      <c r="E131" s="78">
        <v>0</v>
      </c>
      <c r="F131" s="15"/>
      <c r="G131" s="15"/>
      <c r="H131" s="15"/>
      <c r="I131" s="45"/>
    </row>
    <row r="132" s="38" customFormat="1" ht="35" customHeight="1" spans="1:9">
      <c r="A132" s="58"/>
      <c r="B132" s="59"/>
      <c r="C132" s="60"/>
      <c r="D132" s="61"/>
      <c r="E132" s="78">
        <v>0</v>
      </c>
      <c r="F132" s="15"/>
      <c r="G132" s="15"/>
      <c r="H132" s="15"/>
      <c r="I132" s="45"/>
    </row>
    <row r="133" s="38" customFormat="1" ht="35" customHeight="1" spans="1:9">
      <c r="A133" s="58"/>
      <c r="B133" s="59"/>
      <c r="C133" s="60"/>
      <c r="D133" s="61"/>
      <c r="E133" s="78">
        <v>0</v>
      </c>
      <c r="F133" s="15"/>
      <c r="G133" s="15"/>
      <c r="H133" s="15"/>
      <c r="I133" s="45"/>
    </row>
    <row r="134" s="38" customFormat="1" ht="35" customHeight="1" spans="1:9">
      <c r="A134" s="67"/>
      <c r="B134" s="68"/>
      <c r="C134" s="60"/>
      <c r="D134" s="61"/>
      <c r="E134" s="78">
        <v>0</v>
      </c>
      <c r="F134" s="15"/>
      <c r="G134" s="15"/>
      <c r="H134" s="15"/>
      <c r="I134" s="45"/>
    </row>
    <row r="135" s="38" customFormat="1" ht="35" customHeight="1" spans="1:9">
      <c r="A135" s="51" t="s">
        <v>60</v>
      </c>
      <c r="B135" s="69"/>
      <c r="C135" s="70"/>
      <c r="D135" s="71"/>
      <c r="E135" s="78">
        <f>C96</f>
        <v>0</v>
      </c>
      <c r="F135" s="15"/>
      <c r="G135" s="15"/>
      <c r="H135" s="15"/>
      <c r="I135" s="45"/>
    </row>
    <row r="136" s="38" customFormat="1" ht="35" customHeight="1" spans="1:9">
      <c r="A136" s="72"/>
      <c r="B136" s="73"/>
      <c r="C136" s="37" t="s">
        <v>61</v>
      </c>
      <c r="D136" s="37"/>
      <c r="E136" s="79">
        <f ca="1">(F16+E116)-(SUM(E118:E127)+SUM(E129:E135))</f>
        <v>0</v>
      </c>
      <c r="F136" s="15"/>
      <c r="G136" s="15"/>
      <c r="H136" s="15"/>
      <c r="I136" s="45"/>
    </row>
    <row r="137" s="38" customFormat="1" ht="35" customHeight="1" spans="1:9">
      <c r="A137" s="15"/>
      <c r="B137" s="15"/>
      <c r="C137" s="15"/>
      <c r="D137" s="15"/>
      <c r="E137" s="15"/>
      <c r="F137" s="15"/>
      <c r="G137" s="15"/>
      <c r="H137" s="15"/>
      <c r="I137" s="45"/>
    </row>
    <row r="138" s="38" customFormat="1" ht="35" customHeight="1" spans="1:9">
      <c r="A138" s="15"/>
      <c r="B138" s="15"/>
      <c r="C138" s="15"/>
      <c r="D138" s="15"/>
      <c r="E138" s="15"/>
      <c r="F138" s="15"/>
      <c r="G138" s="15"/>
      <c r="H138" s="15"/>
      <c r="I138" s="45"/>
    </row>
    <row r="139" s="38" customFormat="1" ht="35" customHeight="1" spans="1:9">
      <c r="A139" s="15"/>
      <c r="B139" s="15"/>
      <c r="C139" s="15"/>
      <c r="D139" s="15"/>
      <c r="E139" s="15"/>
      <c r="F139" s="15"/>
      <c r="G139" s="15"/>
      <c r="H139" s="15"/>
      <c r="I139" s="45"/>
    </row>
    <row r="140" s="38" customFormat="1" ht="35" customHeight="1" spans="1:9">
      <c r="A140" s="15"/>
      <c r="B140" s="15"/>
      <c r="C140" s="15"/>
      <c r="D140" s="15"/>
      <c r="E140" s="15"/>
      <c r="F140" s="15"/>
      <c r="G140" s="15"/>
      <c r="H140" s="15"/>
      <c r="I140" s="45"/>
    </row>
    <row r="141" s="38" customFormat="1" ht="35" customHeight="1" spans="1:9">
      <c r="A141" s="48" t="str">
        <f>"Debts Or Credits For the Comming "&amp;IF(Main!B2,TEXT(EDATE(Main!B3,4),"mmmm dd yyyy"),TEXT(Main!B3+((Main!B5-Main!B3)*4+4),"dd mmmm yyyy"))&amp;" to "&amp;IF(Main!B2,TEXT(EDATE(Main!B3,5)-1,"mmmm dd yyyy"),TEXT(Main!B3+((Main!B5-Main!B3)*5+4),"mmmm dd yyyy"))</f>
        <v>Debts Or Credits For the Comming September 01 2025 to September 30 2025</v>
      </c>
      <c r="B141" s="49"/>
      <c r="C141" s="49"/>
      <c r="D141" s="49"/>
      <c r="E141" s="50"/>
      <c r="F141" s="15"/>
      <c r="G141" s="15"/>
      <c r="H141" s="15"/>
      <c r="I141" s="45"/>
    </row>
    <row r="142" s="38" customFormat="1" ht="35" customHeight="1" spans="1:9">
      <c r="A142" s="48" t="s">
        <v>57</v>
      </c>
      <c r="B142" s="50"/>
      <c r="C142" s="74" t="s">
        <v>44</v>
      </c>
      <c r="D142" s="75"/>
      <c r="E142" s="80" t="s">
        <v>45</v>
      </c>
      <c r="F142" s="15"/>
      <c r="G142" s="15"/>
      <c r="H142" s="15"/>
      <c r="I142" s="45"/>
    </row>
    <row r="143" s="38" customFormat="1" ht="35" customHeight="1" spans="1:9">
      <c r="A143" s="51" t="str">
        <f>"Balance Brought Forward From "&amp;IF(Main!B2,TEXT(EDATE(Main!B3,4)-1,"mmmm yyyy"),TEXT(Main!B3+((Main!B5-Main!B3)*4+3),"mmmm yyyy"))</f>
        <v>Balance Brought Forward From August 2025</v>
      </c>
      <c r="B143" s="52"/>
      <c r="C143" s="53"/>
      <c r="D143" s="53"/>
      <c r="E143" s="79">
        <f ca="1">E136</f>
        <v>0</v>
      </c>
      <c r="F143" s="15"/>
      <c r="G143" s="15"/>
      <c r="H143" s="15"/>
      <c r="I143" s="45"/>
    </row>
    <row r="144" s="38" customFormat="1" ht="35" customHeight="1" spans="1:9">
      <c r="A144" s="54" t="s">
        <v>52</v>
      </c>
      <c r="B144" s="55"/>
      <c r="C144" s="76" t="s">
        <v>58</v>
      </c>
      <c r="D144" s="77"/>
      <c r="E144" s="81"/>
      <c r="F144" s="15"/>
      <c r="G144" s="15"/>
      <c r="H144" s="15"/>
      <c r="I144" s="45"/>
    </row>
    <row r="145" s="38" customFormat="1" ht="35" customHeight="1" spans="1:9">
      <c r="A145" s="58"/>
      <c r="B145" s="59"/>
      <c r="C145" s="60"/>
      <c r="D145" s="61"/>
      <c r="E145" s="35">
        <v>0</v>
      </c>
      <c r="F145" s="15"/>
      <c r="G145" s="15"/>
      <c r="H145" s="15"/>
      <c r="I145" s="45"/>
    </row>
    <row r="146" s="38" customFormat="1" ht="35" customHeight="1" spans="1:9">
      <c r="A146" s="58"/>
      <c r="B146" s="59"/>
      <c r="C146" s="60"/>
      <c r="D146" s="61"/>
      <c r="E146" s="35">
        <v>0</v>
      </c>
      <c r="F146" s="15"/>
      <c r="G146" s="15"/>
      <c r="H146" s="15"/>
      <c r="I146" s="45"/>
    </row>
    <row r="147" s="38" customFormat="1" ht="35" customHeight="1" spans="1:9">
      <c r="A147" s="58"/>
      <c r="B147" s="59"/>
      <c r="C147" s="60"/>
      <c r="D147" s="61"/>
      <c r="E147" s="35">
        <v>0</v>
      </c>
      <c r="F147" s="15"/>
      <c r="G147" s="15"/>
      <c r="H147" s="15"/>
      <c r="I147" s="45"/>
    </row>
    <row r="148" s="38" customFormat="1" ht="35" customHeight="1" spans="1:9">
      <c r="A148" s="58"/>
      <c r="B148" s="59"/>
      <c r="C148" s="60"/>
      <c r="D148" s="61"/>
      <c r="E148" s="35">
        <v>0</v>
      </c>
      <c r="F148" s="15"/>
      <c r="G148" s="15"/>
      <c r="H148" s="15"/>
      <c r="I148" s="45"/>
    </row>
    <row r="149" s="38" customFormat="1" ht="35" customHeight="1" spans="1:9">
      <c r="A149" s="58"/>
      <c r="B149" s="59"/>
      <c r="C149" s="60"/>
      <c r="D149" s="61"/>
      <c r="E149" s="35">
        <v>0</v>
      </c>
      <c r="F149" s="15"/>
      <c r="G149" s="15"/>
      <c r="H149" s="15"/>
      <c r="I149" s="45"/>
    </row>
    <row r="150" s="38" customFormat="1" ht="35" customHeight="1" spans="1:9">
      <c r="A150" s="58"/>
      <c r="B150" s="59"/>
      <c r="C150" s="60"/>
      <c r="D150" s="61"/>
      <c r="E150" s="35">
        <v>0</v>
      </c>
      <c r="F150" s="15"/>
      <c r="G150" s="15"/>
      <c r="H150" s="15"/>
      <c r="I150" s="45"/>
    </row>
    <row r="151" s="38" customFormat="1" ht="35" customHeight="1" spans="1:9">
      <c r="A151" s="58"/>
      <c r="B151" s="59"/>
      <c r="C151" s="60"/>
      <c r="D151" s="61"/>
      <c r="E151" s="35">
        <v>0</v>
      </c>
      <c r="F151" s="15"/>
      <c r="G151" s="15"/>
      <c r="H151" s="15"/>
      <c r="I151" s="45"/>
    </row>
    <row r="152" s="38" customFormat="1" ht="35" customHeight="1" spans="1:9">
      <c r="A152" s="58"/>
      <c r="B152" s="59"/>
      <c r="C152" s="60"/>
      <c r="D152" s="61"/>
      <c r="E152" s="35">
        <v>0</v>
      </c>
      <c r="F152" s="15"/>
      <c r="G152" s="15"/>
      <c r="H152" s="15"/>
      <c r="I152" s="45"/>
    </row>
    <row r="153" s="38" customFormat="1" ht="35" customHeight="1" spans="1:9">
      <c r="A153" s="58"/>
      <c r="B153" s="59"/>
      <c r="C153" s="60"/>
      <c r="D153" s="61"/>
      <c r="E153" s="35">
        <v>0</v>
      </c>
      <c r="F153" s="15"/>
      <c r="G153" s="15"/>
      <c r="H153" s="15"/>
      <c r="I153" s="45"/>
    </row>
    <row r="154" s="38" customFormat="1" ht="35" customHeight="1" spans="1:9">
      <c r="A154" s="58"/>
      <c r="B154" s="59"/>
      <c r="C154" s="60"/>
      <c r="D154" s="61"/>
      <c r="E154" s="35">
        <v>0</v>
      </c>
      <c r="F154" s="15"/>
      <c r="G154" s="15"/>
      <c r="H154" s="15"/>
      <c r="I154" s="45"/>
    </row>
    <row r="155" s="38" customFormat="1" ht="35" customHeight="1" spans="1:9">
      <c r="A155" s="58"/>
      <c r="B155" s="59"/>
      <c r="C155" s="56" t="s">
        <v>59</v>
      </c>
      <c r="D155" s="57"/>
      <c r="E155" s="66"/>
      <c r="F155" s="15"/>
      <c r="G155" s="15"/>
      <c r="H155" s="15"/>
      <c r="I155" s="45"/>
    </row>
    <row r="156" s="38" customFormat="1" ht="35" customHeight="1" spans="1:9">
      <c r="A156" s="58"/>
      <c r="B156" s="59"/>
      <c r="C156" s="60"/>
      <c r="D156" s="61"/>
      <c r="E156" s="78">
        <v>0</v>
      </c>
      <c r="F156" s="15"/>
      <c r="G156" s="15"/>
      <c r="H156" s="15"/>
      <c r="I156" s="45"/>
    </row>
    <row r="157" s="38" customFormat="1" ht="35" customHeight="1" spans="1:9">
      <c r="A157" s="58"/>
      <c r="B157" s="59"/>
      <c r="C157" s="60"/>
      <c r="D157" s="61"/>
      <c r="E157" s="78">
        <v>0</v>
      </c>
      <c r="F157" s="15"/>
      <c r="G157" s="15"/>
      <c r="H157" s="15"/>
      <c r="I157" s="45"/>
    </row>
    <row r="158" s="38" customFormat="1" ht="35" customHeight="1" spans="1:9">
      <c r="A158" s="58"/>
      <c r="B158" s="59"/>
      <c r="C158" s="60"/>
      <c r="D158" s="61"/>
      <c r="E158" s="78">
        <v>0</v>
      </c>
      <c r="F158" s="15"/>
      <c r="G158" s="15"/>
      <c r="H158" s="15"/>
      <c r="I158" s="45"/>
    </row>
    <row r="159" s="38" customFormat="1" ht="35" customHeight="1" spans="1:9">
      <c r="A159" s="58"/>
      <c r="B159" s="59"/>
      <c r="C159" s="60"/>
      <c r="D159" s="61"/>
      <c r="E159" s="78">
        <v>0</v>
      </c>
      <c r="F159" s="15"/>
      <c r="G159" s="15"/>
      <c r="H159" s="15"/>
      <c r="I159" s="45"/>
    </row>
    <row r="160" s="38" customFormat="1" ht="35" customHeight="1" spans="1:9">
      <c r="A160" s="58"/>
      <c r="B160" s="59"/>
      <c r="C160" s="60"/>
      <c r="D160" s="61"/>
      <c r="E160" s="78">
        <v>0</v>
      </c>
      <c r="F160" s="15"/>
      <c r="G160" s="15"/>
      <c r="H160" s="15"/>
      <c r="I160" s="45"/>
    </row>
    <row r="161" s="38" customFormat="1" ht="35" customHeight="1" spans="1:9">
      <c r="A161" s="67"/>
      <c r="B161" s="68"/>
      <c r="C161" s="60"/>
      <c r="D161" s="61"/>
      <c r="E161" s="78">
        <v>0</v>
      </c>
      <c r="F161" s="15"/>
      <c r="G161" s="15"/>
      <c r="H161" s="15"/>
      <c r="I161" s="45"/>
    </row>
    <row r="162" s="38" customFormat="1" ht="35" customHeight="1" spans="1:9">
      <c r="A162" s="51" t="s">
        <v>60</v>
      </c>
      <c r="B162" s="69"/>
      <c r="C162" s="70"/>
      <c r="D162" s="71"/>
      <c r="E162" s="78">
        <f>C96</f>
        <v>0</v>
      </c>
      <c r="F162" s="15"/>
      <c r="G162" s="15"/>
      <c r="H162" s="15"/>
      <c r="I162" s="45"/>
    </row>
    <row r="163" s="38" customFormat="1" ht="35" customHeight="1" spans="1:9">
      <c r="A163" s="72"/>
      <c r="B163" s="73"/>
      <c r="C163" s="37" t="s">
        <v>61</v>
      </c>
      <c r="D163" s="37"/>
      <c r="E163" s="65">
        <f ca="1">(F28+E143)-(SUM(E145:E154)+SUM(E156:E162))</f>
        <v>0</v>
      </c>
      <c r="F163" s="15"/>
      <c r="G163" s="15"/>
      <c r="H163" s="15"/>
      <c r="I163" s="45"/>
    </row>
    <row r="164" s="38" customFormat="1" ht="35" customHeight="1" spans="1:9">
      <c r="A164" s="15"/>
      <c r="B164" s="15"/>
      <c r="C164" s="15"/>
      <c r="D164" s="15"/>
      <c r="E164" s="15"/>
      <c r="F164" s="15"/>
      <c r="G164" s="15"/>
      <c r="H164" s="15"/>
      <c r="I164" s="45"/>
    </row>
    <row r="165" s="38" customFormat="1" ht="35" customHeight="1" spans="1:9">
      <c r="A165" s="15"/>
      <c r="B165" s="15"/>
      <c r="C165" s="15"/>
      <c r="D165" s="15"/>
      <c r="E165" s="15"/>
      <c r="F165" s="15"/>
      <c r="G165" s="15"/>
      <c r="H165" s="15"/>
      <c r="I165" s="45"/>
    </row>
    <row r="166" s="38" customFormat="1" ht="35" customHeight="1" spans="1:9">
      <c r="A166" s="15"/>
      <c r="B166" s="15"/>
      <c r="C166" s="15"/>
      <c r="D166" s="15"/>
      <c r="E166" s="15"/>
      <c r="F166" s="15"/>
      <c r="G166" s="15"/>
      <c r="H166" s="15"/>
      <c r="I166" s="45"/>
    </row>
    <row r="167" s="38" customFormat="1" ht="35" customHeight="1" spans="1:9">
      <c r="A167" s="15"/>
      <c r="B167" s="15"/>
      <c r="C167" s="15"/>
      <c r="D167" s="15"/>
      <c r="E167" s="15"/>
      <c r="F167" s="15"/>
      <c r="G167" s="15"/>
      <c r="H167" s="15"/>
      <c r="I167" s="45"/>
    </row>
    <row r="168" s="38" customFormat="1" ht="35" customHeight="1" spans="1:9">
      <c r="A168" s="48" t="str">
        <f>"Debts Or Credits For the Comming "&amp;IF(Main!B2,TEXT(EDATE(Main!B3,5),"mmmm dd yyyy"),TEXT(Main!B3+((Main!B5-Main!B3)*5+5),"mmmm dd yyyy"))&amp;" to "&amp;IF(Main!B2,TEXT(EDATE(Main!B3,6)-1,"mmmm dd yyyy"),TEXT(Main!B3+((Main!B5-Main!B3)*6+5),"mmmm dd yyyy"))</f>
        <v>Debts Or Credits For the Comming October 01 2025 to October 31 2025</v>
      </c>
      <c r="B168" s="49"/>
      <c r="C168" s="49"/>
      <c r="D168" s="49"/>
      <c r="E168" s="50"/>
      <c r="F168" s="15"/>
      <c r="G168" s="15"/>
      <c r="H168" s="15"/>
      <c r="I168" s="45"/>
    </row>
    <row r="169" s="38" customFormat="1" ht="35" customHeight="1" spans="1:9">
      <c r="A169" s="48" t="s">
        <v>57</v>
      </c>
      <c r="B169" s="50"/>
      <c r="C169" s="74" t="s">
        <v>44</v>
      </c>
      <c r="D169" s="75"/>
      <c r="E169" s="80" t="s">
        <v>45</v>
      </c>
      <c r="F169" s="15"/>
      <c r="G169" s="15"/>
      <c r="H169" s="15"/>
      <c r="I169" s="45"/>
    </row>
    <row r="170" s="38" customFormat="1" ht="35" customHeight="1" spans="1:9">
      <c r="A170" s="51" t="str">
        <f>"Balance Brought Forward From "&amp;IF(Main!B2,TEXT(EDATE(Main!B3,5)-1,"mmmm yyyy"),TEXT(Main!B3+((Main!B5-Main!B3)*5+4),"mmmm yyyy"))</f>
        <v>Balance Brought Forward From September 2025</v>
      </c>
      <c r="B170" s="52"/>
      <c r="C170" s="53"/>
      <c r="D170" s="53"/>
      <c r="E170" s="65">
        <f ca="1">E163</f>
        <v>0</v>
      </c>
      <c r="F170" s="15"/>
      <c r="G170" s="15"/>
      <c r="H170" s="15"/>
      <c r="I170" s="45"/>
    </row>
    <row r="171" s="38" customFormat="1" ht="35" customHeight="1" spans="1:9">
      <c r="A171" s="54" t="s">
        <v>52</v>
      </c>
      <c r="B171" s="55"/>
      <c r="C171" s="76" t="s">
        <v>58</v>
      </c>
      <c r="D171" s="77"/>
      <c r="E171" s="81"/>
      <c r="F171" s="15"/>
      <c r="G171" s="15"/>
      <c r="H171" s="15"/>
      <c r="I171" s="45"/>
    </row>
    <row r="172" s="38" customFormat="1" ht="35" customHeight="1" spans="1:9">
      <c r="A172" s="58"/>
      <c r="B172" s="59"/>
      <c r="C172" s="60"/>
      <c r="D172" s="61"/>
      <c r="E172" s="35">
        <v>0</v>
      </c>
      <c r="F172" s="15"/>
      <c r="G172" s="15"/>
      <c r="H172" s="15"/>
      <c r="I172" s="45"/>
    </row>
    <row r="173" s="38" customFormat="1" ht="35" customHeight="1" spans="1:9">
      <c r="A173" s="58"/>
      <c r="B173" s="59"/>
      <c r="C173" s="60"/>
      <c r="D173" s="61"/>
      <c r="E173" s="35">
        <v>0</v>
      </c>
      <c r="F173" s="15"/>
      <c r="G173" s="15"/>
      <c r="H173" s="15"/>
      <c r="I173" s="45"/>
    </row>
    <row r="174" s="38" customFormat="1" ht="35" customHeight="1" spans="1:9">
      <c r="A174" s="58"/>
      <c r="B174" s="59"/>
      <c r="C174" s="60"/>
      <c r="D174" s="61"/>
      <c r="E174" s="35">
        <v>0</v>
      </c>
      <c r="F174" s="15"/>
      <c r="G174" s="15"/>
      <c r="H174" s="15"/>
      <c r="I174" s="45"/>
    </row>
    <row r="175" s="38" customFormat="1" ht="35" customHeight="1" spans="1:9">
      <c r="A175" s="58"/>
      <c r="B175" s="59"/>
      <c r="C175" s="60"/>
      <c r="D175" s="61"/>
      <c r="E175" s="35">
        <v>0</v>
      </c>
      <c r="F175" s="15"/>
      <c r="G175" s="15"/>
      <c r="H175" s="15"/>
      <c r="I175" s="45"/>
    </row>
    <row r="176" s="38" customFormat="1" ht="35" customHeight="1" spans="1:9">
      <c r="A176" s="58"/>
      <c r="B176" s="59"/>
      <c r="C176" s="60"/>
      <c r="D176" s="61"/>
      <c r="E176" s="35">
        <v>0</v>
      </c>
      <c r="F176" s="15"/>
      <c r="G176" s="15"/>
      <c r="H176" s="15"/>
      <c r="I176" s="45"/>
    </row>
    <row r="177" s="38" customFormat="1" ht="35" customHeight="1" spans="1:9">
      <c r="A177" s="58"/>
      <c r="B177" s="59"/>
      <c r="C177" s="60"/>
      <c r="D177" s="61"/>
      <c r="E177" s="35">
        <v>0</v>
      </c>
      <c r="F177" s="15"/>
      <c r="G177" s="15"/>
      <c r="H177" s="15"/>
      <c r="I177" s="45"/>
    </row>
    <row r="178" s="38" customFormat="1" ht="35" customHeight="1" spans="1:9">
      <c r="A178" s="58"/>
      <c r="B178" s="59"/>
      <c r="C178" s="60"/>
      <c r="D178" s="61"/>
      <c r="E178" s="35">
        <v>0</v>
      </c>
      <c r="F178" s="15"/>
      <c r="G178" s="15"/>
      <c r="H178" s="15"/>
      <c r="I178" s="45"/>
    </row>
    <row r="179" s="38" customFormat="1" ht="35" customHeight="1" spans="1:9">
      <c r="A179" s="58"/>
      <c r="B179" s="59"/>
      <c r="C179" s="60"/>
      <c r="D179" s="61"/>
      <c r="E179" s="35">
        <v>0</v>
      </c>
      <c r="F179" s="15"/>
      <c r="G179" s="15"/>
      <c r="H179" s="15"/>
      <c r="I179" s="45"/>
    </row>
    <row r="180" s="38" customFormat="1" ht="35" customHeight="1" spans="1:9">
      <c r="A180" s="58"/>
      <c r="B180" s="59"/>
      <c r="C180" s="60"/>
      <c r="D180" s="61"/>
      <c r="E180" s="35">
        <v>0</v>
      </c>
      <c r="F180" s="15"/>
      <c r="G180" s="15"/>
      <c r="H180" s="15"/>
      <c r="I180" s="45"/>
    </row>
    <row r="181" s="38" customFormat="1" ht="35" customHeight="1" spans="1:9">
      <c r="A181" s="58"/>
      <c r="B181" s="59"/>
      <c r="C181" s="60"/>
      <c r="D181" s="61"/>
      <c r="E181" s="35">
        <v>0</v>
      </c>
      <c r="F181" s="15"/>
      <c r="G181" s="15"/>
      <c r="H181" s="15"/>
      <c r="I181" s="45"/>
    </row>
    <row r="182" s="38" customFormat="1" ht="35" customHeight="1" spans="1:9">
      <c r="A182" s="58"/>
      <c r="B182" s="59"/>
      <c r="C182" s="56" t="s">
        <v>59</v>
      </c>
      <c r="D182" s="57"/>
      <c r="E182" s="66"/>
      <c r="F182" s="15"/>
      <c r="G182" s="15"/>
      <c r="H182" s="15"/>
      <c r="I182" s="45"/>
    </row>
    <row r="183" s="38" customFormat="1" ht="35" customHeight="1" spans="1:9">
      <c r="A183" s="58"/>
      <c r="B183" s="59"/>
      <c r="C183" s="60"/>
      <c r="D183" s="61"/>
      <c r="E183" s="78">
        <v>0</v>
      </c>
      <c r="F183" s="15"/>
      <c r="G183" s="15"/>
      <c r="H183" s="15"/>
      <c r="I183" s="45"/>
    </row>
    <row r="184" s="38" customFormat="1" ht="35" customHeight="1" spans="1:9">
      <c r="A184" s="58"/>
      <c r="B184" s="59"/>
      <c r="C184" s="60"/>
      <c r="D184" s="61"/>
      <c r="E184" s="78">
        <v>0</v>
      </c>
      <c r="F184" s="15"/>
      <c r="G184" s="15"/>
      <c r="H184" s="15"/>
      <c r="I184" s="45"/>
    </row>
    <row r="185" s="38" customFormat="1" ht="35" customHeight="1" spans="1:9">
      <c r="A185" s="58"/>
      <c r="B185" s="59"/>
      <c r="C185" s="60"/>
      <c r="D185" s="61"/>
      <c r="E185" s="78">
        <v>0</v>
      </c>
      <c r="F185" s="15"/>
      <c r="G185" s="15"/>
      <c r="H185" s="15"/>
      <c r="I185" s="45"/>
    </row>
    <row r="186" s="38" customFormat="1" ht="35" customHeight="1" spans="1:9">
      <c r="A186" s="58"/>
      <c r="B186" s="59"/>
      <c r="C186" s="60"/>
      <c r="D186" s="61"/>
      <c r="E186" s="78">
        <v>0</v>
      </c>
      <c r="F186" s="15"/>
      <c r="G186" s="15"/>
      <c r="H186" s="15"/>
      <c r="I186" s="45"/>
    </row>
    <row r="187" s="38" customFormat="1" ht="35" customHeight="1" spans="1:9">
      <c r="A187" s="58"/>
      <c r="B187" s="59"/>
      <c r="C187" s="60"/>
      <c r="D187" s="61"/>
      <c r="E187" s="78">
        <v>0</v>
      </c>
      <c r="F187" s="15"/>
      <c r="G187" s="15"/>
      <c r="H187" s="15"/>
      <c r="I187" s="45"/>
    </row>
    <row r="188" s="38" customFormat="1" ht="35" customHeight="1" spans="1:9">
      <c r="A188" s="67"/>
      <c r="B188" s="68"/>
      <c r="C188" s="60"/>
      <c r="D188" s="61"/>
      <c r="E188" s="78">
        <v>0</v>
      </c>
      <c r="F188" s="15"/>
      <c r="G188" s="15"/>
      <c r="H188" s="15"/>
      <c r="I188" s="45"/>
    </row>
    <row r="189" s="38" customFormat="1" ht="35" customHeight="1" spans="1:9">
      <c r="A189" s="51" t="s">
        <v>60</v>
      </c>
      <c r="B189" s="69"/>
      <c r="C189" s="70"/>
      <c r="D189" s="71"/>
      <c r="E189" s="78">
        <f>C96</f>
        <v>0</v>
      </c>
      <c r="F189" s="15"/>
      <c r="G189" s="15"/>
      <c r="H189" s="15"/>
      <c r="I189" s="45"/>
    </row>
    <row r="190" s="38" customFormat="1" ht="35" customHeight="1" spans="1:9">
      <c r="A190" s="72"/>
      <c r="B190" s="73"/>
      <c r="C190" s="37" t="s">
        <v>61</v>
      </c>
      <c r="D190" s="37"/>
      <c r="E190" s="65">
        <f ca="1">(F40+E170)-(SUM(E172:E181)+SUM(E183:E189))</f>
        <v>0</v>
      </c>
      <c r="F190" s="15"/>
      <c r="G190" s="15"/>
      <c r="H190" s="15"/>
      <c r="I190" s="45"/>
    </row>
    <row r="191" s="38" customFormat="1" ht="35" customHeight="1" spans="1:9">
      <c r="A191" s="15"/>
      <c r="B191" s="15"/>
      <c r="C191" s="15"/>
      <c r="D191" s="15"/>
      <c r="E191" s="15"/>
      <c r="F191" s="15"/>
      <c r="G191" s="15"/>
      <c r="H191" s="15"/>
      <c r="I191" s="45"/>
    </row>
    <row r="192" ht="35" customHeight="1"/>
    <row r="193" s="82" customFormat="1" ht="24.75" customHeight="1"/>
  </sheetData>
  <sheetProtection sheet="1" formatCells="0" formatColumns="0" formatRows="0" objects="1"/>
  <protectedRanges>
    <protectedRange sqref="A10:G15" name="R1"/>
    <protectedRange sqref="A22:G27" name="R2"/>
    <protectedRange sqref="A34:G39" name="R3"/>
    <protectedRange sqref="A46:C46 C47:C54" name="F1"/>
    <protectedRange sqref="C56:C65" name="F2"/>
    <protectedRange sqref="C67:C74" name="F3"/>
    <protectedRange sqref="C76:C84" name="F4"/>
    <protectedRange sqref="C86:C94" name="F5"/>
    <protectedRange sqref="C117:E134" name="E1"/>
    <protectedRange sqref="C144:E161" name="E2"/>
    <protectedRange sqref="C171:E188" name="E3"/>
    <protectedRange sqref="A56:B56" name="F2_1"/>
    <protectedRange sqref="A67:B67" name="F3_1"/>
    <protectedRange sqref="A76:B76" name="F4_1"/>
    <protectedRange sqref="A86:B86" name="F5_1"/>
  </protectedRanges>
  <mergeCells count="174">
    <mergeCell ref="A1:G1"/>
    <mergeCell ref="C2:G2"/>
    <mergeCell ref="C3:G3"/>
    <mergeCell ref="A4:B4"/>
    <mergeCell ref="C4:G4"/>
    <mergeCell ref="A5:B5"/>
    <mergeCell ref="C5:G5"/>
    <mergeCell ref="A8:G8"/>
    <mergeCell ref="B9:C9"/>
    <mergeCell ref="D9:E9"/>
    <mergeCell ref="F9:G9"/>
    <mergeCell ref="B10:C10"/>
    <mergeCell ref="D10:E10"/>
    <mergeCell ref="F10:G10"/>
    <mergeCell ref="B11:C11"/>
    <mergeCell ref="D11:E11"/>
    <mergeCell ref="F11:G11"/>
    <mergeCell ref="B12:C12"/>
    <mergeCell ref="D12:E12"/>
    <mergeCell ref="F12:G12"/>
    <mergeCell ref="B13:C13"/>
    <mergeCell ref="D13:E13"/>
    <mergeCell ref="F13:G13"/>
    <mergeCell ref="B14:C14"/>
    <mergeCell ref="D14:E14"/>
    <mergeCell ref="F14:G14"/>
    <mergeCell ref="B15:C15"/>
    <mergeCell ref="D15:E15"/>
    <mergeCell ref="F15:G15"/>
    <mergeCell ref="B16:C16"/>
    <mergeCell ref="D16:E16"/>
    <mergeCell ref="F16:G16"/>
    <mergeCell ref="A20:G20"/>
    <mergeCell ref="B21:C21"/>
    <mergeCell ref="D21:E21"/>
    <mergeCell ref="F21:G21"/>
    <mergeCell ref="B22:C22"/>
    <mergeCell ref="D22:E22"/>
    <mergeCell ref="F22:G22"/>
    <mergeCell ref="B23:C23"/>
    <mergeCell ref="D23:E23"/>
    <mergeCell ref="F23:G23"/>
    <mergeCell ref="B24:C24"/>
    <mergeCell ref="D24:E24"/>
    <mergeCell ref="F24:G24"/>
    <mergeCell ref="B25:C25"/>
    <mergeCell ref="D25:E25"/>
    <mergeCell ref="F25:G25"/>
    <mergeCell ref="B26:C26"/>
    <mergeCell ref="D26:E26"/>
    <mergeCell ref="F26:G26"/>
    <mergeCell ref="B27:C27"/>
    <mergeCell ref="D27:E27"/>
    <mergeCell ref="F27:G27"/>
    <mergeCell ref="B28:C28"/>
    <mergeCell ref="D28:E28"/>
    <mergeCell ref="F28:G28"/>
    <mergeCell ref="A32:G32"/>
    <mergeCell ref="B33:C33"/>
    <mergeCell ref="D33:E33"/>
    <mergeCell ref="F33:G33"/>
    <mergeCell ref="B34:C34"/>
    <mergeCell ref="D34:E34"/>
    <mergeCell ref="F34:G34"/>
    <mergeCell ref="B35:C35"/>
    <mergeCell ref="D35:E35"/>
    <mergeCell ref="F35:G35"/>
    <mergeCell ref="B36:C36"/>
    <mergeCell ref="D36:E36"/>
    <mergeCell ref="F36:G36"/>
    <mergeCell ref="B37:C37"/>
    <mergeCell ref="D37:E37"/>
    <mergeCell ref="F37:G37"/>
    <mergeCell ref="B38:C38"/>
    <mergeCell ref="D38:E38"/>
    <mergeCell ref="F38:G38"/>
    <mergeCell ref="B39:C39"/>
    <mergeCell ref="D39:E39"/>
    <mergeCell ref="F39:G39"/>
    <mergeCell ref="B40:C40"/>
    <mergeCell ref="D40:E40"/>
    <mergeCell ref="F40:G40"/>
    <mergeCell ref="A44:C44"/>
    <mergeCell ref="A46:C46"/>
    <mergeCell ref="A56:C56"/>
    <mergeCell ref="A67:C67"/>
    <mergeCell ref="A76:C76"/>
    <mergeCell ref="A86:C86"/>
    <mergeCell ref="A97:C97"/>
    <mergeCell ref="A114:E114"/>
    <mergeCell ref="A115:B115"/>
    <mergeCell ref="C115:D115"/>
    <mergeCell ref="A116:B116"/>
    <mergeCell ref="C116:D116"/>
    <mergeCell ref="C117:D117"/>
    <mergeCell ref="C118:D118"/>
    <mergeCell ref="C119:D119"/>
    <mergeCell ref="C120:D120"/>
    <mergeCell ref="C121:D121"/>
    <mergeCell ref="C122:D122"/>
    <mergeCell ref="C123:D123"/>
    <mergeCell ref="C124:D124"/>
    <mergeCell ref="C125:D125"/>
    <mergeCell ref="C126:D126"/>
    <mergeCell ref="C127:D127"/>
    <mergeCell ref="C128:D128"/>
    <mergeCell ref="C129:D129"/>
    <mergeCell ref="C130:D130"/>
    <mergeCell ref="C131:D131"/>
    <mergeCell ref="C132:D132"/>
    <mergeCell ref="C133:D133"/>
    <mergeCell ref="C134:D134"/>
    <mergeCell ref="A135:B135"/>
    <mergeCell ref="C135:D135"/>
    <mergeCell ref="A136:B136"/>
    <mergeCell ref="C136:D136"/>
    <mergeCell ref="A141:E141"/>
    <mergeCell ref="A142:B142"/>
    <mergeCell ref="C142:D142"/>
    <mergeCell ref="A143:B143"/>
    <mergeCell ref="C143:D143"/>
    <mergeCell ref="C144:D144"/>
    <mergeCell ref="C145:D145"/>
    <mergeCell ref="C146:D146"/>
    <mergeCell ref="C147:D147"/>
    <mergeCell ref="C148:D148"/>
    <mergeCell ref="C149:D149"/>
    <mergeCell ref="C150:D150"/>
    <mergeCell ref="C151:D151"/>
    <mergeCell ref="C152:D152"/>
    <mergeCell ref="C153:D153"/>
    <mergeCell ref="C154:D154"/>
    <mergeCell ref="C155:D155"/>
    <mergeCell ref="C156:D156"/>
    <mergeCell ref="C157:D157"/>
    <mergeCell ref="C158:D158"/>
    <mergeCell ref="C159:D159"/>
    <mergeCell ref="C160:D160"/>
    <mergeCell ref="C161:D161"/>
    <mergeCell ref="A162:B162"/>
    <mergeCell ref="C162:D162"/>
    <mergeCell ref="A163:B163"/>
    <mergeCell ref="C163:D163"/>
    <mergeCell ref="A168:E168"/>
    <mergeCell ref="A169:B169"/>
    <mergeCell ref="C169:D169"/>
    <mergeCell ref="A170:B170"/>
    <mergeCell ref="C170:D170"/>
    <mergeCell ref="C171:D171"/>
    <mergeCell ref="C172:D172"/>
    <mergeCell ref="C173:D173"/>
    <mergeCell ref="C174:D174"/>
    <mergeCell ref="C175:D175"/>
    <mergeCell ref="C176:D176"/>
    <mergeCell ref="C177:D177"/>
    <mergeCell ref="C178:D178"/>
    <mergeCell ref="C179:D179"/>
    <mergeCell ref="C180:D180"/>
    <mergeCell ref="C181:D181"/>
    <mergeCell ref="C182:D182"/>
    <mergeCell ref="C183:D183"/>
    <mergeCell ref="C184:D184"/>
    <mergeCell ref="C185:D185"/>
    <mergeCell ref="C186:D186"/>
    <mergeCell ref="C187:D187"/>
    <mergeCell ref="C188:D188"/>
    <mergeCell ref="A189:B189"/>
    <mergeCell ref="C189:D189"/>
    <mergeCell ref="A190:B190"/>
    <mergeCell ref="C190:D190"/>
    <mergeCell ref="A2:A3"/>
    <mergeCell ref="A171:B188"/>
    <mergeCell ref="A144:B161"/>
    <mergeCell ref="A117:B134"/>
  </mergeCells>
  <conditionalFormatting sqref="C5">
    <cfRule type="cellIs" dxfId="0" priority="17" operator="greaterThanOrEqual">
      <formula>0</formula>
    </cfRule>
    <cfRule type="cellIs" dxfId="1" priority="16" operator="lessThan">
      <formula>0</formula>
    </cfRule>
  </conditionalFormatting>
  <conditionalFormatting sqref="C75">
    <cfRule type="cellIs" dxfId="0" priority="49" operator="equal">
      <formula>0</formula>
    </cfRule>
    <cfRule type="cellIs" dxfId="1" priority="48" operator="greaterThan">
      <formula>0</formula>
    </cfRule>
  </conditionalFormatting>
  <conditionalFormatting sqref="C77">
    <cfRule type="cellIs" dxfId="0" priority="47" operator="equal">
      <formula>0</formula>
    </cfRule>
    <cfRule type="cellIs" dxfId="1" priority="46" operator="greaterThan">
      <formula>0</formula>
    </cfRule>
  </conditionalFormatting>
  <conditionalFormatting sqref="C108">
    <cfRule type="cellIs" dxfId="0" priority="33" operator="greaterThanOrEqual">
      <formula>0</formula>
    </cfRule>
    <cfRule type="cellIs" dxfId="1" priority="32" operator="lessThan">
      <formula>0</formula>
    </cfRule>
  </conditionalFormatting>
  <conditionalFormatting sqref="C109">
    <cfRule type="cellIs" dxfId="0" priority="2" operator="greaterThanOrEqual">
      <formula>0</formula>
    </cfRule>
    <cfRule type="cellIs" dxfId="1" priority="1" operator="lessThan">
      <formula>0</formula>
    </cfRule>
  </conditionalFormatting>
  <conditionalFormatting sqref="E116">
    <cfRule type="cellIs" dxfId="3" priority="7" operator="greaterThanOrEqual">
      <formula>0</formula>
    </cfRule>
    <cfRule type="cellIs" dxfId="4" priority="6" operator="lessThan">
      <formula>0</formula>
    </cfRule>
  </conditionalFormatting>
  <conditionalFormatting sqref="E136">
    <cfRule type="cellIs" dxfId="3" priority="41" operator="greaterThanOrEqual">
      <formula>0</formula>
    </cfRule>
    <cfRule type="cellIs" dxfId="4" priority="40" operator="lessThan">
      <formula>0</formula>
    </cfRule>
  </conditionalFormatting>
  <conditionalFormatting sqref="E143">
    <cfRule type="cellIs" dxfId="3" priority="25" operator="greaterThanOrEqual">
      <formula>0</formula>
    </cfRule>
    <cfRule type="cellIs" dxfId="4" priority="24" operator="lessThan">
      <formula>0</formula>
    </cfRule>
  </conditionalFormatting>
  <conditionalFormatting sqref="E163">
    <cfRule type="cellIs" dxfId="3" priority="27" operator="greaterThanOrEqual">
      <formula>0</formula>
    </cfRule>
    <cfRule type="cellIs" dxfId="4" priority="26" operator="lessThan">
      <formula>0</formula>
    </cfRule>
  </conditionalFormatting>
  <conditionalFormatting sqref="E170">
    <cfRule type="cellIs" dxfId="3" priority="19" operator="greaterThanOrEqual">
      <formula>0</formula>
    </cfRule>
    <cfRule type="cellIs" dxfId="4" priority="18" operator="lessThan">
      <formula>0</formula>
    </cfRule>
  </conditionalFormatting>
  <conditionalFormatting sqref="E190">
    <cfRule type="cellIs" dxfId="3" priority="21" operator="greaterThanOrEqual">
      <formula>0</formula>
    </cfRule>
    <cfRule type="cellIs" dxfId="4" priority="20" operator="lessThan">
      <formula>0</formula>
    </cfRule>
  </conditionalFormatting>
  <conditionalFormatting sqref="C57:C66">
    <cfRule type="cellIs" dxfId="0" priority="53" operator="equal">
      <formula>0</formula>
    </cfRule>
    <cfRule type="cellIs" dxfId="1" priority="52" operator="greaterThan">
      <formula>0</formula>
    </cfRule>
  </conditionalFormatting>
  <conditionalFormatting sqref="C68:C69">
    <cfRule type="cellIs" dxfId="0" priority="51" operator="equal">
      <formula>0</formula>
    </cfRule>
    <cfRule type="cellIs" dxfId="1" priority="50" operator="greaterThan">
      <formula>0</formula>
    </cfRule>
  </conditionalFormatting>
  <conditionalFormatting sqref="C70:C74">
    <cfRule type="cellIs" dxfId="0" priority="39" operator="equal">
      <formula>0</formula>
    </cfRule>
    <cfRule type="cellIs" dxfId="1" priority="38" operator="greaterThan">
      <formula>0</formula>
    </cfRule>
  </conditionalFormatting>
  <conditionalFormatting sqref="C80:C84">
    <cfRule type="cellIs" dxfId="0" priority="37" operator="equal">
      <formula>0</formula>
    </cfRule>
    <cfRule type="cellIs" dxfId="1" priority="36" operator="greaterThan">
      <formula>0</formula>
    </cfRule>
  </conditionalFormatting>
  <conditionalFormatting sqref="C87:C89">
    <cfRule type="cellIs" dxfId="0" priority="45" operator="equal">
      <formula>0</formula>
    </cfRule>
    <cfRule type="cellIs" dxfId="1" priority="44" operator="greaterThan">
      <formula>0</formula>
    </cfRule>
  </conditionalFormatting>
  <conditionalFormatting sqref="C90:C91">
    <cfRule type="cellIs" dxfId="0" priority="4" operator="equal">
      <formula>0</formula>
    </cfRule>
    <cfRule type="cellIs" dxfId="1" priority="3" operator="greaterThan">
      <formula>0</formula>
    </cfRule>
  </conditionalFormatting>
  <conditionalFormatting sqref="C92:C94">
    <cfRule type="cellIs" dxfId="0" priority="35" operator="equal">
      <formula>0</formula>
    </cfRule>
    <cfRule type="cellIs" dxfId="1" priority="34" operator="greaterThan">
      <formula>0</formula>
    </cfRule>
  </conditionalFormatting>
  <conditionalFormatting sqref="C98:C107">
    <cfRule type="cellIs" dxfId="1" priority="15" operator="lessThan">
      <formula>0</formula>
    </cfRule>
    <cfRule type="cellIs" dxfId="2" priority="14" operator="greaterThanOrEqual">
      <formula>0</formula>
    </cfRule>
  </conditionalFormatting>
  <conditionalFormatting sqref="E118:E127">
    <cfRule type="cellIs" dxfId="0" priority="13" operator="equal">
      <formula>0</formula>
    </cfRule>
    <cfRule type="cellIs" dxfId="1" priority="12" operator="greaterThan">
      <formula>0</formula>
    </cfRule>
  </conditionalFormatting>
  <conditionalFormatting sqref="E145:E154">
    <cfRule type="cellIs" dxfId="0" priority="11" operator="equal">
      <formula>0</formula>
    </cfRule>
    <cfRule type="cellIs" dxfId="1" priority="10" operator="greaterThan">
      <formula>0</formula>
    </cfRule>
  </conditionalFormatting>
  <conditionalFormatting sqref="E172:E181">
    <cfRule type="cellIs" dxfId="0" priority="9" operator="equal">
      <formula>0</formula>
    </cfRule>
    <cfRule type="cellIs" dxfId="1" priority="8" operator="greaterThan">
      <formula>0</formula>
    </cfRule>
  </conditionalFormatting>
  <conditionalFormatting sqref="C47:C55 C85 C78:C79 C95:C96">
    <cfRule type="cellIs" dxfId="0" priority="55" operator="equal">
      <formula>0</formula>
    </cfRule>
  </conditionalFormatting>
  <conditionalFormatting sqref="C47:C55 C85 C78:C79 C95:C96 E144 E155:E162">
    <cfRule type="cellIs" dxfId="1" priority="54" operator="greaterThan">
      <formula>0</formula>
    </cfRule>
  </conditionalFormatting>
  <conditionalFormatting sqref="E117 E128:E135">
    <cfRule type="cellIs" dxfId="0" priority="43" operator="equal">
      <formula>0</formula>
    </cfRule>
    <cfRule type="cellIs" dxfId="1" priority="42" operator="greaterThan">
      <formula>0</formula>
    </cfRule>
  </conditionalFormatting>
  <conditionalFormatting sqref="E144 E155:E162">
    <cfRule type="cellIs" dxfId="2" priority="29" operator="equal">
      <formula>0</formula>
    </cfRule>
  </conditionalFormatting>
  <conditionalFormatting sqref="E171 E182:E189">
    <cfRule type="cellIs" dxfId="2" priority="23" operator="equal">
      <formula>0</formula>
    </cfRule>
    <cfRule type="cellIs" dxfId="1" priority="22" operator="greaterThan">
      <formula>0</formula>
    </cfRule>
  </conditionalFormatting>
  <pageMargins left="0.7" right="0.7" top="0.75" bottom="0.75" header="0.3" footer="0.3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92"/>
  <sheetViews>
    <sheetView workbookViewId="0">
      <selection activeCell="C3" sqref="C3:G3"/>
    </sheetView>
  </sheetViews>
  <sheetFormatPr defaultColWidth="9" defaultRowHeight="17.6"/>
  <cols>
    <col min="1" max="7" width="25.6111111111111" style="82" customWidth="1"/>
    <col min="8" max="8" width="15.625" style="82" customWidth="1"/>
    <col min="9" max="16384" width="9" style="82"/>
  </cols>
  <sheetData>
    <row r="1" s="38" customFormat="1" ht="35" customHeight="1" spans="1:7">
      <c r="A1" s="2" t="str">
        <f>"Forecasts For the Year "&amp;IF(Main!B2,TEXT(EDATE(Main!B3,6),"mmmm yyyy"),TEXT(Main!B3+((Main!B5-Main!B3)*6+6),"mmmm yyyy"))&amp;" to "&amp;IF(Main!B2,TEXT(EDATE(Main!B3,9)-1,"mmmm yyyy"),TEXT(Main!B3+((Main!B5-Main!B3)*9+8),"mmmm yyyy"))</f>
        <v>Forecasts For the Year November 2025 to January 2026</v>
      </c>
      <c r="B1" s="2"/>
      <c r="C1" s="2"/>
      <c r="D1" s="2"/>
      <c r="E1" s="2"/>
      <c r="F1" s="2"/>
      <c r="G1" s="2"/>
    </row>
    <row r="2" s="38" customFormat="1" ht="35" customHeight="1" spans="1:7">
      <c r="A2" s="3" t="s">
        <v>33</v>
      </c>
      <c r="B2" s="4" t="s">
        <v>62</v>
      </c>
      <c r="C2" s="5" cm="1">
        <f ca="1" t="array" ref="C2">INDIRECT("'"&amp;Main!B9&amp;"'!$C$16")</f>
        <v>0</v>
      </c>
      <c r="D2" s="5"/>
      <c r="E2" s="5"/>
      <c r="F2" s="5"/>
      <c r="G2" s="5"/>
    </row>
    <row r="3" s="38" customFormat="1" ht="35" customHeight="1" spans="1:7">
      <c r="A3" s="6"/>
      <c r="B3" s="7" t="s">
        <v>63</v>
      </c>
      <c r="C3" s="8">
        <f ca="1">E190</f>
        <v>0</v>
      </c>
      <c r="D3" s="8"/>
      <c r="E3" s="8"/>
      <c r="F3" s="8"/>
      <c r="G3" s="8"/>
    </row>
    <row r="4" s="38" customFormat="1" ht="35" customHeight="1" spans="1:9">
      <c r="A4" s="9" t="s">
        <v>42</v>
      </c>
      <c r="B4" s="10"/>
      <c r="C4" s="11">
        <f ca="1">SUM(C2:G3)</f>
        <v>0</v>
      </c>
      <c r="D4" s="11"/>
      <c r="E4" s="11"/>
      <c r="F4" s="11"/>
      <c r="G4" s="11"/>
      <c r="H4" s="15"/>
      <c r="I4" s="45"/>
    </row>
    <row r="5" s="38" customFormat="1" ht="35" customHeight="1" spans="1:9">
      <c r="A5" s="12" t="s">
        <v>64</v>
      </c>
      <c r="B5" s="12"/>
      <c r="C5" s="13">
        <f ca="1">C108</f>
        <v>0</v>
      </c>
      <c r="D5" s="14"/>
      <c r="E5" s="14"/>
      <c r="F5" s="14"/>
      <c r="G5" s="14"/>
      <c r="H5" s="15"/>
      <c r="I5" s="45"/>
    </row>
    <row r="6" s="38" customFormat="1" ht="35" customHeight="1" spans="1:9">
      <c r="A6" s="15"/>
      <c r="B6" s="15"/>
      <c r="C6" s="15"/>
      <c r="D6" s="15"/>
      <c r="E6" s="15"/>
      <c r="F6" s="15"/>
      <c r="G6" s="15"/>
      <c r="H6" s="15"/>
      <c r="I6" s="45"/>
    </row>
    <row r="7" s="38" customFormat="1" ht="35" customHeight="1" spans="1:9">
      <c r="A7" s="15"/>
      <c r="B7" s="15"/>
      <c r="C7" s="15"/>
      <c r="D7" s="15"/>
      <c r="E7" s="15"/>
      <c r="F7" s="15"/>
      <c r="G7" s="15"/>
      <c r="H7" s="15"/>
      <c r="I7" s="45"/>
    </row>
    <row r="8" s="38" customFormat="1" ht="35" customHeight="1" spans="1:9">
      <c r="A8" s="16" t="str">
        <f>IF(Main!B2,TEXT(EDATE(Main!B3,6),"dd mmmm yyyy"),TEXT(Main!B3+((Main!B5-Main!B3)*6+6),"dd mmmm yyyy"))&amp;" - "&amp;IF(Main!B2,TEXT(EDATE(Main!B3,7)-1,"dd mmmm yyyy"),TEXT(Main!B3+((Main!B5-Main!B3)*7+6),"dd mmmm yyyy"))&amp;" / "&amp;" (Revenue / Deferred Debts Or Expenses)"</f>
        <v>01 November 2025 - 30 November 2025 /  (Revenue / Deferred Debts Or Expenses)</v>
      </c>
      <c r="B8" s="17"/>
      <c r="C8" s="17"/>
      <c r="D8" s="17"/>
      <c r="E8" s="17"/>
      <c r="F8" s="17"/>
      <c r="G8" s="17"/>
      <c r="H8" s="15"/>
      <c r="I8" s="45"/>
    </row>
    <row r="9" s="38" customFormat="1" ht="35" customHeight="1" spans="1:9">
      <c r="A9" s="18" t="s">
        <v>29</v>
      </c>
      <c r="B9" s="18" t="s">
        <v>43</v>
      </c>
      <c r="C9" s="18"/>
      <c r="D9" s="18" t="s">
        <v>44</v>
      </c>
      <c r="E9" s="18"/>
      <c r="F9" s="18" t="s">
        <v>45</v>
      </c>
      <c r="G9" s="18"/>
      <c r="H9" s="15"/>
      <c r="I9" s="45"/>
    </row>
    <row r="10" s="38" customFormat="1" ht="35" customHeight="1" spans="1:9">
      <c r="A10" s="19"/>
      <c r="B10" s="20"/>
      <c r="C10" s="20"/>
      <c r="D10" s="20"/>
      <c r="E10" s="20"/>
      <c r="F10" s="39">
        <v>0</v>
      </c>
      <c r="G10" s="40"/>
      <c r="H10" s="15"/>
      <c r="I10" s="45"/>
    </row>
    <row r="11" s="38" customFormat="1" ht="35" customHeight="1" spans="1:9">
      <c r="A11" s="19"/>
      <c r="B11" s="21"/>
      <c r="C11" s="22"/>
      <c r="D11" s="23"/>
      <c r="E11" s="41"/>
      <c r="F11" s="39">
        <v>0</v>
      </c>
      <c r="G11" s="40"/>
      <c r="H11" s="15"/>
      <c r="I11" s="45"/>
    </row>
    <row r="12" s="38" customFormat="1" ht="35" customHeight="1" spans="1:9">
      <c r="A12" s="19"/>
      <c r="B12" s="21"/>
      <c r="C12" s="22"/>
      <c r="D12" s="23"/>
      <c r="E12" s="41"/>
      <c r="F12" s="39">
        <v>0</v>
      </c>
      <c r="G12" s="40"/>
      <c r="H12" s="15"/>
      <c r="I12" s="45"/>
    </row>
    <row r="13" s="38" customFormat="1" ht="35" customHeight="1" spans="1:9">
      <c r="A13" s="19"/>
      <c r="B13" s="21"/>
      <c r="C13" s="22"/>
      <c r="D13" s="23"/>
      <c r="E13" s="41"/>
      <c r="F13" s="39">
        <v>0</v>
      </c>
      <c r="G13" s="40"/>
      <c r="H13" s="15"/>
      <c r="I13" s="45"/>
    </row>
    <row r="14" s="38" customFormat="1" ht="35" customHeight="1" spans="1:9">
      <c r="A14" s="19"/>
      <c r="B14" s="21"/>
      <c r="C14" s="22"/>
      <c r="D14" s="23"/>
      <c r="E14" s="41"/>
      <c r="F14" s="39">
        <v>0</v>
      </c>
      <c r="G14" s="40"/>
      <c r="H14" s="15"/>
      <c r="I14" s="45"/>
    </row>
    <row r="15" s="38" customFormat="1" ht="35" customHeight="1" spans="1:9">
      <c r="A15" s="19"/>
      <c r="B15" s="21"/>
      <c r="C15" s="22"/>
      <c r="D15" s="23"/>
      <c r="E15" s="41"/>
      <c r="F15" s="39">
        <v>0</v>
      </c>
      <c r="G15" s="40"/>
      <c r="H15" s="15"/>
      <c r="I15" s="45"/>
    </row>
    <row r="16" s="38" customFormat="1" ht="35" customHeight="1" spans="1:9">
      <c r="A16" s="24"/>
      <c r="B16" s="25"/>
      <c r="C16" s="26"/>
      <c r="D16" s="27" t="s">
        <v>46</v>
      </c>
      <c r="E16" s="42"/>
      <c r="F16" s="43">
        <f>SUM(F10:G15)</f>
        <v>0</v>
      </c>
      <c r="G16" s="44"/>
      <c r="H16" s="15"/>
      <c r="I16" s="45"/>
    </row>
    <row r="17" s="38" customFormat="1" ht="35" customHeight="1" spans="1:9">
      <c r="A17" s="15"/>
      <c r="B17" s="15"/>
      <c r="C17" s="15"/>
      <c r="D17" s="15"/>
      <c r="E17" s="15"/>
      <c r="F17" s="15"/>
      <c r="G17" s="15"/>
      <c r="H17" s="15"/>
      <c r="I17" s="45"/>
    </row>
    <row r="18" s="38" customFormat="1" ht="35" customHeight="1" spans="1:9">
      <c r="A18" s="15"/>
      <c r="B18" s="15"/>
      <c r="C18" s="15"/>
      <c r="D18" s="15"/>
      <c r="E18" s="15"/>
      <c r="F18" s="15"/>
      <c r="G18" s="15"/>
      <c r="H18" s="15"/>
      <c r="I18" s="45"/>
    </row>
    <row r="19" s="38" customFormat="1" ht="35" customHeight="1" spans="1:9">
      <c r="A19" s="15"/>
      <c r="B19" s="15"/>
      <c r="C19" s="15"/>
      <c r="D19" s="15"/>
      <c r="E19" s="15"/>
      <c r="F19" s="15"/>
      <c r="G19" s="15"/>
      <c r="H19" s="15"/>
      <c r="I19" s="45"/>
    </row>
    <row r="20" s="38" customFormat="1" ht="35" customHeight="1" spans="1:9">
      <c r="A20" s="16" t="str">
        <f>IF(Main!B2,TEXT(EDATE(Main!B3,7),"dd mmmm yyyy"),TEXT(Main!B3+((Main!B5-Main!B3)*7+7),"dd mmmm yyyy"))&amp;" - "&amp;IF(Main!B2,TEXT(EDATE(Main!B3,8)-1,"dd mmmm yyyy"),TEXT(Main!B3+((Main!B5-Main!B3)*8+7),"dd mmmm yyyy"))&amp;" / "&amp;" (Revenue / Deferred Debts Or Expenses)"</f>
        <v>01 December 2025 - 31 December 2025 /  (Revenue / Deferred Debts Or Expenses)</v>
      </c>
      <c r="B20" s="17"/>
      <c r="C20" s="17"/>
      <c r="D20" s="17"/>
      <c r="E20" s="17"/>
      <c r="F20" s="17"/>
      <c r="G20" s="17"/>
      <c r="H20" s="15"/>
      <c r="I20" s="45"/>
    </row>
    <row r="21" s="38" customFormat="1" ht="35" customHeight="1" spans="1:9">
      <c r="A21" s="18" t="s">
        <v>29</v>
      </c>
      <c r="B21" s="18" t="s">
        <v>43</v>
      </c>
      <c r="C21" s="18"/>
      <c r="D21" s="18" t="s">
        <v>44</v>
      </c>
      <c r="E21" s="18"/>
      <c r="F21" s="18" t="s">
        <v>45</v>
      </c>
      <c r="G21" s="18"/>
      <c r="H21" s="15"/>
      <c r="I21" s="45"/>
    </row>
    <row r="22" s="38" customFormat="1" ht="35" customHeight="1" spans="1:9">
      <c r="A22" s="19"/>
      <c r="B22" s="20"/>
      <c r="C22" s="20"/>
      <c r="D22" s="20"/>
      <c r="E22" s="20"/>
      <c r="F22" s="39">
        <v>0</v>
      </c>
      <c r="G22" s="40"/>
      <c r="H22" s="15"/>
      <c r="I22" s="45"/>
    </row>
    <row r="23" s="38" customFormat="1" ht="35" customHeight="1" spans="1:9">
      <c r="A23" s="19"/>
      <c r="B23" s="21"/>
      <c r="C23" s="22"/>
      <c r="D23" s="23"/>
      <c r="E23" s="41"/>
      <c r="F23" s="39">
        <v>0</v>
      </c>
      <c r="G23" s="40"/>
      <c r="H23" s="15"/>
      <c r="I23" s="45"/>
    </row>
    <row r="24" s="38" customFormat="1" ht="35" customHeight="1" spans="1:9">
      <c r="A24" s="19"/>
      <c r="B24" s="21"/>
      <c r="C24" s="22"/>
      <c r="D24" s="23"/>
      <c r="E24" s="41"/>
      <c r="F24" s="39">
        <v>0</v>
      </c>
      <c r="G24" s="40"/>
      <c r="H24" s="15"/>
      <c r="I24" s="45"/>
    </row>
    <row r="25" s="38" customFormat="1" ht="35" customHeight="1" spans="1:9">
      <c r="A25" s="19"/>
      <c r="B25" s="21"/>
      <c r="C25" s="22"/>
      <c r="D25" s="23"/>
      <c r="E25" s="41"/>
      <c r="F25" s="39">
        <v>0</v>
      </c>
      <c r="G25" s="40"/>
      <c r="H25" s="15"/>
      <c r="I25" s="45"/>
    </row>
    <row r="26" s="38" customFormat="1" ht="35" customHeight="1" spans="1:9">
      <c r="A26" s="19"/>
      <c r="B26" s="21"/>
      <c r="C26" s="22"/>
      <c r="D26" s="23"/>
      <c r="E26" s="41"/>
      <c r="F26" s="39">
        <v>0</v>
      </c>
      <c r="G26" s="40"/>
      <c r="H26" s="15"/>
      <c r="I26" s="45"/>
    </row>
    <row r="27" s="38" customFormat="1" ht="35" customHeight="1" spans="1:9">
      <c r="A27" s="19"/>
      <c r="B27" s="21"/>
      <c r="C27" s="22"/>
      <c r="D27" s="23"/>
      <c r="E27" s="41"/>
      <c r="F27" s="39">
        <v>0</v>
      </c>
      <c r="G27" s="40"/>
      <c r="H27" s="15"/>
      <c r="I27" s="45"/>
    </row>
    <row r="28" s="38" customFormat="1" ht="35" customHeight="1" spans="1:9">
      <c r="A28" s="24"/>
      <c r="B28" s="25"/>
      <c r="C28" s="26"/>
      <c r="D28" s="27" t="s">
        <v>46</v>
      </c>
      <c r="E28" s="42"/>
      <c r="F28" s="43">
        <f>SUM(F22:G27)</f>
        <v>0</v>
      </c>
      <c r="G28" s="44"/>
      <c r="H28" s="15"/>
      <c r="I28" s="45"/>
    </row>
    <row r="29" s="38" customFormat="1" ht="35" customHeight="1" spans="1:9">
      <c r="A29" s="15"/>
      <c r="B29" s="15"/>
      <c r="C29" s="15"/>
      <c r="D29" s="15"/>
      <c r="E29" s="15"/>
      <c r="F29" s="15"/>
      <c r="G29" s="15"/>
      <c r="H29" s="15"/>
      <c r="I29" s="45"/>
    </row>
    <row r="30" s="38" customFormat="1" ht="35" customHeight="1" spans="1:9">
      <c r="A30" s="15"/>
      <c r="B30" s="15"/>
      <c r="C30" s="15"/>
      <c r="D30" s="15"/>
      <c r="E30" s="15"/>
      <c r="F30" s="15"/>
      <c r="G30" s="15"/>
      <c r="H30" s="15"/>
      <c r="I30" s="45"/>
    </row>
    <row r="31" s="38" customFormat="1" ht="35" customHeight="1" spans="1:9">
      <c r="A31" s="15"/>
      <c r="B31" s="15"/>
      <c r="C31" s="15"/>
      <c r="D31" s="15"/>
      <c r="E31" s="15"/>
      <c r="F31" s="15"/>
      <c r="G31" s="15"/>
      <c r="H31" s="15"/>
      <c r="I31" s="45"/>
    </row>
    <row r="32" s="38" customFormat="1" ht="35" customHeight="1" spans="1:9">
      <c r="A32" s="16" t="str">
        <f>IF(Main!B2,TEXT(EDATE(Main!B3,8),"dd mmmm yyyy"),TEXT(Main!B3+((Main!B5-Main!B3)*8+8),"dd mmmm yyyy"))&amp;" - "&amp;IF(Main!B2,TEXT(EDATE(Main!B3,9)-1,"dd mmmm yyyy"),TEXT(Main!B3+((Main!B5-Main!B3)*9+8),"dd mmmm yyyy"))&amp;" / "&amp;" (Revenue / Deferred Debts Or Expenses)"</f>
        <v>01 January 2026 - 31 January 2026 /  (Revenue / Deferred Debts Or Expenses)</v>
      </c>
      <c r="B32" s="17"/>
      <c r="C32" s="17"/>
      <c r="D32" s="17"/>
      <c r="E32" s="17"/>
      <c r="F32" s="17"/>
      <c r="G32" s="17"/>
      <c r="H32" s="15"/>
      <c r="I32" s="45"/>
    </row>
    <row r="33" s="38" customFormat="1" ht="35" customHeight="1" spans="1:9">
      <c r="A33" s="18" t="s">
        <v>29</v>
      </c>
      <c r="B33" s="18" t="s">
        <v>43</v>
      </c>
      <c r="C33" s="18"/>
      <c r="D33" s="18" t="s">
        <v>44</v>
      </c>
      <c r="E33" s="18"/>
      <c r="F33" s="18" t="s">
        <v>45</v>
      </c>
      <c r="G33" s="18"/>
      <c r="H33" s="15"/>
      <c r="I33" s="45"/>
    </row>
    <row r="34" s="38" customFormat="1" ht="35" customHeight="1" spans="1:9">
      <c r="A34" s="19"/>
      <c r="B34" s="20"/>
      <c r="C34" s="20"/>
      <c r="D34" s="20"/>
      <c r="E34" s="20"/>
      <c r="F34" s="39">
        <v>0</v>
      </c>
      <c r="G34" s="40"/>
      <c r="H34" s="15"/>
      <c r="I34" s="45"/>
    </row>
    <row r="35" s="38" customFormat="1" ht="35" customHeight="1" spans="1:9">
      <c r="A35" s="19"/>
      <c r="B35" s="21"/>
      <c r="C35" s="22"/>
      <c r="D35" s="23"/>
      <c r="E35" s="41"/>
      <c r="F35" s="39">
        <v>0</v>
      </c>
      <c r="G35" s="40"/>
      <c r="H35" s="15"/>
      <c r="I35" s="45"/>
    </row>
    <row r="36" s="38" customFormat="1" ht="35" customHeight="1" spans="1:9">
      <c r="A36" s="19"/>
      <c r="B36" s="21"/>
      <c r="C36" s="22"/>
      <c r="D36" s="23"/>
      <c r="E36" s="41"/>
      <c r="F36" s="39">
        <v>0</v>
      </c>
      <c r="G36" s="40"/>
      <c r="H36" s="15"/>
      <c r="I36" s="45"/>
    </row>
    <row r="37" s="38" customFormat="1" ht="35" customHeight="1" spans="1:9">
      <c r="A37" s="19"/>
      <c r="B37" s="21"/>
      <c r="C37" s="22"/>
      <c r="D37" s="23"/>
      <c r="E37" s="41"/>
      <c r="F37" s="39">
        <v>0</v>
      </c>
      <c r="G37" s="40"/>
      <c r="H37" s="15"/>
      <c r="I37" s="45"/>
    </row>
    <row r="38" s="38" customFormat="1" ht="35" customHeight="1" spans="1:9">
      <c r="A38" s="19"/>
      <c r="B38" s="21"/>
      <c r="C38" s="22"/>
      <c r="D38" s="23"/>
      <c r="E38" s="41"/>
      <c r="F38" s="39">
        <v>0</v>
      </c>
      <c r="G38" s="40"/>
      <c r="H38" s="15"/>
      <c r="I38" s="45"/>
    </row>
    <row r="39" s="38" customFormat="1" ht="35" customHeight="1" spans="1:9">
      <c r="A39" s="19"/>
      <c r="B39" s="21"/>
      <c r="C39" s="22"/>
      <c r="D39" s="23"/>
      <c r="E39" s="41"/>
      <c r="F39" s="39">
        <v>0</v>
      </c>
      <c r="G39" s="40"/>
      <c r="H39" s="15"/>
      <c r="I39" s="45"/>
    </row>
    <row r="40" s="38" customFormat="1" ht="35" customHeight="1" spans="1:9">
      <c r="A40" s="24"/>
      <c r="B40" s="25"/>
      <c r="C40" s="26"/>
      <c r="D40" s="27" t="s">
        <v>46</v>
      </c>
      <c r="E40" s="42"/>
      <c r="F40" s="43">
        <f>SUM(F34:G39)</f>
        <v>0</v>
      </c>
      <c r="G40" s="44"/>
      <c r="H40" s="15"/>
      <c r="I40" s="45"/>
    </row>
    <row r="41" s="38" customFormat="1" ht="35" customHeight="1" spans="1:9">
      <c r="A41" s="15"/>
      <c r="B41" s="15"/>
      <c r="C41" s="15"/>
      <c r="D41" s="15"/>
      <c r="E41" s="15"/>
      <c r="F41" s="15"/>
      <c r="G41" s="15"/>
      <c r="H41" s="15"/>
      <c r="I41" s="45"/>
    </row>
    <row r="42" s="38" customFormat="1" ht="35" customHeight="1" spans="1:9">
      <c r="A42" s="15"/>
      <c r="B42" s="15"/>
      <c r="C42" s="15"/>
      <c r="D42" s="15"/>
      <c r="E42" s="15"/>
      <c r="F42" s="15"/>
      <c r="G42" s="15"/>
      <c r="H42" s="15"/>
      <c r="I42" s="45"/>
    </row>
    <row r="43" s="38" customFormat="1" ht="35" customHeight="1" spans="1:9">
      <c r="A43" s="15"/>
      <c r="B43" s="15"/>
      <c r="C43" s="15"/>
      <c r="D43" s="15"/>
      <c r="E43" s="15"/>
      <c r="F43" s="15"/>
      <c r="G43" s="15"/>
      <c r="H43" s="15"/>
      <c r="I43" s="45"/>
    </row>
    <row r="44" s="38" customFormat="1" ht="35" customHeight="1" spans="1:9">
      <c r="A44" s="28" t="str">
        <f>"Fixed Expense For the Year "&amp;IF(Main!B2,TEXT(EDATE(Main!B3,6),"mmmm yyyy"),TEXT(Main!B3+((Main!B5-Main!B3)*6+6),"mmmm yyyy"))&amp;" to "&amp;IF(Main!B2,TEXT(EDATE(Main!B3,9)-1,"mmmm yyyy"),TEXT(Main!B3+((Main!B5-Main!B3)*9+8),"mmmm yyyy"))</f>
        <v>Fixed Expense For the Year November 2025 to January 2026</v>
      </c>
      <c r="B44" s="29"/>
      <c r="C44" s="30"/>
      <c r="D44" s="15"/>
      <c r="E44" s="15"/>
      <c r="F44" s="15"/>
      <c r="G44" s="15"/>
      <c r="H44" s="15"/>
      <c r="I44" s="45"/>
    </row>
    <row r="45" s="38" customFormat="1" ht="35" customHeight="1" spans="1:9">
      <c r="A45" s="2" t="s">
        <v>43</v>
      </c>
      <c r="B45" s="2" t="s">
        <v>44</v>
      </c>
      <c r="C45" s="2" t="s">
        <v>45</v>
      </c>
      <c r="D45" s="15"/>
      <c r="E45" s="15"/>
      <c r="F45" s="15"/>
      <c r="G45" s="15"/>
      <c r="H45" s="15"/>
      <c r="I45" s="45"/>
    </row>
    <row r="46" s="38" customFormat="1" ht="35" customHeight="1" spans="1:9">
      <c r="A46" s="31" t="s">
        <v>47</v>
      </c>
      <c r="B46" s="32"/>
      <c r="C46" s="33"/>
      <c r="D46" s="15"/>
      <c r="E46" s="15"/>
      <c r="F46" s="15"/>
      <c r="G46" s="15"/>
      <c r="H46" s="15"/>
      <c r="I46" s="45"/>
    </row>
    <row r="47" s="38" customFormat="1" ht="35" customHeight="1" spans="1:9">
      <c r="A47" s="34" t="str" cm="1">
        <f ca="1" t="array" ref="A47">IF((INDIRECT("'"&amp;INDIRECT("Main!B9")&amp;"'!A61"))=0,"",(INDIRECT("'"&amp;INDIRECT("Main!B9")&amp;"'!A61")))</f>
        <v/>
      </c>
      <c r="B47" s="34" t="str" cm="1">
        <f ca="1" t="array" ref="B47">IF((INDIRECT("'"&amp;INDIRECT("Main!B9")&amp;"'!B61"))=0,"",(INDIRECT("'"&amp;INDIRECT("Main!B9")&amp;"'!B61")))</f>
        <v/>
      </c>
      <c r="C47" s="35">
        <v>0</v>
      </c>
      <c r="D47" s="15"/>
      <c r="E47" s="15"/>
      <c r="F47" s="15"/>
      <c r="G47" s="15"/>
      <c r="H47" s="15"/>
      <c r="I47" s="45"/>
    </row>
    <row r="48" s="38" customFormat="1" ht="35" customHeight="1" spans="1:9">
      <c r="A48" s="34" t="str" cm="1">
        <f ca="1" t="array" ref="A48">IF((INDIRECT("'"&amp;INDIRECT("Main!B9")&amp;"'!A62"))=0,"",(INDIRECT("'"&amp;INDIRECT("Main!B9")&amp;"'!A62")))</f>
        <v/>
      </c>
      <c r="B48" s="34" t="str" cm="1">
        <f ca="1" t="array" ref="B48">IF((INDIRECT("'"&amp;INDIRECT("Main!B9")&amp;"'!B62"))=0,"",(INDIRECT("'"&amp;INDIRECT("Main!B9")&amp;"'!B62")))</f>
        <v/>
      </c>
      <c r="C48" s="35">
        <v>0</v>
      </c>
      <c r="D48" s="15"/>
      <c r="E48" s="15"/>
      <c r="F48" s="15"/>
      <c r="G48" s="15"/>
      <c r="H48" s="15"/>
      <c r="I48" s="45"/>
    </row>
    <row r="49" s="38" customFormat="1" ht="35" customHeight="1" spans="1:9">
      <c r="A49" s="34" t="str" cm="1">
        <f ca="1" t="array" ref="A49">IF((INDIRECT("'"&amp;INDIRECT("Main!B9")&amp;"'!A63"))=0,"",(INDIRECT("'"&amp;INDIRECT("Main!B9")&amp;"'!A63")))</f>
        <v/>
      </c>
      <c r="B49" s="34" t="str" cm="1">
        <f ca="1" t="array" ref="B49">IF((INDIRECT("'"&amp;INDIRECT("Main!B9")&amp;"'!B63"))=0,"",(INDIRECT("'"&amp;INDIRECT("Main!B9")&amp;"'!B63")))</f>
        <v/>
      </c>
      <c r="C49" s="35">
        <v>0</v>
      </c>
      <c r="D49" s="15"/>
      <c r="E49" s="15"/>
      <c r="F49" s="15"/>
      <c r="G49" s="15"/>
      <c r="H49" s="15"/>
      <c r="I49" s="45"/>
    </row>
    <row r="50" s="38" customFormat="1" ht="35" customHeight="1" spans="1:9">
      <c r="A50" s="34" t="str" cm="1">
        <f ca="1" t="array" ref="A50">IF((INDIRECT("'"&amp;INDIRECT("Main!B9")&amp;"'!A64"))=0,"",(INDIRECT("'"&amp;INDIRECT("Main!B9")&amp;"'!A64")))</f>
        <v/>
      </c>
      <c r="B50" s="34" t="str" cm="1">
        <f ca="1" t="array" ref="B50">IF((INDIRECT("'"&amp;INDIRECT("Main!B9")&amp;"'!B64"))=0,"",(INDIRECT("'"&amp;INDIRECT("Main!B9")&amp;"'!B64")))</f>
        <v/>
      </c>
      <c r="C50" s="35">
        <v>0</v>
      </c>
      <c r="D50" s="15"/>
      <c r="E50" s="15"/>
      <c r="F50" s="15"/>
      <c r="G50" s="15"/>
      <c r="H50" s="15"/>
      <c r="I50" s="45"/>
    </row>
    <row r="51" s="38" customFormat="1" ht="35" customHeight="1" spans="1:9">
      <c r="A51" s="34" t="str" cm="1">
        <f ca="1" t="array" ref="A51">IF((INDIRECT("'"&amp;INDIRECT("Main!B9")&amp;"'!A65"))=0,"",(INDIRECT("'"&amp;INDIRECT("Main!B9")&amp;"'!A65")))</f>
        <v/>
      </c>
      <c r="B51" s="34" t="str" cm="1">
        <f ca="1" t="array" ref="B51">IF((INDIRECT("'"&amp;INDIRECT("Main!B9")&amp;"'!B65"))=0,"",(INDIRECT("'"&amp;INDIRECT("Main!B9")&amp;"'!B65")))</f>
        <v/>
      </c>
      <c r="C51" s="35">
        <v>0</v>
      </c>
      <c r="D51" s="15"/>
      <c r="E51" s="15"/>
      <c r="F51" s="15"/>
      <c r="G51" s="15"/>
      <c r="H51" s="15"/>
      <c r="I51" s="45"/>
    </row>
    <row r="52" s="38" customFormat="1" ht="35" customHeight="1" spans="1:9">
      <c r="A52" s="34" t="str" cm="1">
        <f ca="1" t="array" ref="A52">IF((INDIRECT("'"&amp;INDIRECT("Main!B9")&amp;"'!A66"))=0,"",(INDIRECT("'"&amp;INDIRECT("Main!B9")&amp;"'!A66")))</f>
        <v/>
      </c>
      <c r="B52" s="34" t="str" cm="1">
        <f ca="1" t="array" ref="B52">IF((INDIRECT("'"&amp;INDIRECT("Main!B9")&amp;"'!B66"))=0,"",(INDIRECT("'"&amp;INDIRECT("Main!B9")&amp;"'!B66")))</f>
        <v/>
      </c>
      <c r="C52" s="35">
        <v>0</v>
      </c>
      <c r="D52" s="15"/>
      <c r="E52" s="15"/>
      <c r="F52" s="15"/>
      <c r="G52" s="15"/>
      <c r="H52" s="15"/>
      <c r="I52" s="45"/>
    </row>
    <row r="53" s="38" customFormat="1" ht="35" customHeight="1" spans="1:9">
      <c r="A53" s="34" t="str" cm="1">
        <f ca="1" t="array" ref="A53">IF((INDIRECT("'"&amp;INDIRECT("Main!B9")&amp;"'!A67"))=0,"",(INDIRECT("'"&amp;INDIRECT("Main!B9")&amp;"'!A67")))</f>
        <v/>
      </c>
      <c r="B53" s="34" t="str" cm="1">
        <f ca="1" t="array" ref="B53">IF((INDIRECT("'"&amp;INDIRECT("Main!B9")&amp;"'!B67"))=0,"",(INDIRECT("'"&amp;INDIRECT("Main!B9")&amp;"'!B67")))</f>
        <v/>
      </c>
      <c r="C53" s="35">
        <v>0</v>
      </c>
      <c r="D53" s="15"/>
      <c r="E53" s="15"/>
      <c r="F53" s="15"/>
      <c r="G53" s="15"/>
      <c r="H53" s="15"/>
      <c r="I53" s="45"/>
    </row>
    <row r="54" s="38" customFormat="1" ht="35" customHeight="1" spans="1:9">
      <c r="A54" s="34" t="str" cm="1">
        <f ca="1" t="array" ref="A54">IF((INDIRECT("'"&amp;INDIRECT("Main!B9")&amp;"'!A68"))=0,"",(INDIRECT("'"&amp;INDIRECT("Main!B9")&amp;"'!A68")))</f>
        <v/>
      </c>
      <c r="B54" s="34" t="str" cm="1">
        <f ca="1" t="array" ref="B54">IF((INDIRECT("'"&amp;INDIRECT("Main!B9")&amp;"'!B68"))=0,"",(INDIRECT("'"&amp;INDIRECT("Main!B9")&amp;"'!B68")))</f>
        <v/>
      </c>
      <c r="C54" s="35">
        <v>0</v>
      </c>
      <c r="D54" s="15"/>
      <c r="E54" s="15"/>
      <c r="F54" s="15"/>
      <c r="G54" s="15"/>
      <c r="H54" s="15"/>
      <c r="I54" s="45"/>
    </row>
    <row r="55" s="38" customFormat="1" ht="35" customHeight="1" spans="1:9">
      <c r="A55" s="36"/>
      <c r="B55" s="37" t="s">
        <v>48</v>
      </c>
      <c r="C55" s="35">
        <f>SUM(C47:C54)</f>
        <v>0</v>
      </c>
      <c r="D55" s="15"/>
      <c r="E55" s="15"/>
      <c r="F55" s="15"/>
      <c r="G55" s="15"/>
      <c r="H55" s="15"/>
      <c r="I55" s="45"/>
    </row>
    <row r="56" s="38" customFormat="1" ht="35" customHeight="1" spans="1:9">
      <c r="A56" s="83" t="s">
        <v>49</v>
      </c>
      <c r="B56" s="84"/>
      <c r="C56" s="85"/>
      <c r="D56" s="15"/>
      <c r="E56" s="15"/>
      <c r="F56" s="15"/>
      <c r="G56" s="15"/>
      <c r="H56" s="15"/>
      <c r="I56" s="45"/>
    </row>
    <row r="57" s="38" customFormat="1" ht="35" customHeight="1" spans="1:9">
      <c r="A57" s="34" t="str" cm="1">
        <f ca="1" t="array" ref="A57">IF((INDIRECT("'"&amp;INDIRECT("Main!B9")&amp;"'!A71"))=0,"",(INDIRECT("'"&amp;INDIRECT("Main!B9")&amp;"'!A71")))</f>
        <v/>
      </c>
      <c r="B57" s="34" t="str" cm="1">
        <f ca="1" t="array" ref="B57">IF((INDIRECT("'"&amp;INDIRECT("Main!B9")&amp;"'!B71"))=0,"",(INDIRECT("'"&amp;INDIRECT("Main!B9")&amp;"'!B71")))</f>
        <v/>
      </c>
      <c r="C57" s="35">
        <v>0</v>
      </c>
      <c r="D57" s="15"/>
      <c r="E57" s="15"/>
      <c r="F57" s="15"/>
      <c r="G57" s="15"/>
      <c r="H57" s="15"/>
      <c r="I57" s="45"/>
    </row>
    <row r="58" s="38" customFormat="1" ht="35" customHeight="1" spans="1:9">
      <c r="A58" s="34" t="str" cm="1">
        <f ca="1" t="array" ref="A58">IF((INDIRECT("'"&amp;INDIRECT("Main!B9")&amp;"'!A72"))=0,"",(INDIRECT("'"&amp;INDIRECT("Main!B9")&amp;"'!A72")))</f>
        <v/>
      </c>
      <c r="B58" s="34" t="str" cm="1">
        <f ca="1" t="array" ref="B58">IF((INDIRECT("'"&amp;INDIRECT("Main!B9")&amp;"'!B72"))=0,"",(INDIRECT("'"&amp;INDIRECT("Main!B9")&amp;"'!B72")))</f>
        <v/>
      </c>
      <c r="C58" s="35">
        <v>0</v>
      </c>
      <c r="D58" s="15"/>
      <c r="E58" s="15"/>
      <c r="F58" s="15"/>
      <c r="G58" s="15"/>
      <c r="H58" s="15"/>
      <c r="I58" s="45"/>
    </row>
    <row r="59" s="38" customFormat="1" ht="35" customHeight="1" spans="1:9">
      <c r="A59" s="34" t="str" cm="1">
        <f ca="1" t="array" ref="A59">IF((INDIRECT("'"&amp;INDIRECT("Main!B9")&amp;"'!A73"))=0,"",(INDIRECT("'"&amp;INDIRECT("Main!B9")&amp;"'!A73")))</f>
        <v/>
      </c>
      <c r="B59" s="34" t="str" cm="1">
        <f ca="1" t="array" ref="B59">IF((INDIRECT("'"&amp;INDIRECT("Main!B9")&amp;"'!B73"))=0,"",(INDIRECT("'"&amp;INDIRECT("Main!B9")&amp;"'!B73")))</f>
        <v/>
      </c>
      <c r="C59" s="35">
        <v>0</v>
      </c>
      <c r="D59" s="15"/>
      <c r="E59" s="15"/>
      <c r="F59" s="15"/>
      <c r="G59" s="15"/>
      <c r="H59" s="15"/>
      <c r="I59" s="45"/>
    </row>
    <row r="60" s="38" customFormat="1" ht="35" customHeight="1" spans="1:9">
      <c r="A60" s="34" t="str" cm="1">
        <f ca="1" t="array" ref="A60">IF((INDIRECT("'"&amp;INDIRECT("Main!B9")&amp;"'!A74"))=0,"",(INDIRECT("'"&amp;INDIRECT("Main!B9")&amp;"'!A74")))</f>
        <v/>
      </c>
      <c r="B60" s="34" t="str" cm="1">
        <f ca="1" t="array" ref="B60">IF((INDIRECT("'"&amp;INDIRECT("Main!B9")&amp;"'!B74"))=0,"",(INDIRECT("'"&amp;INDIRECT("Main!B9")&amp;"'!B74")))</f>
        <v/>
      </c>
      <c r="C60" s="35">
        <v>0</v>
      </c>
      <c r="D60" s="15"/>
      <c r="E60" s="15"/>
      <c r="F60" s="15"/>
      <c r="G60" s="15"/>
      <c r="H60" s="15"/>
      <c r="I60" s="45"/>
    </row>
    <row r="61" s="38" customFormat="1" ht="35" customHeight="1" spans="1:9">
      <c r="A61" s="34" t="str" cm="1">
        <f ca="1" t="array" ref="A61">IF((INDIRECT("'"&amp;INDIRECT("Main!B9")&amp;"'!A75"))=0,"",(INDIRECT("'"&amp;INDIRECT("Main!B9")&amp;"'!A75")))</f>
        <v/>
      </c>
      <c r="B61" s="34" t="str" cm="1">
        <f ca="1" t="array" ref="B61">IF((INDIRECT("'"&amp;INDIRECT("Main!B9")&amp;"'!B75"))=0,"",(INDIRECT("'"&amp;INDIRECT("Main!B9")&amp;"'!B75")))</f>
        <v/>
      </c>
      <c r="C61" s="35">
        <v>0</v>
      </c>
      <c r="D61" s="15"/>
      <c r="E61" s="15"/>
      <c r="F61" s="15"/>
      <c r="G61" s="15"/>
      <c r="H61" s="15"/>
      <c r="I61" s="45"/>
    </row>
    <row r="62" s="38" customFormat="1" ht="35" customHeight="1" spans="1:9">
      <c r="A62" s="34" t="str" cm="1">
        <f ca="1" t="array" ref="A62">IF((INDIRECT("'"&amp;INDIRECT("Main!B9")&amp;"'!A76"))=0,"",(INDIRECT("'"&amp;INDIRECT("Main!B9")&amp;"'!A76")))</f>
        <v/>
      </c>
      <c r="B62" s="34" t="str" cm="1">
        <f ca="1" t="array" ref="B62">IF((INDIRECT("'"&amp;INDIRECT("Main!B9")&amp;"'!B76"))=0,"",(INDIRECT("'"&amp;INDIRECT("Main!B9")&amp;"'!B76")))</f>
        <v/>
      </c>
      <c r="C62" s="35">
        <v>0</v>
      </c>
      <c r="D62" s="15"/>
      <c r="E62" s="15"/>
      <c r="F62" s="15"/>
      <c r="G62" s="15"/>
      <c r="H62" s="15"/>
      <c r="I62" s="45"/>
    </row>
    <row r="63" s="38" customFormat="1" ht="35" customHeight="1" spans="1:9">
      <c r="A63" s="34" t="str" cm="1">
        <f ca="1" t="array" ref="A63">IF((INDIRECT("'"&amp;INDIRECT("Main!B9")&amp;"'!A77"))=0,"",(INDIRECT("'"&amp;INDIRECT("Main!B9")&amp;"'!A77")))</f>
        <v/>
      </c>
      <c r="B63" s="34" t="str" cm="1">
        <f ca="1" t="array" ref="B63">IF((INDIRECT("'"&amp;INDIRECT("Main!B9")&amp;"'!B77"))=0,"",(INDIRECT("'"&amp;INDIRECT("Main!B9")&amp;"'!B77")))</f>
        <v/>
      </c>
      <c r="C63" s="35">
        <v>0</v>
      </c>
      <c r="D63" s="15"/>
      <c r="E63" s="15"/>
      <c r="F63" s="15"/>
      <c r="G63" s="15"/>
      <c r="H63" s="15"/>
      <c r="I63" s="45"/>
    </row>
    <row r="64" s="38" customFormat="1" ht="35" customHeight="1" spans="1:9">
      <c r="A64" s="34" t="str" cm="1">
        <f ca="1" t="array" ref="A64">IF((INDIRECT("'"&amp;INDIRECT("Main!B9")&amp;"'!A78"))=0,"",(INDIRECT("'"&amp;INDIRECT("Main!B9")&amp;"'!A78")))</f>
        <v/>
      </c>
      <c r="B64" s="34" t="str" cm="1">
        <f ca="1" t="array" ref="B64">IF((INDIRECT("'"&amp;INDIRECT("Main!B9")&amp;"'!B78"))=0,"",(INDIRECT("'"&amp;INDIRECT("Main!B9")&amp;"'!B78")))</f>
        <v/>
      </c>
      <c r="C64" s="35">
        <v>0</v>
      </c>
      <c r="D64" s="15"/>
      <c r="E64" s="15"/>
      <c r="F64" s="15"/>
      <c r="G64" s="15"/>
      <c r="H64" s="15"/>
      <c r="I64" s="45"/>
    </row>
    <row r="65" s="38" customFormat="1" ht="35" customHeight="1" spans="1:9">
      <c r="A65" s="34" t="str" cm="1">
        <f ca="1" t="array" ref="A65">IF((INDIRECT("'"&amp;INDIRECT("Main!B9")&amp;"'!A79"))=0,"",(INDIRECT("'"&amp;INDIRECT("Main!B9")&amp;"'!A79")))</f>
        <v/>
      </c>
      <c r="B65" s="34" t="str" cm="1">
        <f ca="1" t="array" ref="B65">IF((INDIRECT("'"&amp;INDIRECT("Main!B9")&amp;"'!B79"))=0,"",(INDIRECT("'"&amp;INDIRECT("Main!B9")&amp;"'!B79")))</f>
        <v/>
      </c>
      <c r="C65" s="35">
        <v>0</v>
      </c>
      <c r="D65" s="15"/>
      <c r="E65" s="15"/>
      <c r="F65" s="15"/>
      <c r="G65" s="15"/>
      <c r="H65" s="15"/>
      <c r="I65" s="45"/>
    </row>
    <row r="66" s="38" customFormat="1" ht="35" customHeight="1" spans="1:9">
      <c r="A66" s="46"/>
      <c r="B66" s="37" t="s">
        <v>48</v>
      </c>
      <c r="C66" s="35">
        <f>SUM(C57:C65)</f>
        <v>0</v>
      </c>
      <c r="D66" s="15"/>
      <c r="E66" s="15"/>
      <c r="F66" s="15"/>
      <c r="G66" s="15"/>
      <c r="H66" s="15"/>
      <c r="I66" s="45"/>
    </row>
    <row r="67" s="38" customFormat="1" ht="35" customHeight="1" spans="1:9">
      <c r="A67" s="83" t="s">
        <v>50</v>
      </c>
      <c r="B67" s="84"/>
      <c r="C67" s="85"/>
      <c r="D67" s="15"/>
      <c r="E67" s="15"/>
      <c r="F67" s="15"/>
      <c r="G67" s="15"/>
      <c r="H67" s="15"/>
      <c r="I67" s="45"/>
    </row>
    <row r="68" s="38" customFormat="1" ht="35" customHeight="1" spans="1:9">
      <c r="A68" s="47" t="str" cm="1">
        <f ca="1" t="array" ref="A68">IF((INDIRECT("'"&amp;INDIRECT("Main!B9")&amp;"'!A82"))=0,"",(INDIRECT("'"&amp;INDIRECT("Main!B9")&amp;"'!A82")))</f>
        <v/>
      </c>
      <c r="B68" s="47" t="str" cm="1">
        <f ca="1" t="array" ref="B68">IF((INDIRECT("'"&amp;INDIRECT("Main!B9")&amp;"'!B82"))=0,"",(INDIRECT("'"&amp;INDIRECT("Main!B9")&amp;"'!B82")))</f>
        <v/>
      </c>
      <c r="C68" s="35">
        <v>0</v>
      </c>
      <c r="D68" s="15"/>
      <c r="E68" s="15"/>
      <c r="F68" s="15"/>
      <c r="G68" s="15"/>
      <c r="H68" s="15"/>
      <c r="I68" s="45"/>
    </row>
    <row r="69" s="38" customFormat="1" ht="35" customHeight="1" spans="1:9">
      <c r="A69" s="47" t="str" cm="1">
        <f ca="1" t="array" ref="A69">IF((INDIRECT("'"&amp;INDIRECT("Main!B9")&amp;"'!A83"))=0,"",(INDIRECT("'"&amp;INDIRECT("Main!B9")&amp;"'!A83")))</f>
        <v/>
      </c>
      <c r="B69" s="47" t="str" cm="1">
        <f ca="1" t="array" ref="B69">IF((INDIRECT("'"&amp;INDIRECT("Main!B9")&amp;"'!B83"))=0,"",(INDIRECT("'"&amp;INDIRECT("Main!B9")&amp;"'!B83")))</f>
        <v/>
      </c>
      <c r="C69" s="35">
        <v>0</v>
      </c>
      <c r="D69" s="15"/>
      <c r="E69" s="15"/>
      <c r="F69" s="15"/>
      <c r="G69" s="15"/>
      <c r="H69" s="15"/>
      <c r="I69" s="45"/>
    </row>
    <row r="70" s="38" customFormat="1" ht="35" customHeight="1" spans="1:9">
      <c r="A70" s="47" t="str" cm="1">
        <f ca="1" t="array" ref="A70">IF((INDIRECT("'"&amp;INDIRECT("Main!B9")&amp;"'!A84"))=0,"",(INDIRECT("'"&amp;INDIRECT("Main!B9")&amp;"'!A84")))</f>
        <v/>
      </c>
      <c r="B70" s="47" t="str" cm="1">
        <f ca="1" t="array" ref="B70">IF((INDIRECT("'"&amp;INDIRECT("Main!B9")&amp;"'!B84"))=0,"",(INDIRECT("'"&amp;INDIRECT("Main!B9")&amp;"'!B84")))</f>
        <v/>
      </c>
      <c r="C70" s="35">
        <v>0</v>
      </c>
      <c r="D70" s="15"/>
      <c r="E70" s="15"/>
      <c r="F70" s="15"/>
      <c r="G70" s="15"/>
      <c r="H70" s="15"/>
      <c r="I70" s="45"/>
    </row>
    <row r="71" s="38" customFormat="1" ht="35" customHeight="1" spans="1:9">
      <c r="A71" s="47" t="str" cm="1">
        <f ca="1" t="array" ref="A71">IF((INDIRECT("'"&amp;INDIRECT("Main!B9")&amp;"'!A85"))=0,"",(INDIRECT("'"&amp;INDIRECT("Main!B9")&amp;"'!A85")))</f>
        <v/>
      </c>
      <c r="B71" s="47" t="str" cm="1">
        <f ca="1" t="array" ref="B71">IF((INDIRECT("'"&amp;INDIRECT("Main!B9")&amp;"'!B85"))=0,"",(INDIRECT("'"&amp;INDIRECT("Main!B9")&amp;"'!B85")))</f>
        <v/>
      </c>
      <c r="C71" s="35">
        <v>0</v>
      </c>
      <c r="D71" s="15"/>
      <c r="E71" s="15"/>
      <c r="F71" s="15"/>
      <c r="G71" s="15"/>
      <c r="H71" s="15"/>
      <c r="I71" s="45"/>
    </row>
    <row r="72" s="38" customFormat="1" ht="35" customHeight="1" spans="1:9">
      <c r="A72" s="47" t="str" cm="1">
        <f ca="1" t="array" ref="A72">IF((INDIRECT("'"&amp;INDIRECT("Main!B9")&amp;"'!A86"))=0,"",(INDIRECT("'"&amp;INDIRECT("Main!B9")&amp;"'!A86")))</f>
        <v/>
      </c>
      <c r="B72" s="47" t="str" cm="1">
        <f ca="1" t="array" ref="B72">IF((INDIRECT("'"&amp;INDIRECT("Main!B9")&amp;"'!B86"))=0,"",(INDIRECT("'"&amp;INDIRECT("Main!B9")&amp;"'!B86")))</f>
        <v/>
      </c>
      <c r="C72" s="35">
        <v>0</v>
      </c>
      <c r="D72" s="15"/>
      <c r="E72" s="15"/>
      <c r="F72" s="15"/>
      <c r="G72" s="15"/>
      <c r="H72" s="15"/>
      <c r="I72" s="45"/>
    </row>
    <row r="73" s="38" customFormat="1" ht="35" customHeight="1" spans="1:9">
      <c r="A73" s="47" t="str" cm="1">
        <f ca="1" t="array" ref="A73">IF((INDIRECT("'"&amp;INDIRECT("Main!B9")&amp;"'!A87"))=0,"",(INDIRECT("'"&amp;INDIRECT("Main!B9")&amp;"'!A87")))</f>
        <v/>
      </c>
      <c r="B73" s="47" t="str" cm="1">
        <f ca="1" t="array" ref="B73">IF((INDIRECT("'"&amp;INDIRECT("Main!B9")&amp;"'!B87"))=0,"",(INDIRECT("'"&amp;INDIRECT("Main!B9")&amp;"'!B87")))</f>
        <v/>
      </c>
      <c r="C73" s="35">
        <v>0</v>
      </c>
      <c r="D73" s="15"/>
      <c r="E73" s="15"/>
      <c r="F73" s="15"/>
      <c r="G73" s="15"/>
      <c r="H73" s="15"/>
      <c r="I73" s="45"/>
    </row>
    <row r="74" s="38" customFormat="1" ht="35" customHeight="1" spans="1:9">
      <c r="A74" s="47" t="str" cm="1">
        <f ca="1" t="array" ref="A74">IF((INDIRECT("'"&amp;INDIRECT("Main!B9")&amp;"'!A88"))=0,"",(INDIRECT("'"&amp;INDIRECT("Main!B9")&amp;"'!A88")))</f>
        <v/>
      </c>
      <c r="B74" s="47" t="str" cm="1">
        <f ca="1" t="array" ref="B74">IF((INDIRECT("'"&amp;INDIRECT("Main!B9")&amp;"'!B88"))=0,"",(INDIRECT("'"&amp;INDIRECT("Main!B9")&amp;"'!B88")))</f>
        <v/>
      </c>
      <c r="C74" s="35">
        <v>0</v>
      </c>
      <c r="D74" s="15"/>
      <c r="E74" s="15"/>
      <c r="F74" s="15"/>
      <c r="G74" s="15"/>
      <c r="H74" s="15"/>
      <c r="I74" s="45"/>
    </row>
    <row r="75" s="38" customFormat="1" ht="35" customHeight="1" spans="1:9">
      <c r="A75" s="46"/>
      <c r="B75" s="37" t="s">
        <v>48</v>
      </c>
      <c r="C75" s="35">
        <f>SUM(C68:C74)</f>
        <v>0</v>
      </c>
      <c r="D75" s="15"/>
      <c r="E75" s="15"/>
      <c r="F75" s="15"/>
      <c r="G75" s="15"/>
      <c r="H75" s="15"/>
      <c r="I75" s="45"/>
    </row>
    <row r="76" s="38" customFormat="1" ht="35" customHeight="1" spans="1:9">
      <c r="A76" s="83" t="s">
        <v>51</v>
      </c>
      <c r="B76" s="84"/>
      <c r="C76" s="85"/>
      <c r="D76" s="15"/>
      <c r="E76" s="15"/>
      <c r="F76" s="15"/>
      <c r="G76" s="15"/>
      <c r="H76" s="15"/>
      <c r="I76" s="45"/>
    </row>
    <row r="77" s="38" customFormat="1" ht="35" customHeight="1" spans="1:9">
      <c r="A77" s="34" t="str" cm="1">
        <f ca="1" t="array" ref="A77">IF((INDIRECT("'"&amp;INDIRECT("Main!B9")&amp;"'!A91"))=0,"",(INDIRECT("'"&amp;INDIRECT("Main!B9")&amp;"'!A91")))</f>
        <v/>
      </c>
      <c r="B77" s="34" t="str" cm="1">
        <f ca="1" t="array" ref="B77">IF((INDIRECT("'"&amp;INDIRECT("Main!B9")&amp;"'!B91"))=0,"",(INDIRECT("'"&amp;INDIRECT("Main!B9")&amp;"'!B91")))</f>
        <v/>
      </c>
      <c r="C77" s="35">
        <v>0</v>
      </c>
      <c r="D77" s="15"/>
      <c r="E77" s="15"/>
      <c r="F77" s="15"/>
      <c r="G77" s="15"/>
      <c r="H77" s="15"/>
      <c r="I77" s="45"/>
    </row>
    <row r="78" s="38" customFormat="1" ht="35" customHeight="1" spans="1:9">
      <c r="A78" s="34" t="str" cm="1">
        <f ca="1" t="array" ref="A78">IF((INDIRECT("'"&amp;INDIRECT("Main!B9")&amp;"'!A92"))=0,"",(INDIRECT("'"&amp;INDIRECT("Main!B9")&amp;"'!A92")))</f>
        <v/>
      </c>
      <c r="B78" s="34" t="str" cm="1">
        <f ca="1" t="array" ref="B78">IF((INDIRECT("'"&amp;INDIRECT("Main!B9")&amp;"'!B92"))=0,"",(INDIRECT("'"&amp;INDIRECT("Main!B9")&amp;"'!B92")))</f>
        <v/>
      </c>
      <c r="C78" s="35">
        <v>0</v>
      </c>
      <c r="D78" s="15"/>
      <c r="E78" s="15"/>
      <c r="F78" s="15"/>
      <c r="G78" s="15"/>
      <c r="H78" s="15"/>
      <c r="I78" s="45"/>
    </row>
    <row r="79" s="38" customFormat="1" ht="35" customHeight="1" spans="1:9">
      <c r="A79" s="34" t="str" cm="1">
        <f ca="1" t="array" ref="A79">IF((INDIRECT("'"&amp;INDIRECT("Main!B9")&amp;"'!A93"))=0,"",(INDIRECT("'"&amp;INDIRECT("Main!B9")&amp;"'!A93")))</f>
        <v/>
      </c>
      <c r="B79" s="34" t="str" cm="1">
        <f ca="1" t="array" ref="B79">IF((INDIRECT("'"&amp;INDIRECT("Main!B9")&amp;"'!B93"))=0,"",(INDIRECT("'"&amp;INDIRECT("Main!B9")&amp;"'!B93")))</f>
        <v/>
      </c>
      <c r="C79" s="35">
        <v>0</v>
      </c>
      <c r="D79" s="15"/>
      <c r="E79" s="15"/>
      <c r="F79" s="15"/>
      <c r="G79" s="15"/>
      <c r="H79" s="15"/>
      <c r="I79" s="45"/>
    </row>
    <row r="80" s="38" customFormat="1" ht="35" customHeight="1" spans="1:9">
      <c r="A80" s="34" t="str" cm="1">
        <f ca="1" t="array" ref="A80">IF((INDIRECT("'"&amp;INDIRECT("Main!B9")&amp;"'!A94"))=0,"",(INDIRECT("'"&amp;INDIRECT("Main!B9")&amp;"'!A94")))</f>
        <v/>
      </c>
      <c r="B80" s="34" t="str" cm="1">
        <f ca="1" t="array" ref="B80">IF((INDIRECT("'"&amp;INDIRECT("Main!B9")&amp;"'!B94"))=0,"",(INDIRECT("'"&amp;INDIRECT("Main!B9")&amp;"'!B94")))</f>
        <v/>
      </c>
      <c r="C80" s="35">
        <v>0</v>
      </c>
      <c r="D80" s="15"/>
      <c r="E80" s="15"/>
      <c r="F80" s="15"/>
      <c r="G80" s="15"/>
      <c r="H80" s="15"/>
      <c r="I80" s="45"/>
    </row>
    <row r="81" s="38" customFormat="1" ht="35" customHeight="1" spans="1:9">
      <c r="A81" s="34" t="str" cm="1">
        <f ca="1" t="array" ref="A81">IF((INDIRECT("'"&amp;INDIRECT("Main!B9")&amp;"'!A95"))=0,"",(INDIRECT("'"&amp;INDIRECT("Main!B9")&amp;"'!A95")))</f>
        <v/>
      </c>
      <c r="B81" s="34" t="str" cm="1">
        <f ca="1" t="array" ref="B81">IF((INDIRECT("'"&amp;INDIRECT("Main!B9")&amp;"'!B95"))=0,"",(INDIRECT("'"&amp;INDIRECT("Main!B9")&amp;"'!B95")))</f>
        <v/>
      </c>
      <c r="C81" s="35">
        <v>0</v>
      </c>
      <c r="D81" s="15"/>
      <c r="E81" s="15"/>
      <c r="F81" s="15"/>
      <c r="G81" s="15"/>
      <c r="H81" s="15"/>
      <c r="I81" s="45"/>
    </row>
    <row r="82" s="38" customFormat="1" ht="35" customHeight="1" spans="1:9">
      <c r="A82" s="34" t="str" cm="1">
        <f ca="1" t="array" ref="A82">IF((INDIRECT("'"&amp;INDIRECT("Main!B9")&amp;"'!A96"))=0,"",(INDIRECT("'"&amp;INDIRECT("Main!B9")&amp;"'!A96")))</f>
        <v/>
      </c>
      <c r="B82" s="34" t="str" cm="1">
        <f ca="1" t="array" ref="B82">IF((INDIRECT("'"&amp;INDIRECT("Main!B9")&amp;"'!B96"))=0,"",(INDIRECT("'"&amp;INDIRECT("Main!B9")&amp;"'!B96")))</f>
        <v/>
      </c>
      <c r="C82" s="35">
        <v>0</v>
      </c>
      <c r="D82" s="15"/>
      <c r="E82" s="15"/>
      <c r="F82" s="15"/>
      <c r="G82" s="15"/>
      <c r="H82" s="15"/>
      <c r="I82" s="45"/>
    </row>
    <row r="83" s="38" customFormat="1" ht="35" customHeight="1" spans="1:9">
      <c r="A83" s="34" t="str" cm="1">
        <f ca="1" t="array" ref="A83">IF((INDIRECT("'"&amp;INDIRECT("Main!B9")&amp;"'!A97"))=0,"",(INDIRECT("'"&amp;INDIRECT("Main!B9")&amp;"'!A97")))</f>
        <v/>
      </c>
      <c r="B83" s="34" t="str" cm="1">
        <f ca="1" t="array" ref="B83">IF((INDIRECT("'"&amp;INDIRECT("Main!B9")&amp;"'!B97"))=0,"",(INDIRECT("'"&amp;INDIRECT("Main!B9")&amp;"'!B97")))</f>
        <v/>
      </c>
      <c r="C83" s="35">
        <v>0</v>
      </c>
      <c r="D83" s="15"/>
      <c r="E83" s="15"/>
      <c r="F83" s="15"/>
      <c r="G83" s="15"/>
      <c r="H83" s="15"/>
      <c r="I83" s="45"/>
    </row>
    <row r="84" s="38" customFormat="1" ht="35" customHeight="1" spans="1:9">
      <c r="A84" s="34" t="str" cm="1">
        <f ca="1" t="array" ref="A84">IF((INDIRECT("'"&amp;INDIRECT("Main!B9")&amp;"'!A98"))=0,"",(INDIRECT("'"&amp;INDIRECT("Main!B9")&amp;"'!A98")))</f>
        <v/>
      </c>
      <c r="B84" s="34" t="str" cm="1">
        <f ca="1" t="array" ref="B84">IF((INDIRECT("'"&amp;INDIRECT("Main!B9")&amp;"'!B98"))=0,"",(INDIRECT("'"&amp;INDIRECT("Main!B9")&amp;"'!B98")))</f>
        <v/>
      </c>
      <c r="C84" s="35">
        <v>0</v>
      </c>
      <c r="D84" s="15"/>
      <c r="E84" s="15"/>
      <c r="F84" s="15"/>
      <c r="G84" s="15"/>
      <c r="H84" s="15"/>
      <c r="I84" s="45"/>
    </row>
    <row r="85" s="38" customFormat="1" ht="35" customHeight="1" spans="1:9">
      <c r="A85" s="46"/>
      <c r="B85" s="37" t="s">
        <v>48</v>
      </c>
      <c r="C85" s="35">
        <f>SUM(C77:C84)</f>
        <v>0</v>
      </c>
      <c r="D85" s="15"/>
      <c r="E85" s="15"/>
      <c r="F85" s="15"/>
      <c r="G85" s="15"/>
      <c r="H85" s="15"/>
      <c r="I85" s="45"/>
    </row>
    <row r="86" s="38" customFormat="1" ht="35" customHeight="1" spans="1:9">
      <c r="A86" s="83" t="s">
        <v>52</v>
      </c>
      <c r="B86" s="84"/>
      <c r="C86" s="85"/>
      <c r="D86" s="15"/>
      <c r="E86" s="15"/>
      <c r="F86" s="15"/>
      <c r="G86" s="15"/>
      <c r="H86" s="15"/>
      <c r="I86" s="45"/>
    </row>
    <row r="87" s="38" customFormat="1" ht="35" customHeight="1" spans="1:9">
      <c r="A87" s="34" t="str" cm="1">
        <f ca="1" t="array" ref="A87">IF((INDIRECT("'"&amp;INDIRECT("Main!B9")&amp;"'!A101"))=0,"",(INDIRECT("'"&amp;INDIRECT("Main!B9")&amp;"'!A101")))</f>
        <v/>
      </c>
      <c r="B87" s="34" t="str" cm="1">
        <f ca="1" t="array" ref="B87">IF((INDIRECT("'"&amp;INDIRECT("Main!B9")&amp;"'!B101"))=0,"",(INDIRECT("'"&amp;INDIRECT("Main!B9")&amp;"'!B101")))</f>
        <v/>
      </c>
      <c r="C87" s="35">
        <v>0</v>
      </c>
      <c r="D87" s="15"/>
      <c r="E87" s="15"/>
      <c r="F87" s="15"/>
      <c r="G87" s="15"/>
      <c r="H87" s="15"/>
      <c r="I87" s="45"/>
    </row>
    <row r="88" s="38" customFormat="1" ht="35" customHeight="1" spans="1:9">
      <c r="A88" s="34" t="str" cm="1">
        <f ca="1" t="array" ref="A88">IF((INDIRECT("'"&amp;INDIRECT("Main!B9")&amp;"'!A102"))=0,"",(INDIRECT("'"&amp;INDIRECT("Main!B9")&amp;"'!A102")))</f>
        <v/>
      </c>
      <c r="B88" s="34" t="str" cm="1">
        <f ca="1" t="array" ref="B88">IF((INDIRECT("'"&amp;INDIRECT("Main!B9")&amp;"'!B102"))=0,"",(INDIRECT("'"&amp;INDIRECT("Main!B9")&amp;"'!B102")))</f>
        <v/>
      </c>
      <c r="C88" s="35">
        <v>0</v>
      </c>
      <c r="D88" s="15"/>
      <c r="E88" s="15"/>
      <c r="F88" s="15"/>
      <c r="G88" s="15"/>
      <c r="H88" s="15"/>
      <c r="I88" s="45"/>
    </row>
    <row r="89" s="38" customFormat="1" ht="35" customHeight="1" spans="1:9">
      <c r="A89" s="34" t="str" cm="1">
        <f ca="1" t="array" ref="A89">IF((INDIRECT("'"&amp;INDIRECT("Main!B9")&amp;"'!A103"))=0,"",(INDIRECT("'"&amp;INDIRECT("Main!B9")&amp;"'!A103")))</f>
        <v/>
      </c>
      <c r="B89" s="34" t="str" cm="1">
        <f ca="1" t="array" ref="B89">IF((INDIRECT("'"&amp;INDIRECT("Main!B9")&amp;"'!B103"))=0,"",(INDIRECT("'"&amp;INDIRECT("Main!B9")&amp;"'!B103")))</f>
        <v/>
      </c>
      <c r="C89" s="35">
        <v>0</v>
      </c>
      <c r="D89" s="15"/>
      <c r="E89" s="15"/>
      <c r="F89" s="15"/>
      <c r="G89" s="15"/>
      <c r="H89" s="15"/>
      <c r="I89" s="45"/>
    </row>
    <row r="90" s="38" customFormat="1" ht="35" customHeight="1" spans="1:9">
      <c r="A90" s="34" t="str" cm="1">
        <f ca="1" t="array" ref="A90">IF((INDIRECT("'"&amp;INDIRECT("Main!B9")&amp;"'!A104"))=0,"",(INDIRECT("'"&amp;INDIRECT("Main!B9")&amp;"'!A104")))</f>
        <v/>
      </c>
      <c r="B90" s="34" t="str" cm="1">
        <f ca="1" t="array" ref="B90">IF((INDIRECT("'"&amp;INDIRECT("Main!B9")&amp;"'!B104"))=0,"",(INDIRECT("'"&amp;INDIRECT("Main!B9")&amp;"'!B104")))</f>
        <v/>
      </c>
      <c r="C90" s="35">
        <v>0</v>
      </c>
      <c r="D90" s="15"/>
      <c r="E90" s="62"/>
      <c r="F90" s="15"/>
      <c r="G90" s="15"/>
      <c r="H90" s="15"/>
      <c r="I90" s="45"/>
    </row>
    <row r="91" s="38" customFormat="1" ht="35" customHeight="1" spans="1:9">
      <c r="A91" s="34" t="str" cm="1">
        <f ca="1" t="array" ref="A91">IF((INDIRECT("'"&amp;INDIRECT("Main!B9")&amp;"'!A105"))=0,"",(INDIRECT("'"&amp;INDIRECT("Main!B9")&amp;"'!A105")))</f>
        <v/>
      </c>
      <c r="B91" s="34" t="str" cm="1">
        <f ca="1" t="array" ref="B91">IF((INDIRECT("'"&amp;INDIRECT("Main!B9")&amp;"'!B105"))=0,"",(INDIRECT("'"&amp;INDIRECT("Main!B9")&amp;"'!B105")))</f>
        <v/>
      </c>
      <c r="C91" s="35">
        <v>0</v>
      </c>
      <c r="D91" s="15"/>
      <c r="E91" s="15"/>
      <c r="F91" s="15"/>
      <c r="G91" s="15"/>
      <c r="H91" s="15"/>
      <c r="I91" s="45"/>
    </row>
    <row r="92" s="38" customFormat="1" ht="35" customHeight="1" spans="1:9">
      <c r="A92" s="34" t="str" cm="1">
        <f ca="1" t="array" ref="A92">IF((INDIRECT("'"&amp;INDIRECT("Main!B9")&amp;"'!A106"))=0,"",(INDIRECT("'"&amp;INDIRECT("Main!B9")&amp;"'!A106")))</f>
        <v/>
      </c>
      <c r="B92" s="34" t="str" cm="1">
        <f ca="1" t="array" ref="B92">IF((INDIRECT("'"&amp;INDIRECT("Main!B9")&amp;"'!B106"))=0,"",(INDIRECT("'"&amp;INDIRECT("Main!B9")&amp;"'!B106")))</f>
        <v/>
      </c>
      <c r="C92" s="35">
        <v>0</v>
      </c>
      <c r="D92" s="15"/>
      <c r="E92" s="15"/>
      <c r="F92" s="15"/>
      <c r="G92" s="15"/>
      <c r="H92" s="15"/>
      <c r="I92" s="45"/>
    </row>
    <row r="93" s="38" customFormat="1" ht="35" customHeight="1" spans="1:9">
      <c r="A93" s="34" t="str" cm="1">
        <f ca="1" t="array" ref="A93">IF((INDIRECT("'"&amp;INDIRECT("Main!B9")&amp;"'!A107"))=0,"",(INDIRECT("'"&amp;INDIRECT("Main!B9")&amp;"'!A107")))</f>
        <v/>
      </c>
      <c r="B93" s="34" t="str" cm="1">
        <f ca="1" t="array" ref="B93">IF((INDIRECT("'"&amp;INDIRECT("Main!B9")&amp;"'!B107"))=0,"",(INDIRECT("'"&amp;INDIRECT("Main!B9")&amp;"'!B107")))</f>
        <v/>
      </c>
      <c r="C93" s="35">
        <v>0</v>
      </c>
      <c r="D93" s="15"/>
      <c r="E93" s="15"/>
      <c r="F93" s="15"/>
      <c r="G93" s="15"/>
      <c r="H93" s="15"/>
      <c r="I93" s="45"/>
    </row>
    <row r="94" s="38" customFormat="1" ht="35" customHeight="1" spans="1:9">
      <c r="A94" s="34" t="str" cm="1">
        <f ca="1" t="array" ref="A94">IF((INDIRECT("'"&amp;INDIRECT("Main!B9")&amp;"'!A108"))=0,"",(INDIRECT("'"&amp;INDIRECT("Main!B9")&amp;"'!A108")))</f>
        <v/>
      </c>
      <c r="B94" s="34" t="str" cm="1">
        <f ca="1" t="array" ref="B94">IF((INDIRECT("'"&amp;INDIRECT("Main!B9")&amp;"'!B108"))=0,"",(INDIRECT("'"&amp;INDIRECT("Main!B9")&amp;"'!B108")))</f>
        <v/>
      </c>
      <c r="C94" s="35">
        <v>0</v>
      </c>
      <c r="D94" s="15"/>
      <c r="E94" s="15"/>
      <c r="F94" s="15"/>
      <c r="G94" s="15"/>
      <c r="H94" s="15"/>
      <c r="I94" s="45"/>
    </row>
    <row r="95" s="38" customFormat="1" ht="35" customHeight="1" spans="1:9">
      <c r="A95" s="47"/>
      <c r="B95" s="37" t="s">
        <v>48</v>
      </c>
      <c r="C95" s="35">
        <f>SUM(C87:C94)</f>
        <v>0</v>
      </c>
      <c r="D95" s="15"/>
      <c r="E95" s="15"/>
      <c r="F95" s="15"/>
      <c r="G95" s="15"/>
      <c r="H95" s="15"/>
      <c r="I95" s="45"/>
    </row>
    <row r="96" s="38" customFormat="1" ht="35" customHeight="1" spans="1:9">
      <c r="A96" s="46"/>
      <c r="B96" s="37" t="s">
        <v>53</v>
      </c>
      <c r="C96" s="35">
        <f>C55+C66+C75+C85+C95</f>
        <v>0</v>
      </c>
      <c r="D96" s="15"/>
      <c r="E96" s="15"/>
      <c r="F96" s="15"/>
      <c r="G96" s="15"/>
      <c r="H96" s="15"/>
      <c r="I96" s="45"/>
    </row>
    <row r="97" s="38" customFormat="1" ht="35" customHeight="1" spans="1:9">
      <c r="A97" s="83" t="s">
        <v>54</v>
      </c>
      <c r="B97" s="84"/>
      <c r="C97" s="85"/>
      <c r="D97" s="15"/>
      <c r="E97" s="15"/>
      <c r="F97" s="15"/>
      <c r="G97" s="15"/>
      <c r="H97" s="15"/>
      <c r="I97" s="45"/>
    </row>
    <row r="98" s="38" customFormat="1" ht="35" customHeight="1" spans="1:9">
      <c r="A98" s="34" t="str" cm="1">
        <f ca="1" t="array" ref="A98">IF((INDIRECT("'"&amp;INDIRECT("Main!B9")&amp;"'!A112"))=0,"",(INDIRECT("'"&amp;INDIRECT("Main!B9")&amp;"'!A112")))</f>
        <v/>
      </c>
      <c r="B98" s="34" t="str" cm="1">
        <f ca="1" t="array" ref="B98">IF((INDIRECT("'"&amp;INDIRECT("Main!B9")&amp;"'!B112"))=0,"",(INDIRECT("'"&amp;INDIRECT("Main!B9")&amp;"'!B112")))</f>
        <v/>
      </c>
      <c r="C98" s="35" cm="1">
        <f ca="1" t="array" ref="C98">INDIRECT("'"&amp;INDIRECT("Main!B12")&amp;"'!C98")+SUM(E118+E145+E172)</f>
        <v>0</v>
      </c>
      <c r="D98" s="15"/>
      <c r="E98" s="15"/>
      <c r="F98" s="15"/>
      <c r="G98" s="15"/>
      <c r="H98" s="15"/>
      <c r="I98" s="45"/>
    </row>
    <row r="99" s="38" customFormat="1" ht="35" customHeight="1" spans="1:9">
      <c r="A99" s="34" t="str" cm="1">
        <f ca="1" t="array" ref="A99">IF((INDIRECT("'"&amp;INDIRECT("Main!B9")&amp;"'!A113"))=0,"",(INDIRECT("'"&amp;INDIRECT("Main!B9")&amp;"'!A113")))</f>
        <v/>
      </c>
      <c r="B99" s="34" t="str" cm="1">
        <f ca="1" t="array" ref="B99">IF((INDIRECT("'"&amp;INDIRECT("Main!B9")&amp;"'!B113"))=0,"",(INDIRECT("'"&amp;INDIRECT("Main!B9")&amp;"'!B113")))</f>
        <v/>
      </c>
      <c r="C99" s="35" cm="1">
        <f ca="1" t="array" ref="C99">INDIRECT("'"&amp;INDIRECT("Main!B12")&amp;"'!C99")+SUM(E119+E146+E173)</f>
        <v>0</v>
      </c>
      <c r="D99" s="15"/>
      <c r="E99" s="15"/>
      <c r="F99" s="15"/>
      <c r="G99" s="15"/>
      <c r="H99" s="15"/>
      <c r="I99" s="45"/>
    </row>
    <row r="100" s="38" customFormat="1" ht="35" customHeight="1" spans="1:9">
      <c r="A100" s="34" t="str" cm="1">
        <f ca="1" t="array" ref="A100">IF((INDIRECT("'"&amp;INDIRECT("Main!B9")&amp;"'!A114"))=0,"",(INDIRECT("'"&amp;INDIRECT("Main!B9")&amp;"'!A114")))</f>
        <v/>
      </c>
      <c r="B100" s="34" t="str" cm="1">
        <f ca="1" t="array" ref="B100">IF((INDIRECT("'"&amp;INDIRECT("Main!B9")&amp;"'!B114"))=0,"",(INDIRECT("'"&amp;INDIRECT("Main!B9")&amp;"'!B114")))</f>
        <v/>
      </c>
      <c r="C100" s="35" cm="1">
        <f ca="1" t="array" ref="C100">INDIRECT("'"&amp;INDIRECT("Main!B12")&amp;"'!C100")+SUM(E120+E147+E174)</f>
        <v>0</v>
      </c>
      <c r="D100" s="15"/>
      <c r="E100" s="15"/>
      <c r="F100" s="15"/>
      <c r="G100" s="15"/>
      <c r="H100" s="15"/>
      <c r="I100" s="45"/>
    </row>
    <row r="101" s="38" customFormat="1" ht="35" customHeight="1" spans="1:9">
      <c r="A101" s="34" t="str" cm="1">
        <f ca="1" t="array" ref="A101">IF((INDIRECT("'"&amp;INDIRECT("Main!B9")&amp;"'!A115"))=0,"",(INDIRECT("'"&amp;INDIRECT("Main!B9")&amp;"'!A115")))</f>
        <v/>
      </c>
      <c r="B101" s="34" t="str" cm="1">
        <f ca="1" t="array" ref="B101">IF((INDIRECT("'"&amp;INDIRECT("Main!B9")&amp;"'!B115"))=0,"",(INDIRECT("'"&amp;INDIRECT("Main!B9")&amp;"'!B115")))</f>
        <v/>
      </c>
      <c r="C101" s="35" cm="1">
        <f ca="1" t="array" ref="C101">INDIRECT("'"&amp;INDIRECT("Main!B12")&amp;"'!C101")+SUM(E121+E148+E175)</f>
        <v>0</v>
      </c>
      <c r="D101" s="15"/>
      <c r="E101" s="15"/>
      <c r="F101" s="15"/>
      <c r="G101" s="15"/>
      <c r="H101" s="15"/>
      <c r="I101" s="45"/>
    </row>
    <row r="102" s="38" customFormat="1" ht="35" customHeight="1" spans="1:9">
      <c r="A102" s="34" t="str" cm="1">
        <f ca="1" t="array" ref="A102">IF((INDIRECT("'"&amp;INDIRECT("Main!B9")&amp;"'!A116"))=0,"",(INDIRECT("'"&amp;INDIRECT("Main!B9")&amp;"'!A116")))</f>
        <v/>
      </c>
      <c r="B102" s="34" t="str" cm="1">
        <f ca="1" t="array" ref="B102">IF((INDIRECT("'"&amp;INDIRECT("Main!B9")&amp;"'!B116"))=0,"",(INDIRECT("'"&amp;INDIRECT("Main!B9")&amp;"'!B116")))</f>
        <v/>
      </c>
      <c r="C102" s="35" cm="1">
        <f ca="1" t="array" ref="C102">INDIRECT("'"&amp;INDIRECT("Main!B12")&amp;"'!C102")+SUM(E122+E149+E176)</f>
        <v>0</v>
      </c>
      <c r="D102" s="15"/>
      <c r="E102" s="15"/>
      <c r="F102" s="15"/>
      <c r="G102" s="15"/>
      <c r="H102" s="15"/>
      <c r="I102" s="45"/>
    </row>
    <row r="103" s="38" customFormat="1" ht="35" customHeight="1" spans="1:9">
      <c r="A103" s="34" t="str" cm="1">
        <f ca="1" t="array" ref="A103">IF((INDIRECT("'"&amp;INDIRECT("Main!B9")&amp;"'!A117"))=0,"",(INDIRECT("'"&amp;INDIRECT("Main!B9")&amp;"'!A117")))</f>
        <v/>
      </c>
      <c r="B103" s="34" t="str" cm="1">
        <f ca="1" t="array" ref="B103">IF((INDIRECT("'"&amp;INDIRECT("Main!B9")&amp;"'!B117"))=0,"",(INDIRECT("'"&amp;INDIRECT("Main!B9")&amp;"'!B117")))</f>
        <v/>
      </c>
      <c r="C103" s="35" cm="1">
        <f ca="1" t="array" ref="C103">INDIRECT("'"&amp;INDIRECT("Main!B12")&amp;"'!C103")+SUM(E123+E150+E177)</f>
        <v>0</v>
      </c>
      <c r="D103" s="15"/>
      <c r="E103" s="15"/>
      <c r="F103" s="15"/>
      <c r="G103" s="15"/>
      <c r="H103" s="15"/>
      <c r="I103" s="45"/>
    </row>
    <row r="104" s="38" customFormat="1" ht="35" customHeight="1" spans="1:9">
      <c r="A104" s="34" t="str" cm="1">
        <f ca="1" t="array" ref="A104">IF((INDIRECT("'"&amp;INDIRECT("Main!B9")&amp;"'!A118"))=0,"",(INDIRECT("'"&amp;INDIRECT("Main!B9")&amp;"'!A118")))</f>
        <v/>
      </c>
      <c r="B104" s="34" t="str" cm="1">
        <f ca="1" t="array" ref="B104">IF((INDIRECT("'"&amp;INDIRECT("Main!B9")&amp;"'!B118"))=0,"",(INDIRECT("'"&amp;INDIRECT("Main!B9")&amp;"'!B118")))</f>
        <v/>
      </c>
      <c r="C104" s="35" cm="1">
        <f ca="1" t="array" ref="C104">INDIRECT("'"&amp;INDIRECT("Main!B12")&amp;"'!C104")+SUM(E124+E151+E178)</f>
        <v>0</v>
      </c>
      <c r="D104" s="15"/>
      <c r="E104" s="15"/>
      <c r="F104" s="15"/>
      <c r="G104" s="15"/>
      <c r="H104" s="15"/>
      <c r="I104" s="45"/>
    </row>
    <row r="105" s="38" customFormat="1" ht="35" customHeight="1" spans="1:9">
      <c r="A105" s="34" t="str" cm="1">
        <f ca="1" t="array" ref="A105">IF((INDIRECT("'"&amp;INDIRECT("Main!B9")&amp;"'!A119"))=0,"",(INDIRECT("'"&amp;INDIRECT("Main!B9")&amp;"'!A119")))</f>
        <v/>
      </c>
      <c r="B105" s="34" t="str" cm="1">
        <f ca="1" t="array" ref="B105">IF((INDIRECT("'"&amp;INDIRECT("Main!B9")&amp;"'!B119"))=0,"",(INDIRECT("'"&amp;INDIRECT("Main!B9")&amp;"'!B119")))</f>
        <v/>
      </c>
      <c r="C105" s="35" cm="1">
        <f ca="1" t="array" ref="C105">INDIRECT("'"&amp;INDIRECT("Main!B12")&amp;"'!C105")+SUM(E125+E152+E179)</f>
        <v>0</v>
      </c>
      <c r="D105" s="15"/>
      <c r="E105" s="15"/>
      <c r="F105" s="15"/>
      <c r="G105" s="15"/>
      <c r="H105" s="15"/>
      <c r="I105" s="45"/>
    </row>
    <row r="106" s="38" customFormat="1" ht="35" customHeight="1" spans="1:9">
      <c r="A106" s="34" t="str" cm="1">
        <f ca="1" t="array" ref="A106">IF((INDIRECT("'"&amp;INDIRECT("Main!B9")&amp;"'!A120"))=0,"",(INDIRECT("'"&amp;INDIRECT("Main!B9")&amp;"'!A120")))</f>
        <v/>
      </c>
      <c r="B106" s="34" t="str" cm="1">
        <f ca="1" t="array" ref="B106">IF((INDIRECT("'"&amp;INDIRECT("Main!B9")&amp;"'!B120"))=0,"",(INDIRECT("'"&amp;INDIRECT("Main!B9")&amp;"'!B120")))</f>
        <v/>
      </c>
      <c r="C106" s="35" cm="1">
        <f ca="1" t="array" ref="C106">INDIRECT("'"&amp;INDIRECT("Main!B12")&amp;"'!C106")+SUM(E126+E153+E180)</f>
        <v>0</v>
      </c>
      <c r="D106" s="15"/>
      <c r="E106" s="15"/>
      <c r="F106" s="15"/>
      <c r="G106" s="15"/>
      <c r="H106" s="15"/>
      <c r="I106" s="45"/>
    </row>
    <row r="107" s="38" customFormat="1" ht="35" customHeight="1" spans="1:9">
      <c r="A107" s="34" t="str" cm="1">
        <f ca="1" t="array" ref="A107">IF((INDIRECT("'"&amp;INDIRECT("Main!B9")&amp;"'!A121"))=0,"",(INDIRECT("'"&amp;INDIRECT("Main!B9")&amp;"'!A121")))</f>
        <v/>
      </c>
      <c r="B107" s="34" t="str" cm="1">
        <f ca="1" t="array" ref="B107">IF((INDIRECT("'"&amp;INDIRECT("Main!B9")&amp;"'!B121"))=0,"",(INDIRECT("'"&amp;INDIRECT("Main!B9")&amp;"'!B121")))</f>
        <v/>
      </c>
      <c r="C107" s="35" cm="1">
        <f ca="1" t="array" ref="C107">INDIRECT("'"&amp;INDIRECT("Main!B12")&amp;"'!C107")+SUM(E127+E154+E181)</f>
        <v>0</v>
      </c>
      <c r="D107" s="15"/>
      <c r="E107" s="15"/>
      <c r="F107" s="15"/>
      <c r="G107" s="15"/>
      <c r="H107" s="15"/>
      <c r="I107" s="45"/>
    </row>
    <row r="108" s="38" customFormat="1" ht="35" customHeight="1" spans="1:9">
      <c r="A108" s="46"/>
      <c r="B108" s="37" t="s">
        <v>55</v>
      </c>
      <c r="C108" s="35">
        <f ca="1">SUM(C98:C107)</f>
        <v>0</v>
      </c>
      <c r="D108" s="15"/>
      <c r="E108" s="15"/>
      <c r="F108" s="15"/>
      <c r="G108" s="15"/>
      <c r="H108" s="15"/>
      <c r="I108" s="45"/>
    </row>
    <row r="109" s="38" customFormat="1" ht="35" customHeight="1" spans="1:9">
      <c r="A109" s="46"/>
      <c r="B109" s="37" t="s">
        <v>56</v>
      </c>
      <c r="C109" s="35">
        <f ca="1">C108-C96</f>
        <v>0</v>
      </c>
      <c r="D109" s="15"/>
      <c r="E109" s="15"/>
      <c r="F109" s="15"/>
      <c r="G109" s="15"/>
      <c r="H109" s="15"/>
      <c r="I109" s="45"/>
    </row>
    <row r="110" s="38" customFormat="1" ht="35" customHeight="1" spans="1:9">
      <c r="A110" s="15"/>
      <c r="B110" s="15"/>
      <c r="C110" s="15"/>
      <c r="D110" s="15"/>
      <c r="E110" s="15"/>
      <c r="F110" s="15"/>
      <c r="G110" s="15"/>
      <c r="H110" s="15"/>
      <c r="I110" s="45"/>
    </row>
    <row r="111" s="38" customFormat="1" ht="35" customHeight="1" spans="1:9">
      <c r="A111" s="15"/>
      <c r="B111" s="15"/>
      <c r="C111" s="15"/>
      <c r="D111" s="15"/>
      <c r="E111" s="15"/>
      <c r="F111" s="15"/>
      <c r="G111" s="15"/>
      <c r="H111" s="15"/>
      <c r="I111" s="45"/>
    </row>
    <row r="112" s="38" customFormat="1" ht="35" customHeight="1" spans="1:9">
      <c r="A112" s="15"/>
      <c r="B112" s="15"/>
      <c r="C112" s="15"/>
      <c r="D112" s="15"/>
      <c r="E112" s="15"/>
      <c r="F112" s="15"/>
      <c r="G112" s="15"/>
      <c r="H112" s="15"/>
      <c r="I112" s="45"/>
    </row>
    <row r="113" s="38" customFormat="1" ht="35" customHeight="1" spans="1:9">
      <c r="A113" s="15"/>
      <c r="B113" s="15"/>
      <c r="C113" s="15"/>
      <c r="D113" s="15"/>
      <c r="E113" s="15"/>
      <c r="F113" s="15"/>
      <c r="G113" s="15"/>
      <c r="H113" s="15"/>
      <c r="I113" s="45"/>
    </row>
    <row r="114" s="38" customFormat="1" ht="35" customHeight="1" spans="1:9">
      <c r="A114" s="48" t="str">
        <f>"Debts Or Credits For the Comming "&amp;IF(Main!B2,TEXT(EDATE(Main!B3,6),"mmmm dd yyyy"),TEXT(Main!B3+((Main!B5-Main!B3)*6+6),"mmmm dd yyyy"))&amp;" to "&amp;IF(Main!B2,TEXT(EDATE(Main!B3,7)-1,"mmmm dd yyyy"),TEXT(Main!B3+((Main!B5-Main!B3)*7+6),"mmmm dd yyyy"))</f>
        <v>Debts Or Credits For the Comming November 01 2025 to November 30 2025</v>
      </c>
      <c r="B114" s="49"/>
      <c r="C114" s="49"/>
      <c r="D114" s="49"/>
      <c r="E114" s="50"/>
      <c r="F114" s="15"/>
      <c r="G114" s="15"/>
      <c r="H114" s="15"/>
      <c r="I114" s="45"/>
    </row>
    <row r="115" s="38" customFormat="1" ht="35" customHeight="1" spans="1:9">
      <c r="A115" s="48" t="s">
        <v>57</v>
      </c>
      <c r="B115" s="50"/>
      <c r="C115" s="48" t="s">
        <v>44</v>
      </c>
      <c r="D115" s="50"/>
      <c r="E115" s="64" t="s">
        <v>45</v>
      </c>
      <c r="F115" s="15"/>
      <c r="G115" s="15"/>
      <c r="H115" s="15"/>
      <c r="I115" s="45"/>
    </row>
    <row r="116" s="38" customFormat="1" ht="35" customHeight="1" spans="1:9">
      <c r="A116" s="51" t="str">
        <f>"Balance Brought Forward From "&amp;IF(Main!B2,TEXT(EDATE(Main!B3,6)-1,"mmmm yyyy"),TEXT(Main!B3+((Main!B5-Main!B3)*6+5),"mmmm yyyy"))</f>
        <v>Balance Brought Forward From October 2025</v>
      </c>
      <c r="B116" s="52"/>
      <c r="C116" s="53"/>
      <c r="D116" s="53"/>
      <c r="E116" s="79" cm="1">
        <f ca="1" t="array" ref="E116">INDIRECT("'"&amp;INDIRECT("Main!B12")&amp;"'!E190")</f>
        <v>0</v>
      </c>
      <c r="F116" s="15"/>
      <c r="G116" s="15"/>
      <c r="H116" s="15"/>
      <c r="I116" s="45"/>
    </row>
    <row r="117" s="38" customFormat="1" ht="35" customHeight="1" spans="1:9">
      <c r="A117" s="54" t="s">
        <v>52</v>
      </c>
      <c r="B117" s="55"/>
      <c r="C117" s="56" t="s">
        <v>58</v>
      </c>
      <c r="D117" s="57"/>
      <c r="E117" s="66"/>
      <c r="F117" s="15"/>
      <c r="G117" s="15"/>
      <c r="H117" s="15"/>
      <c r="I117" s="45"/>
    </row>
    <row r="118" s="38" customFormat="1" ht="35" customHeight="1" spans="1:9">
      <c r="A118" s="58"/>
      <c r="B118" s="59"/>
      <c r="C118" s="60"/>
      <c r="D118" s="61"/>
      <c r="E118" s="35">
        <v>0</v>
      </c>
      <c r="F118" s="15"/>
      <c r="G118" s="15"/>
      <c r="H118" s="15"/>
      <c r="I118" s="45"/>
    </row>
    <row r="119" s="38" customFormat="1" ht="35" customHeight="1" spans="1:9">
      <c r="A119" s="58"/>
      <c r="B119" s="59"/>
      <c r="C119" s="60"/>
      <c r="D119" s="61"/>
      <c r="E119" s="35">
        <v>0</v>
      </c>
      <c r="F119" s="15"/>
      <c r="G119" s="15"/>
      <c r="H119" s="15"/>
      <c r="I119" s="45"/>
    </row>
    <row r="120" s="38" customFormat="1" ht="35" customHeight="1" spans="1:9">
      <c r="A120" s="58"/>
      <c r="B120" s="59"/>
      <c r="C120" s="60"/>
      <c r="D120" s="61"/>
      <c r="E120" s="35">
        <v>0</v>
      </c>
      <c r="F120" s="15"/>
      <c r="G120" s="15"/>
      <c r="H120" s="15"/>
      <c r="I120" s="45"/>
    </row>
    <row r="121" s="38" customFormat="1" ht="35" customHeight="1" spans="1:9">
      <c r="A121" s="58"/>
      <c r="B121" s="59"/>
      <c r="C121" s="60"/>
      <c r="D121" s="61"/>
      <c r="E121" s="35">
        <v>0</v>
      </c>
      <c r="F121" s="15"/>
      <c r="G121" s="15"/>
      <c r="H121" s="15"/>
      <c r="I121" s="45"/>
    </row>
    <row r="122" s="38" customFormat="1" ht="35" customHeight="1" spans="1:9">
      <c r="A122" s="58"/>
      <c r="B122" s="59"/>
      <c r="C122" s="60"/>
      <c r="D122" s="61"/>
      <c r="E122" s="35">
        <v>0</v>
      </c>
      <c r="F122" s="15"/>
      <c r="G122" s="15"/>
      <c r="H122" s="15"/>
      <c r="I122" s="45"/>
    </row>
    <row r="123" s="38" customFormat="1" ht="35" customHeight="1" spans="1:9">
      <c r="A123" s="58"/>
      <c r="B123" s="59"/>
      <c r="C123" s="60"/>
      <c r="D123" s="61"/>
      <c r="E123" s="35">
        <v>0</v>
      </c>
      <c r="F123" s="15"/>
      <c r="G123" s="15"/>
      <c r="H123" s="15"/>
      <c r="I123" s="45"/>
    </row>
    <row r="124" s="38" customFormat="1" ht="35" customHeight="1" spans="1:9">
      <c r="A124" s="58"/>
      <c r="B124" s="59"/>
      <c r="C124" s="60"/>
      <c r="D124" s="61"/>
      <c r="E124" s="35">
        <v>0</v>
      </c>
      <c r="F124" s="15"/>
      <c r="G124" s="15"/>
      <c r="H124" s="15"/>
      <c r="I124" s="45"/>
    </row>
    <row r="125" s="38" customFormat="1" ht="35" customHeight="1" spans="1:9">
      <c r="A125" s="58"/>
      <c r="B125" s="59"/>
      <c r="C125" s="60"/>
      <c r="D125" s="61"/>
      <c r="E125" s="35">
        <v>0</v>
      </c>
      <c r="F125" s="15"/>
      <c r="G125" s="15"/>
      <c r="H125" s="15"/>
      <c r="I125" s="45"/>
    </row>
    <row r="126" s="38" customFormat="1" ht="35" customHeight="1" spans="1:9">
      <c r="A126" s="58"/>
      <c r="B126" s="59"/>
      <c r="C126" s="60"/>
      <c r="D126" s="61"/>
      <c r="E126" s="35">
        <v>0</v>
      </c>
      <c r="F126" s="15"/>
      <c r="G126" s="15"/>
      <c r="H126" s="15"/>
      <c r="I126" s="45"/>
    </row>
    <row r="127" s="38" customFormat="1" ht="35" customHeight="1" spans="1:9">
      <c r="A127" s="58"/>
      <c r="B127" s="59"/>
      <c r="C127" s="60"/>
      <c r="D127" s="61"/>
      <c r="E127" s="35">
        <v>0</v>
      </c>
      <c r="F127" s="15"/>
      <c r="G127" s="15"/>
      <c r="H127" s="15"/>
      <c r="I127" s="45"/>
    </row>
    <row r="128" s="38" customFormat="1" ht="35" customHeight="1" spans="1:9">
      <c r="A128" s="58"/>
      <c r="B128" s="59"/>
      <c r="C128" s="56" t="s">
        <v>59</v>
      </c>
      <c r="D128" s="57"/>
      <c r="E128" s="66"/>
      <c r="F128" s="15"/>
      <c r="G128" s="15"/>
      <c r="H128" s="15"/>
      <c r="I128" s="45"/>
    </row>
    <row r="129" s="38" customFormat="1" ht="35" customHeight="1" spans="1:9">
      <c r="A129" s="58"/>
      <c r="B129" s="59"/>
      <c r="C129" s="60"/>
      <c r="D129" s="61"/>
      <c r="E129" s="78">
        <v>0</v>
      </c>
      <c r="F129" s="15"/>
      <c r="G129" s="15"/>
      <c r="H129" s="15"/>
      <c r="I129" s="45"/>
    </row>
    <row r="130" s="38" customFormat="1" ht="35" customHeight="1" spans="1:9">
      <c r="A130" s="58"/>
      <c r="B130" s="59"/>
      <c r="C130" s="60"/>
      <c r="D130" s="61"/>
      <c r="E130" s="78">
        <v>0</v>
      </c>
      <c r="F130" s="15"/>
      <c r="G130" s="15"/>
      <c r="H130" s="15"/>
      <c r="I130" s="45"/>
    </row>
    <row r="131" s="38" customFormat="1" ht="35" customHeight="1" spans="1:9">
      <c r="A131" s="58"/>
      <c r="B131" s="59"/>
      <c r="C131" s="60"/>
      <c r="D131" s="61"/>
      <c r="E131" s="78">
        <v>0</v>
      </c>
      <c r="F131" s="15"/>
      <c r="G131" s="15"/>
      <c r="H131" s="15"/>
      <c r="I131" s="45"/>
    </row>
    <row r="132" s="38" customFormat="1" ht="35" customHeight="1" spans="1:9">
      <c r="A132" s="58"/>
      <c r="B132" s="59"/>
      <c r="C132" s="60"/>
      <c r="D132" s="61"/>
      <c r="E132" s="78">
        <v>0</v>
      </c>
      <c r="F132" s="15"/>
      <c r="G132" s="15"/>
      <c r="H132" s="15"/>
      <c r="I132" s="45"/>
    </row>
    <row r="133" s="38" customFormat="1" ht="35" customHeight="1" spans="1:9">
      <c r="A133" s="58"/>
      <c r="B133" s="59"/>
      <c r="C133" s="60"/>
      <c r="D133" s="61"/>
      <c r="E133" s="78">
        <v>0</v>
      </c>
      <c r="F133" s="15"/>
      <c r="G133" s="15"/>
      <c r="H133" s="15"/>
      <c r="I133" s="45"/>
    </row>
    <row r="134" s="38" customFormat="1" ht="35" customHeight="1" spans="1:9">
      <c r="A134" s="67"/>
      <c r="B134" s="68"/>
      <c r="C134" s="60"/>
      <c r="D134" s="61"/>
      <c r="E134" s="78">
        <v>0</v>
      </c>
      <c r="F134" s="15"/>
      <c r="G134" s="15"/>
      <c r="H134" s="15"/>
      <c r="I134" s="45"/>
    </row>
    <row r="135" s="38" customFormat="1" ht="35" customHeight="1" spans="1:9">
      <c r="A135" s="51" t="s">
        <v>60</v>
      </c>
      <c r="B135" s="69"/>
      <c r="C135" s="70"/>
      <c r="D135" s="71"/>
      <c r="E135" s="78">
        <f>C96</f>
        <v>0</v>
      </c>
      <c r="F135" s="15"/>
      <c r="G135" s="15"/>
      <c r="H135" s="15"/>
      <c r="I135" s="45"/>
    </row>
    <row r="136" s="38" customFormat="1" ht="35" customHeight="1" spans="1:9">
      <c r="A136" s="72"/>
      <c r="B136" s="73"/>
      <c r="C136" s="37" t="s">
        <v>61</v>
      </c>
      <c r="D136" s="37"/>
      <c r="E136" s="79">
        <f ca="1">(F16+E116)-(SUM(E118:E127)+SUM(E129:E135))</f>
        <v>0</v>
      </c>
      <c r="F136" s="15"/>
      <c r="G136" s="15"/>
      <c r="H136" s="15"/>
      <c r="I136" s="45"/>
    </row>
    <row r="137" s="38" customFormat="1" ht="35" customHeight="1" spans="1:9">
      <c r="A137" s="15"/>
      <c r="B137" s="15"/>
      <c r="C137" s="15"/>
      <c r="D137" s="15"/>
      <c r="E137" s="15"/>
      <c r="F137" s="15"/>
      <c r="G137" s="15"/>
      <c r="H137" s="15"/>
      <c r="I137" s="45"/>
    </row>
    <row r="138" s="38" customFormat="1" ht="35" customHeight="1" spans="1:9">
      <c r="A138" s="15"/>
      <c r="B138" s="15"/>
      <c r="C138" s="15"/>
      <c r="D138" s="15"/>
      <c r="E138" s="15"/>
      <c r="F138" s="15"/>
      <c r="G138" s="15"/>
      <c r="H138" s="15"/>
      <c r="I138" s="45"/>
    </row>
    <row r="139" s="38" customFormat="1" ht="35" customHeight="1" spans="1:9">
      <c r="A139" s="15"/>
      <c r="B139" s="15"/>
      <c r="C139" s="15"/>
      <c r="D139" s="15"/>
      <c r="E139" s="15"/>
      <c r="F139" s="15"/>
      <c r="G139" s="15"/>
      <c r="H139" s="15"/>
      <c r="I139" s="45"/>
    </row>
    <row r="140" s="38" customFormat="1" ht="35" customHeight="1" spans="1:9">
      <c r="A140" s="15"/>
      <c r="B140" s="15"/>
      <c r="C140" s="15"/>
      <c r="D140" s="15"/>
      <c r="E140" s="15"/>
      <c r="F140" s="15"/>
      <c r="G140" s="15"/>
      <c r="H140" s="15"/>
      <c r="I140" s="45"/>
    </row>
    <row r="141" s="38" customFormat="1" ht="35" customHeight="1" spans="1:9">
      <c r="A141" s="48" t="str">
        <f>"Debts Or Credits For the Comming "&amp;IF(Main!B2,TEXT(EDATE(Main!B3,7),"mmmm dd yyyy"),TEXT(Main!B3+((Main!B5-Main!B3)*7+7),"dd mmmm yyyy"))&amp;" to "&amp;IF(Main!B2,TEXT(EDATE(Main!B3,8)-1,"mmmm dd yyyy"),TEXT(Main!B3+((Main!B5-Main!B3)*8+7),"mmmm dd yyyy"))</f>
        <v>Debts Or Credits For the Comming December 01 2025 to December 31 2025</v>
      </c>
      <c r="B141" s="49"/>
      <c r="C141" s="49"/>
      <c r="D141" s="49"/>
      <c r="E141" s="50"/>
      <c r="F141" s="15"/>
      <c r="G141" s="15"/>
      <c r="H141" s="15"/>
      <c r="I141" s="45"/>
    </row>
    <row r="142" s="38" customFormat="1" ht="35" customHeight="1" spans="1:9">
      <c r="A142" s="48" t="s">
        <v>57</v>
      </c>
      <c r="B142" s="50"/>
      <c r="C142" s="74" t="s">
        <v>44</v>
      </c>
      <c r="D142" s="75"/>
      <c r="E142" s="80" t="s">
        <v>45</v>
      </c>
      <c r="F142" s="15"/>
      <c r="G142" s="15"/>
      <c r="H142" s="15"/>
      <c r="I142" s="45"/>
    </row>
    <row r="143" s="38" customFormat="1" ht="35" customHeight="1" spans="1:9">
      <c r="A143" s="51" t="str">
        <f>"Balance Brought Forward From "&amp;IF(Main!B2,TEXT(EDATE(Main!B3,7)-1,"mmmm yyyy"),TEXT(Main!B3+((Main!B5-Main!B3)*7+6),"mmmm yyyy"))</f>
        <v>Balance Brought Forward From November 2025</v>
      </c>
      <c r="B143" s="52"/>
      <c r="C143" s="53"/>
      <c r="D143" s="53"/>
      <c r="E143" s="79">
        <f ca="1">E136</f>
        <v>0</v>
      </c>
      <c r="F143" s="15"/>
      <c r="G143" s="15"/>
      <c r="H143" s="15"/>
      <c r="I143" s="45"/>
    </row>
    <row r="144" s="38" customFormat="1" ht="35" customHeight="1" spans="1:9">
      <c r="A144" s="54" t="s">
        <v>52</v>
      </c>
      <c r="B144" s="55"/>
      <c r="C144" s="76" t="s">
        <v>58</v>
      </c>
      <c r="D144" s="77"/>
      <c r="E144" s="81"/>
      <c r="F144" s="15"/>
      <c r="G144" s="15"/>
      <c r="H144" s="15"/>
      <c r="I144" s="45"/>
    </row>
    <row r="145" s="38" customFormat="1" ht="35" customHeight="1" spans="1:9">
      <c r="A145" s="58"/>
      <c r="B145" s="59"/>
      <c r="C145" s="60"/>
      <c r="D145" s="61"/>
      <c r="E145" s="35">
        <v>0</v>
      </c>
      <c r="F145" s="15"/>
      <c r="G145" s="15"/>
      <c r="H145" s="15"/>
      <c r="I145" s="45"/>
    </row>
    <row r="146" s="38" customFormat="1" ht="35" customHeight="1" spans="1:9">
      <c r="A146" s="58"/>
      <c r="B146" s="59"/>
      <c r="C146" s="60"/>
      <c r="D146" s="61"/>
      <c r="E146" s="35">
        <v>0</v>
      </c>
      <c r="F146" s="15"/>
      <c r="G146" s="15"/>
      <c r="H146" s="15"/>
      <c r="I146" s="45"/>
    </row>
    <row r="147" s="38" customFormat="1" ht="35" customHeight="1" spans="1:9">
      <c r="A147" s="58"/>
      <c r="B147" s="59"/>
      <c r="C147" s="60"/>
      <c r="D147" s="61"/>
      <c r="E147" s="35">
        <v>0</v>
      </c>
      <c r="F147" s="15"/>
      <c r="G147" s="15"/>
      <c r="H147" s="15"/>
      <c r="I147" s="45"/>
    </row>
    <row r="148" s="38" customFormat="1" ht="35" customHeight="1" spans="1:9">
      <c r="A148" s="58"/>
      <c r="B148" s="59"/>
      <c r="C148" s="60"/>
      <c r="D148" s="61"/>
      <c r="E148" s="35">
        <v>0</v>
      </c>
      <c r="F148" s="15"/>
      <c r="G148" s="15"/>
      <c r="H148" s="15"/>
      <c r="I148" s="45"/>
    </row>
    <row r="149" s="38" customFormat="1" ht="35" customHeight="1" spans="1:9">
      <c r="A149" s="58"/>
      <c r="B149" s="59"/>
      <c r="C149" s="60"/>
      <c r="D149" s="61"/>
      <c r="E149" s="35">
        <v>0</v>
      </c>
      <c r="F149" s="15"/>
      <c r="G149" s="15"/>
      <c r="H149" s="15"/>
      <c r="I149" s="45"/>
    </row>
    <row r="150" s="38" customFormat="1" ht="35" customHeight="1" spans="1:9">
      <c r="A150" s="58"/>
      <c r="B150" s="59"/>
      <c r="C150" s="60"/>
      <c r="D150" s="61"/>
      <c r="E150" s="35">
        <v>0</v>
      </c>
      <c r="F150" s="15"/>
      <c r="G150" s="15"/>
      <c r="H150" s="15"/>
      <c r="I150" s="45"/>
    </row>
    <row r="151" s="38" customFormat="1" ht="35" customHeight="1" spans="1:9">
      <c r="A151" s="58"/>
      <c r="B151" s="59"/>
      <c r="C151" s="60"/>
      <c r="D151" s="61"/>
      <c r="E151" s="35">
        <v>0</v>
      </c>
      <c r="F151" s="15"/>
      <c r="G151" s="15"/>
      <c r="H151" s="15"/>
      <c r="I151" s="45"/>
    </row>
    <row r="152" s="38" customFormat="1" ht="35" customHeight="1" spans="1:9">
      <c r="A152" s="58"/>
      <c r="B152" s="59"/>
      <c r="C152" s="60"/>
      <c r="D152" s="61"/>
      <c r="E152" s="35">
        <v>0</v>
      </c>
      <c r="F152" s="15"/>
      <c r="G152" s="15"/>
      <c r="H152" s="15"/>
      <c r="I152" s="45"/>
    </row>
    <row r="153" s="38" customFormat="1" ht="35" customHeight="1" spans="1:9">
      <c r="A153" s="58"/>
      <c r="B153" s="59"/>
      <c r="C153" s="60"/>
      <c r="D153" s="61"/>
      <c r="E153" s="35">
        <v>0</v>
      </c>
      <c r="F153" s="15"/>
      <c r="G153" s="15"/>
      <c r="H153" s="15"/>
      <c r="I153" s="45"/>
    </row>
    <row r="154" s="38" customFormat="1" ht="35" customHeight="1" spans="1:9">
      <c r="A154" s="58"/>
      <c r="B154" s="59"/>
      <c r="C154" s="60"/>
      <c r="D154" s="61"/>
      <c r="E154" s="35">
        <v>0</v>
      </c>
      <c r="F154" s="15"/>
      <c r="G154" s="15"/>
      <c r="H154" s="15"/>
      <c r="I154" s="45"/>
    </row>
    <row r="155" s="38" customFormat="1" ht="35" customHeight="1" spans="1:9">
      <c r="A155" s="58"/>
      <c r="B155" s="59"/>
      <c r="C155" s="56" t="s">
        <v>59</v>
      </c>
      <c r="D155" s="57"/>
      <c r="E155" s="66"/>
      <c r="F155" s="15"/>
      <c r="G155" s="15"/>
      <c r="H155" s="15"/>
      <c r="I155" s="45"/>
    </row>
    <row r="156" s="38" customFormat="1" ht="35" customHeight="1" spans="1:9">
      <c r="A156" s="58"/>
      <c r="B156" s="59"/>
      <c r="C156" s="60"/>
      <c r="D156" s="61"/>
      <c r="E156" s="78">
        <v>0</v>
      </c>
      <c r="F156" s="15"/>
      <c r="G156" s="15"/>
      <c r="H156" s="15"/>
      <c r="I156" s="45"/>
    </row>
    <row r="157" s="38" customFormat="1" ht="35" customHeight="1" spans="1:9">
      <c r="A157" s="58"/>
      <c r="B157" s="59"/>
      <c r="C157" s="60"/>
      <c r="D157" s="61"/>
      <c r="E157" s="78">
        <v>0</v>
      </c>
      <c r="F157" s="15"/>
      <c r="G157" s="15"/>
      <c r="H157" s="15"/>
      <c r="I157" s="45"/>
    </row>
    <row r="158" s="38" customFormat="1" ht="35" customHeight="1" spans="1:9">
      <c r="A158" s="58"/>
      <c r="B158" s="59"/>
      <c r="C158" s="60"/>
      <c r="D158" s="61"/>
      <c r="E158" s="78">
        <v>0</v>
      </c>
      <c r="F158" s="15"/>
      <c r="G158" s="15"/>
      <c r="H158" s="15"/>
      <c r="I158" s="45"/>
    </row>
    <row r="159" s="38" customFormat="1" ht="35" customHeight="1" spans="1:9">
      <c r="A159" s="58"/>
      <c r="B159" s="59"/>
      <c r="C159" s="60"/>
      <c r="D159" s="61"/>
      <c r="E159" s="78">
        <v>0</v>
      </c>
      <c r="F159" s="15"/>
      <c r="G159" s="15"/>
      <c r="H159" s="15"/>
      <c r="I159" s="45"/>
    </row>
    <row r="160" s="38" customFormat="1" ht="35" customHeight="1" spans="1:9">
      <c r="A160" s="58"/>
      <c r="B160" s="59"/>
      <c r="C160" s="60"/>
      <c r="D160" s="61"/>
      <c r="E160" s="78">
        <v>0</v>
      </c>
      <c r="F160" s="15"/>
      <c r="G160" s="15"/>
      <c r="H160" s="15"/>
      <c r="I160" s="45"/>
    </row>
    <row r="161" s="38" customFormat="1" ht="35" customHeight="1" spans="1:9">
      <c r="A161" s="67"/>
      <c r="B161" s="68"/>
      <c r="C161" s="60"/>
      <c r="D161" s="61"/>
      <c r="E161" s="78">
        <v>0</v>
      </c>
      <c r="F161" s="15"/>
      <c r="G161" s="15"/>
      <c r="H161" s="15"/>
      <c r="I161" s="45"/>
    </row>
    <row r="162" s="38" customFormat="1" ht="35" customHeight="1" spans="1:9">
      <c r="A162" s="51" t="s">
        <v>60</v>
      </c>
      <c r="B162" s="69"/>
      <c r="C162" s="70"/>
      <c r="D162" s="71"/>
      <c r="E162" s="78">
        <f>C96</f>
        <v>0</v>
      </c>
      <c r="F162" s="15"/>
      <c r="G162" s="15"/>
      <c r="H162" s="15"/>
      <c r="I162" s="45"/>
    </row>
    <row r="163" s="38" customFormat="1" ht="35" customHeight="1" spans="1:9">
      <c r="A163" s="72"/>
      <c r="B163" s="73"/>
      <c r="C163" s="37" t="s">
        <v>61</v>
      </c>
      <c r="D163" s="37"/>
      <c r="E163" s="65">
        <f ca="1">(F28+E143)-(SUM(E145:E154)+SUM(E156:E162))</f>
        <v>0</v>
      </c>
      <c r="F163" s="15"/>
      <c r="G163" s="15"/>
      <c r="H163" s="15"/>
      <c r="I163" s="45"/>
    </row>
    <row r="164" s="38" customFormat="1" ht="35" customHeight="1" spans="1:9">
      <c r="A164" s="15"/>
      <c r="B164" s="15"/>
      <c r="C164" s="15"/>
      <c r="D164" s="15"/>
      <c r="E164" s="15"/>
      <c r="F164" s="15"/>
      <c r="G164" s="15"/>
      <c r="H164" s="15"/>
      <c r="I164" s="45"/>
    </row>
    <row r="165" s="38" customFormat="1" ht="35" customHeight="1" spans="1:9">
      <c r="A165" s="15"/>
      <c r="B165" s="15"/>
      <c r="C165" s="15"/>
      <c r="D165" s="15"/>
      <c r="E165" s="15"/>
      <c r="F165" s="15"/>
      <c r="G165" s="15"/>
      <c r="H165" s="15"/>
      <c r="I165" s="45"/>
    </row>
    <row r="166" s="38" customFormat="1" ht="35" customHeight="1" spans="1:9">
      <c r="A166" s="15"/>
      <c r="B166" s="15"/>
      <c r="C166" s="15"/>
      <c r="D166" s="15"/>
      <c r="E166" s="15"/>
      <c r="F166" s="15"/>
      <c r="G166" s="15"/>
      <c r="H166" s="15"/>
      <c r="I166" s="45"/>
    </row>
    <row r="167" s="38" customFormat="1" ht="35" customHeight="1" spans="1:9">
      <c r="A167" s="15"/>
      <c r="B167" s="15"/>
      <c r="C167" s="15"/>
      <c r="D167" s="15"/>
      <c r="E167" s="15"/>
      <c r="F167" s="15"/>
      <c r="G167" s="15"/>
      <c r="H167" s="15"/>
      <c r="I167" s="45"/>
    </row>
    <row r="168" s="38" customFormat="1" ht="35" customHeight="1" spans="1:9">
      <c r="A168" s="48" t="str">
        <f>"Debts Or Credits For the Comming "&amp;IF(Main!B2,TEXT(EDATE(Main!B3,8),"mmmm dd yyyy"),TEXT(Main!B3+((Main!B5-Main!B3)*8+8),"mmmm dd yyyy"))&amp;" to "&amp;IF(Main!B2,TEXT(EDATE(Main!B3,9)-1,"mmmm dd yyyy"),TEXT(Main!B3+((Main!B5-Main!B3)*9+8),"mmmm dd yyyy"))</f>
        <v>Debts Or Credits For the Comming January 01 2026 to January 31 2026</v>
      </c>
      <c r="B168" s="49"/>
      <c r="C168" s="49"/>
      <c r="D168" s="49"/>
      <c r="E168" s="50"/>
      <c r="F168" s="15"/>
      <c r="G168" s="15"/>
      <c r="H168" s="15"/>
      <c r="I168" s="45"/>
    </row>
    <row r="169" s="38" customFormat="1" ht="35" customHeight="1" spans="1:9">
      <c r="A169" s="48" t="s">
        <v>57</v>
      </c>
      <c r="B169" s="50"/>
      <c r="C169" s="74" t="s">
        <v>44</v>
      </c>
      <c r="D169" s="75"/>
      <c r="E169" s="80" t="s">
        <v>45</v>
      </c>
      <c r="F169" s="15"/>
      <c r="G169" s="15"/>
      <c r="H169" s="15"/>
      <c r="I169" s="45"/>
    </row>
    <row r="170" s="38" customFormat="1" ht="35" customHeight="1" spans="1:9">
      <c r="A170" s="51" t="str">
        <f>"Balance Brought Forward From "&amp;IF(Main!B2,TEXT(EDATE(Main!B3,8)-1,"mmmm yyyy"),TEXT(Main!B3+((Main!B5-Main!B3)*8+7),"mmmm yyyy"))</f>
        <v>Balance Brought Forward From December 2025</v>
      </c>
      <c r="B170" s="52"/>
      <c r="C170" s="53"/>
      <c r="D170" s="53"/>
      <c r="E170" s="65">
        <f ca="1">E163</f>
        <v>0</v>
      </c>
      <c r="F170" s="15"/>
      <c r="G170" s="15"/>
      <c r="H170" s="15"/>
      <c r="I170" s="45"/>
    </row>
    <row r="171" s="38" customFormat="1" ht="35" customHeight="1" spans="1:9">
      <c r="A171" s="54" t="s">
        <v>52</v>
      </c>
      <c r="B171" s="55"/>
      <c r="C171" s="76" t="s">
        <v>58</v>
      </c>
      <c r="D171" s="77"/>
      <c r="E171" s="81"/>
      <c r="F171" s="15"/>
      <c r="G171" s="15"/>
      <c r="H171" s="15"/>
      <c r="I171" s="45"/>
    </row>
    <row r="172" s="38" customFormat="1" ht="35" customHeight="1" spans="1:9">
      <c r="A172" s="58"/>
      <c r="B172" s="59"/>
      <c r="C172" s="60"/>
      <c r="D172" s="61"/>
      <c r="E172" s="35">
        <v>0</v>
      </c>
      <c r="F172" s="15"/>
      <c r="G172" s="15"/>
      <c r="H172" s="15"/>
      <c r="I172" s="45"/>
    </row>
    <row r="173" s="38" customFormat="1" ht="35" customHeight="1" spans="1:9">
      <c r="A173" s="58"/>
      <c r="B173" s="59"/>
      <c r="C173" s="60"/>
      <c r="D173" s="61"/>
      <c r="E173" s="35">
        <v>0</v>
      </c>
      <c r="F173" s="15"/>
      <c r="G173" s="15"/>
      <c r="H173" s="15"/>
      <c r="I173" s="45"/>
    </row>
    <row r="174" s="38" customFormat="1" ht="35" customHeight="1" spans="1:9">
      <c r="A174" s="58"/>
      <c r="B174" s="59"/>
      <c r="C174" s="60"/>
      <c r="D174" s="61"/>
      <c r="E174" s="35">
        <v>0</v>
      </c>
      <c r="F174" s="15"/>
      <c r="G174" s="15"/>
      <c r="H174" s="15"/>
      <c r="I174" s="45"/>
    </row>
    <row r="175" s="38" customFormat="1" ht="35" customHeight="1" spans="1:9">
      <c r="A175" s="58"/>
      <c r="B175" s="59"/>
      <c r="C175" s="60"/>
      <c r="D175" s="61"/>
      <c r="E175" s="35">
        <v>0</v>
      </c>
      <c r="F175" s="15"/>
      <c r="G175" s="15"/>
      <c r="H175" s="15"/>
      <c r="I175" s="45"/>
    </row>
    <row r="176" s="38" customFormat="1" ht="35" customHeight="1" spans="1:9">
      <c r="A176" s="58"/>
      <c r="B176" s="59"/>
      <c r="C176" s="60"/>
      <c r="D176" s="61"/>
      <c r="E176" s="35">
        <v>0</v>
      </c>
      <c r="F176" s="15"/>
      <c r="G176" s="15"/>
      <c r="H176" s="15"/>
      <c r="I176" s="45"/>
    </row>
    <row r="177" s="38" customFormat="1" ht="35" customHeight="1" spans="1:9">
      <c r="A177" s="58"/>
      <c r="B177" s="59"/>
      <c r="C177" s="60"/>
      <c r="D177" s="61"/>
      <c r="E177" s="35">
        <v>0</v>
      </c>
      <c r="F177" s="15"/>
      <c r="G177" s="15"/>
      <c r="H177" s="15"/>
      <c r="I177" s="45"/>
    </row>
    <row r="178" s="38" customFormat="1" ht="35" customHeight="1" spans="1:9">
      <c r="A178" s="58"/>
      <c r="B178" s="59"/>
      <c r="C178" s="60"/>
      <c r="D178" s="61"/>
      <c r="E178" s="35">
        <v>0</v>
      </c>
      <c r="F178" s="15"/>
      <c r="G178" s="15"/>
      <c r="H178" s="15"/>
      <c r="I178" s="45"/>
    </row>
    <row r="179" s="38" customFormat="1" ht="35" customHeight="1" spans="1:9">
      <c r="A179" s="58"/>
      <c r="B179" s="59"/>
      <c r="C179" s="60"/>
      <c r="D179" s="61"/>
      <c r="E179" s="35">
        <v>0</v>
      </c>
      <c r="F179" s="15"/>
      <c r="G179" s="15"/>
      <c r="H179" s="15"/>
      <c r="I179" s="45"/>
    </row>
    <row r="180" s="38" customFormat="1" ht="35" customHeight="1" spans="1:9">
      <c r="A180" s="58"/>
      <c r="B180" s="59"/>
      <c r="C180" s="60"/>
      <c r="D180" s="61"/>
      <c r="E180" s="35">
        <v>0</v>
      </c>
      <c r="F180" s="15"/>
      <c r="G180" s="15"/>
      <c r="H180" s="15"/>
      <c r="I180" s="45"/>
    </row>
    <row r="181" s="38" customFormat="1" ht="35" customHeight="1" spans="1:9">
      <c r="A181" s="58"/>
      <c r="B181" s="59"/>
      <c r="C181" s="60"/>
      <c r="D181" s="61"/>
      <c r="E181" s="35">
        <v>0</v>
      </c>
      <c r="F181" s="15"/>
      <c r="G181" s="15"/>
      <c r="H181" s="15"/>
      <c r="I181" s="45"/>
    </row>
    <row r="182" s="38" customFormat="1" ht="35" customHeight="1" spans="1:9">
      <c r="A182" s="58"/>
      <c r="B182" s="59"/>
      <c r="C182" s="56" t="s">
        <v>59</v>
      </c>
      <c r="D182" s="57"/>
      <c r="E182" s="66"/>
      <c r="F182" s="15"/>
      <c r="G182" s="15"/>
      <c r="H182" s="15"/>
      <c r="I182" s="45"/>
    </row>
    <row r="183" s="38" customFormat="1" ht="35" customHeight="1" spans="1:9">
      <c r="A183" s="58"/>
      <c r="B183" s="59"/>
      <c r="C183" s="60"/>
      <c r="D183" s="61"/>
      <c r="E183" s="78">
        <v>0</v>
      </c>
      <c r="F183" s="15"/>
      <c r="G183" s="15"/>
      <c r="H183" s="15"/>
      <c r="I183" s="45"/>
    </row>
    <row r="184" s="38" customFormat="1" ht="35" customHeight="1" spans="1:9">
      <c r="A184" s="58"/>
      <c r="B184" s="59"/>
      <c r="C184" s="60"/>
      <c r="D184" s="61"/>
      <c r="E184" s="78">
        <v>0</v>
      </c>
      <c r="F184" s="15"/>
      <c r="G184" s="15"/>
      <c r="H184" s="15"/>
      <c r="I184" s="45"/>
    </row>
    <row r="185" s="38" customFormat="1" ht="35" customHeight="1" spans="1:9">
      <c r="A185" s="58"/>
      <c r="B185" s="59"/>
      <c r="C185" s="60"/>
      <c r="D185" s="61"/>
      <c r="E185" s="78">
        <v>0</v>
      </c>
      <c r="F185" s="15"/>
      <c r="G185" s="15"/>
      <c r="H185" s="15"/>
      <c r="I185" s="45"/>
    </row>
    <row r="186" s="38" customFormat="1" ht="35" customHeight="1" spans="1:9">
      <c r="A186" s="58"/>
      <c r="B186" s="59"/>
      <c r="C186" s="60"/>
      <c r="D186" s="61"/>
      <c r="E186" s="78">
        <v>0</v>
      </c>
      <c r="F186" s="15"/>
      <c r="G186" s="15"/>
      <c r="H186" s="15"/>
      <c r="I186" s="45"/>
    </row>
    <row r="187" s="38" customFormat="1" ht="35" customHeight="1" spans="1:9">
      <c r="A187" s="58"/>
      <c r="B187" s="59"/>
      <c r="C187" s="60"/>
      <c r="D187" s="61"/>
      <c r="E187" s="78">
        <v>0</v>
      </c>
      <c r="F187" s="15"/>
      <c r="G187" s="15"/>
      <c r="H187" s="15"/>
      <c r="I187" s="45"/>
    </row>
    <row r="188" s="38" customFormat="1" ht="35" customHeight="1" spans="1:9">
      <c r="A188" s="67"/>
      <c r="B188" s="68"/>
      <c r="C188" s="60"/>
      <c r="D188" s="61"/>
      <c r="E188" s="78">
        <v>0</v>
      </c>
      <c r="F188" s="15"/>
      <c r="G188" s="15"/>
      <c r="H188" s="15"/>
      <c r="I188" s="45"/>
    </row>
    <row r="189" s="38" customFormat="1" ht="35" customHeight="1" spans="1:9">
      <c r="A189" s="51" t="s">
        <v>60</v>
      </c>
      <c r="B189" s="69"/>
      <c r="C189" s="70"/>
      <c r="D189" s="71"/>
      <c r="E189" s="78">
        <f>C96</f>
        <v>0</v>
      </c>
      <c r="F189" s="15"/>
      <c r="G189" s="15"/>
      <c r="H189" s="15"/>
      <c r="I189" s="45"/>
    </row>
    <row r="190" s="38" customFormat="1" ht="35" customHeight="1" spans="1:9">
      <c r="A190" s="72"/>
      <c r="B190" s="73"/>
      <c r="C190" s="37" t="s">
        <v>61</v>
      </c>
      <c r="D190" s="37"/>
      <c r="E190" s="65">
        <f ca="1">(F40+E170)-(SUM(E172:E181)+SUM(E183:E189))</f>
        <v>0</v>
      </c>
      <c r="F190" s="15"/>
      <c r="G190" s="15"/>
      <c r="H190" s="15"/>
      <c r="I190" s="45"/>
    </row>
    <row r="191" s="38" customFormat="1" ht="35" customHeight="1" spans="1:9">
      <c r="A191" s="15"/>
      <c r="B191" s="15"/>
      <c r="C191" s="15"/>
      <c r="D191" s="15"/>
      <c r="E191" s="15"/>
      <c r="F191" s="15"/>
      <c r="G191" s="15"/>
      <c r="H191" s="15"/>
      <c r="I191" s="45"/>
    </row>
    <row r="192" ht="30" customHeight="1"/>
  </sheetData>
  <sheetProtection sheet="1" formatCells="0" formatColumns="0" formatRows="0" objects="1"/>
  <protectedRanges>
    <protectedRange sqref="A10:G15" name="R1"/>
    <protectedRange sqref="A22:G27" name="R2"/>
    <protectedRange sqref="A34:G39" name="R3"/>
    <protectedRange sqref="C117:E134" name="E1"/>
    <protectedRange sqref="C144:E161" name="E2"/>
    <protectedRange sqref="C171:E188" name="E3"/>
    <protectedRange sqref="A46:C46 C47:C54" name="F1"/>
    <protectedRange sqref="C56:C65" name="F2"/>
    <protectedRange sqref="C67:C74" name="F3"/>
    <protectedRange sqref="C76:C84" name="F4"/>
    <protectedRange sqref="C86:C94" name="F5"/>
    <protectedRange sqref="A56:B56" name="F2_1"/>
    <protectedRange sqref="A67:B67" name="F3_1"/>
    <protectedRange sqref="A76:B76" name="F4_1"/>
    <protectedRange sqref="A86:B86" name="F5_1"/>
  </protectedRanges>
  <mergeCells count="174">
    <mergeCell ref="A1:G1"/>
    <mergeCell ref="C2:G2"/>
    <mergeCell ref="C3:G3"/>
    <mergeCell ref="A4:B4"/>
    <mergeCell ref="C4:G4"/>
    <mergeCell ref="A5:B5"/>
    <mergeCell ref="C5:G5"/>
    <mergeCell ref="A8:G8"/>
    <mergeCell ref="B9:C9"/>
    <mergeCell ref="D9:E9"/>
    <mergeCell ref="F9:G9"/>
    <mergeCell ref="B10:C10"/>
    <mergeCell ref="D10:E10"/>
    <mergeCell ref="F10:G10"/>
    <mergeCell ref="B11:C11"/>
    <mergeCell ref="D11:E11"/>
    <mergeCell ref="F11:G11"/>
    <mergeCell ref="B12:C12"/>
    <mergeCell ref="D12:E12"/>
    <mergeCell ref="F12:G12"/>
    <mergeCell ref="B13:C13"/>
    <mergeCell ref="D13:E13"/>
    <mergeCell ref="F13:G13"/>
    <mergeCell ref="B14:C14"/>
    <mergeCell ref="D14:E14"/>
    <mergeCell ref="F14:G14"/>
    <mergeCell ref="B15:C15"/>
    <mergeCell ref="D15:E15"/>
    <mergeCell ref="F15:G15"/>
    <mergeCell ref="B16:C16"/>
    <mergeCell ref="D16:E16"/>
    <mergeCell ref="F16:G16"/>
    <mergeCell ref="A20:G20"/>
    <mergeCell ref="B21:C21"/>
    <mergeCell ref="D21:E21"/>
    <mergeCell ref="F21:G21"/>
    <mergeCell ref="B22:C22"/>
    <mergeCell ref="D22:E22"/>
    <mergeCell ref="F22:G22"/>
    <mergeCell ref="B23:C23"/>
    <mergeCell ref="D23:E23"/>
    <mergeCell ref="F23:G23"/>
    <mergeCell ref="B24:C24"/>
    <mergeCell ref="D24:E24"/>
    <mergeCell ref="F24:G24"/>
    <mergeCell ref="B25:C25"/>
    <mergeCell ref="D25:E25"/>
    <mergeCell ref="F25:G25"/>
    <mergeCell ref="B26:C26"/>
    <mergeCell ref="D26:E26"/>
    <mergeCell ref="F26:G26"/>
    <mergeCell ref="B27:C27"/>
    <mergeCell ref="D27:E27"/>
    <mergeCell ref="F27:G27"/>
    <mergeCell ref="B28:C28"/>
    <mergeCell ref="D28:E28"/>
    <mergeCell ref="F28:G28"/>
    <mergeCell ref="A32:G32"/>
    <mergeCell ref="B33:C33"/>
    <mergeCell ref="D33:E33"/>
    <mergeCell ref="F33:G33"/>
    <mergeCell ref="B34:C34"/>
    <mergeCell ref="D34:E34"/>
    <mergeCell ref="F34:G34"/>
    <mergeCell ref="B35:C35"/>
    <mergeCell ref="D35:E35"/>
    <mergeCell ref="F35:G35"/>
    <mergeCell ref="B36:C36"/>
    <mergeCell ref="D36:E36"/>
    <mergeCell ref="F36:G36"/>
    <mergeCell ref="B37:C37"/>
    <mergeCell ref="D37:E37"/>
    <mergeCell ref="F37:G37"/>
    <mergeCell ref="B38:C38"/>
    <mergeCell ref="D38:E38"/>
    <mergeCell ref="F38:G38"/>
    <mergeCell ref="B39:C39"/>
    <mergeCell ref="D39:E39"/>
    <mergeCell ref="F39:G39"/>
    <mergeCell ref="B40:C40"/>
    <mergeCell ref="D40:E40"/>
    <mergeCell ref="F40:G40"/>
    <mergeCell ref="A44:C44"/>
    <mergeCell ref="A46:C46"/>
    <mergeCell ref="A56:C56"/>
    <mergeCell ref="A67:C67"/>
    <mergeCell ref="A76:C76"/>
    <mergeCell ref="A86:C86"/>
    <mergeCell ref="A97:C97"/>
    <mergeCell ref="A114:E114"/>
    <mergeCell ref="A115:B115"/>
    <mergeCell ref="C115:D115"/>
    <mergeCell ref="A116:B116"/>
    <mergeCell ref="C116:D116"/>
    <mergeCell ref="C117:D117"/>
    <mergeCell ref="C118:D118"/>
    <mergeCell ref="C119:D119"/>
    <mergeCell ref="C120:D120"/>
    <mergeCell ref="C121:D121"/>
    <mergeCell ref="C122:D122"/>
    <mergeCell ref="C123:D123"/>
    <mergeCell ref="C124:D124"/>
    <mergeCell ref="C125:D125"/>
    <mergeCell ref="C126:D126"/>
    <mergeCell ref="C127:D127"/>
    <mergeCell ref="C128:D128"/>
    <mergeCell ref="C129:D129"/>
    <mergeCell ref="C130:D130"/>
    <mergeCell ref="C131:D131"/>
    <mergeCell ref="C132:D132"/>
    <mergeCell ref="C133:D133"/>
    <mergeCell ref="C134:D134"/>
    <mergeCell ref="A135:B135"/>
    <mergeCell ref="C135:D135"/>
    <mergeCell ref="A136:B136"/>
    <mergeCell ref="C136:D136"/>
    <mergeCell ref="A141:E141"/>
    <mergeCell ref="A142:B142"/>
    <mergeCell ref="C142:D142"/>
    <mergeCell ref="A143:B143"/>
    <mergeCell ref="C143:D143"/>
    <mergeCell ref="C144:D144"/>
    <mergeCell ref="C145:D145"/>
    <mergeCell ref="C146:D146"/>
    <mergeCell ref="C147:D147"/>
    <mergeCell ref="C148:D148"/>
    <mergeCell ref="C149:D149"/>
    <mergeCell ref="C150:D150"/>
    <mergeCell ref="C151:D151"/>
    <mergeCell ref="C152:D152"/>
    <mergeCell ref="C153:D153"/>
    <mergeCell ref="C154:D154"/>
    <mergeCell ref="C155:D155"/>
    <mergeCell ref="C156:D156"/>
    <mergeCell ref="C157:D157"/>
    <mergeCell ref="C158:D158"/>
    <mergeCell ref="C159:D159"/>
    <mergeCell ref="C160:D160"/>
    <mergeCell ref="C161:D161"/>
    <mergeCell ref="A162:B162"/>
    <mergeCell ref="C162:D162"/>
    <mergeCell ref="A163:B163"/>
    <mergeCell ref="C163:D163"/>
    <mergeCell ref="A168:E168"/>
    <mergeCell ref="A169:B169"/>
    <mergeCell ref="C169:D169"/>
    <mergeCell ref="A170:B170"/>
    <mergeCell ref="C170:D170"/>
    <mergeCell ref="C171:D171"/>
    <mergeCell ref="C172:D172"/>
    <mergeCell ref="C173:D173"/>
    <mergeCell ref="C174:D174"/>
    <mergeCell ref="C175:D175"/>
    <mergeCell ref="C176:D176"/>
    <mergeCell ref="C177:D177"/>
    <mergeCell ref="C178:D178"/>
    <mergeCell ref="C179:D179"/>
    <mergeCell ref="C180:D180"/>
    <mergeCell ref="C181:D181"/>
    <mergeCell ref="C182:D182"/>
    <mergeCell ref="C183:D183"/>
    <mergeCell ref="C184:D184"/>
    <mergeCell ref="C185:D185"/>
    <mergeCell ref="C186:D186"/>
    <mergeCell ref="C187:D187"/>
    <mergeCell ref="C188:D188"/>
    <mergeCell ref="A189:B189"/>
    <mergeCell ref="C189:D189"/>
    <mergeCell ref="A190:B190"/>
    <mergeCell ref="C190:D190"/>
    <mergeCell ref="A2:A3"/>
    <mergeCell ref="A144:B161"/>
    <mergeCell ref="A171:B188"/>
    <mergeCell ref="A117:B134"/>
  </mergeCells>
  <conditionalFormatting sqref="C5">
    <cfRule type="cellIs" dxfId="0" priority="4" operator="greaterThanOrEqual">
      <formula>0</formula>
    </cfRule>
    <cfRule type="cellIs" dxfId="1" priority="3" operator="lessThan">
      <formula>0</formula>
    </cfRule>
  </conditionalFormatting>
  <conditionalFormatting sqref="C75">
    <cfRule type="cellIs" dxfId="0" priority="47" operator="equal">
      <formula>0</formula>
    </cfRule>
    <cfRule type="cellIs" dxfId="1" priority="46" operator="greaterThan">
      <formula>0</formula>
    </cfRule>
  </conditionalFormatting>
  <conditionalFormatting sqref="C77">
    <cfRule type="cellIs" dxfId="0" priority="45" operator="equal">
      <formula>0</formula>
    </cfRule>
    <cfRule type="cellIs" dxfId="1" priority="44" operator="greaterThan">
      <formula>0</formula>
    </cfRule>
  </conditionalFormatting>
  <conditionalFormatting sqref="C108">
    <cfRule type="cellIs" dxfId="0" priority="6" operator="greaterThanOrEqual">
      <formula>0</formula>
    </cfRule>
    <cfRule type="cellIs" dxfId="1" priority="5" operator="lessThan">
      <formula>0</formula>
    </cfRule>
  </conditionalFormatting>
  <conditionalFormatting sqref="C109">
    <cfRule type="cellIs" dxfId="0" priority="2" operator="greaterThanOrEqual">
      <formula>0</formula>
    </cfRule>
    <cfRule type="cellIs" dxfId="1" priority="1" operator="lessThan">
      <formula>0</formula>
    </cfRule>
  </conditionalFormatting>
  <conditionalFormatting sqref="E116">
    <cfRule type="cellIs" dxfId="3" priority="8" operator="greaterThanOrEqual">
      <formula>0</formula>
    </cfRule>
    <cfRule type="cellIs" dxfId="4" priority="7" operator="lessThan">
      <formula>0</formula>
    </cfRule>
  </conditionalFormatting>
  <conditionalFormatting sqref="E136">
    <cfRule type="cellIs" dxfId="3" priority="39" operator="greaterThanOrEqual">
      <formula>0</formula>
    </cfRule>
    <cfRule type="cellIs" dxfId="4" priority="38" operator="lessThan">
      <formula>0</formula>
    </cfRule>
  </conditionalFormatting>
  <conditionalFormatting sqref="E143">
    <cfRule type="cellIs" dxfId="3" priority="26" operator="greaterThanOrEqual">
      <formula>0</formula>
    </cfRule>
    <cfRule type="cellIs" dxfId="4" priority="25" operator="lessThan">
      <formula>0</formula>
    </cfRule>
  </conditionalFormatting>
  <conditionalFormatting sqref="E163">
    <cfRule type="cellIs" dxfId="3" priority="28" operator="greaterThanOrEqual">
      <formula>0</formula>
    </cfRule>
    <cfRule type="cellIs" dxfId="4" priority="27" operator="lessThan">
      <formula>0</formula>
    </cfRule>
  </conditionalFormatting>
  <conditionalFormatting sqref="E170">
    <cfRule type="cellIs" dxfId="3" priority="20" operator="greaterThanOrEqual">
      <formula>0</formula>
    </cfRule>
    <cfRule type="cellIs" dxfId="4" priority="19" operator="lessThan">
      <formula>0</formula>
    </cfRule>
  </conditionalFormatting>
  <conditionalFormatting sqref="E190">
    <cfRule type="cellIs" dxfId="3" priority="22" operator="greaterThanOrEqual">
      <formula>0</formula>
    </cfRule>
    <cfRule type="cellIs" dxfId="4" priority="21" operator="lessThan">
      <formula>0</formula>
    </cfRule>
  </conditionalFormatting>
  <conditionalFormatting sqref="C57:C66">
    <cfRule type="cellIs" dxfId="0" priority="51" operator="equal">
      <formula>0</formula>
    </cfRule>
    <cfRule type="cellIs" dxfId="1" priority="50" operator="greaterThan">
      <formula>0</formula>
    </cfRule>
  </conditionalFormatting>
  <conditionalFormatting sqref="C68:C69">
    <cfRule type="cellIs" dxfId="0" priority="49" operator="equal">
      <formula>0</formula>
    </cfRule>
    <cfRule type="cellIs" dxfId="1" priority="48" operator="greaterThan">
      <formula>0</formula>
    </cfRule>
  </conditionalFormatting>
  <conditionalFormatting sqref="C70:C74">
    <cfRule type="cellIs" dxfId="0" priority="37" operator="equal">
      <formula>0</formula>
    </cfRule>
    <cfRule type="cellIs" dxfId="1" priority="36" operator="greaterThan">
      <formula>0</formula>
    </cfRule>
  </conditionalFormatting>
  <conditionalFormatting sqref="C80:C84">
    <cfRule type="cellIs" dxfId="0" priority="35" operator="equal">
      <formula>0</formula>
    </cfRule>
    <cfRule type="cellIs" dxfId="1" priority="34" operator="greaterThan">
      <formula>0</formula>
    </cfRule>
  </conditionalFormatting>
  <conditionalFormatting sqref="C87:C89">
    <cfRule type="cellIs" dxfId="0" priority="43" operator="equal">
      <formula>0</formula>
    </cfRule>
    <cfRule type="cellIs" dxfId="1" priority="42" operator="greaterThan">
      <formula>0</formula>
    </cfRule>
  </conditionalFormatting>
  <conditionalFormatting sqref="C90:C94">
    <cfRule type="cellIs" dxfId="0" priority="33" operator="equal">
      <formula>0</formula>
    </cfRule>
    <cfRule type="cellIs" dxfId="1" priority="32" operator="greaterThan">
      <formula>0</formula>
    </cfRule>
  </conditionalFormatting>
  <conditionalFormatting sqref="C98:C107">
    <cfRule type="cellIs" dxfId="1" priority="16" operator="lessThan">
      <formula>0</formula>
    </cfRule>
    <cfRule type="cellIs" dxfId="2" priority="15" operator="greaterThanOrEqual">
      <formula>0</formula>
    </cfRule>
  </conditionalFormatting>
  <conditionalFormatting sqref="E118:E127">
    <cfRule type="cellIs" dxfId="0" priority="14" operator="equal">
      <formula>0</formula>
    </cfRule>
    <cfRule type="cellIs" dxfId="1" priority="13" operator="greaterThan">
      <formula>0</formula>
    </cfRule>
  </conditionalFormatting>
  <conditionalFormatting sqref="E145:E154">
    <cfRule type="cellIs" dxfId="0" priority="12" operator="equal">
      <formula>0</formula>
    </cfRule>
    <cfRule type="cellIs" dxfId="1" priority="11" operator="greaterThan">
      <formula>0</formula>
    </cfRule>
  </conditionalFormatting>
  <conditionalFormatting sqref="E172:E181">
    <cfRule type="cellIs" dxfId="0" priority="10" operator="equal">
      <formula>0</formula>
    </cfRule>
    <cfRule type="cellIs" dxfId="1" priority="9" operator="greaterThan">
      <formula>0</formula>
    </cfRule>
  </conditionalFormatting>
  <conditionalFormatting sqref="C47:C55 C85 C78:C79 C95:C96">
    <cfRule type="cellIs" dxfId="0" priority="53" operator="equal">
      <formula>0</formula>
    </cfRule>
  </conditionalFormatting>
  <conditionalFormatting sqref="C47:C55 C85 C78:C79 C95:C96 E144 E155:E162">
    <cfRule type="cellIs" dxfId="1" priority="52" operator="greaterThan">
      <formula>0</formula>
    </cfRule>
  </conditionalFormatting>
  <conditionalFormatting sqref="E117 E128:E135">
    <cfRule type="cellIs" dxfId="0" priority="41" operator="equal">
      <formula>0</formula>
    </cfRule>
    <cfRule type="cellIs" dxfId="1" priority="40" operator="greaterThan">
      <formula>0</formula>
    </cfRule>
  </conditionalFormatting>
  <conditionalFormatting sqref="E144 E155:E162">
    <cfRule type="cellIs" dxfId="2" priority="29" operator="equal">
      <formula>0</formula>
    </cfRule>
  </conditionalFormatting>
  <conditionalFormatting sqref="E171 E182:E189">
    <cfRule type="cellIs" dxfId="2" priority="24" operator="equal">
      <formula>0</formula>
    </cfRule>
    <cfRule type="cellIs" dxfId="1" priority="23" operator="greaterThan">
      <formula>0</formula>
    </cfRule>
  </conditionalFormatting>
  <pageMargins left="0.7" right="0.7" top="0.75" bottom="0.75" header="0.3" footer="0.3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93"/>
  <sheetViews>
    <sheetView workbookViewId="0">
      <selection activeCell="C2" sqref="C2:G2"/>
    </sheetView>
  </sheetViews>
  <sheetFormatPr defaultColWidth="9" defaultRowHeight="17.6"/>
  <cols>
    <col min="1" max="7" width="25.6111111111111" customWidth="1"/>
  </cols>
  <sheetData>
    <row r="1" s="1" customFormat="1" ht="35" customHeight="1" spans="1:9">
      <c r="A1" s="2" t="str">
        <f>"Forecasts For the Year "&amp;IF(Main!B2,TEXT(EDATE(Main!B3,9),"mmmm yyyy"),TEXT(Main!B3+((Main!B5-Main!B3)*9+9),"mmmm yyyy"))&amp;" to "&amp;IF(Main!B2,TEXT(EDATE(Main!B3,12)-1,"mmmm yyyy"),TEXT(Main!B3+((Main!B5-Main!B3)*12+11),"mmmm yyyy"))</f>
        <v>Forecasts For the Year February 2026 to April 2026</v>
      </c>
      <c r="B1" s="2"/>
      <c r="C1" s="2"/>
      <c r="D1" s="2"/>
      <c r="E1" s="2"/>
      <c r="F1" s="2"/>
      <c r="G1" s="2"/>
      <c r="H1" s="38"/>
      <c r="I1" s="38"/>
    </row>
    <row r="2" s="1" customFormat="1" ht="35" customHeight="1" spans="1:9">
      <c r="A2" s="3" t="s">
        <v>33</v>
      </c>
      <c r="B2" s="4" t="s">
        <v>62</v>
      </c>
      <c r="C2" s="5" cm="1">
        <f ca="1" t="array" ref="C2">INDIRECT("'"&amp;Main!B9&amp;"'!$C$16")</f>
        <v>0</v>
      </c>
      <c r="D2" s="5"/>
      <c r="E2" s="5"/>
      <c r="F2" s="5"/>
      <c r="G2" s="5"/>
      <c r="H2" s="38"/>
      <c r="I2" s="38"/>
    </row>
    <row r="3" s="1" customFormat="1" ht="35" customHeight="1" spans="1:9">
      <c r="A3" s="6"/>
      <c r="B3" s="7" t="s">
        <v>63</v>
      </c>
      <c r="C3" s="8">
        <f ca="1">E190</f>
        <v>0</v>
      </c>
      <c r="D3" s="8"/>
      <c r="E3" s="8"/>
      <c r="F3" s="8"/>
      <c r="G3" s="8"/>
      <c r="H3" s="38"/>
      <c r="I3" s="38"/>
    </row>
    <row r="4" s="1" customFormat="1" ht="35" customHeight="1" spans="1:9">
      <c r="A4" s="9" t="s">
        <v>42</v>
      </c>
      <c r="B4" s="10"/>
      <c r="C4" s="11">
        <f ca="1">SUM(C2:G3)</f>
        <v>0</v>
      </c>
      <c r="D4" s="11"/>
      <c r="E4" s="11"/>
      <c r="F4" s="11"/>
      <c r="G4" s="11"/>
      <c r="H4" s="15"/>
      <c r="I4" s="45"/>
    </row>
    <row r="5" s="1" customFormat="1" ht="35" customHeight="1" spans="1:9">
      <c r="A5" s="12" t="s">
        <v>64</v>
      </c>
      <c r="B5" s="12"/>
      <c r="C5" s="13">
        <f ca="1">C108</f>
        <v>0</v>
      </c>
      <c r="D5" s="14"/>
      <c r="E5" s="14"/>
      <c r="F5" s="14"/>
      <c r="G5" s="14"/>
      <c r="H5" s="15"/>
      <c r="I5" s="45"/>
    </row>
    <row r="6" s="1" customFormat="1" ht="35" customHeight="1" spans="1:9">
      <c r="A6" s="15"/>
      <c r="B6" s="15"/>
      <c r="C6" s="15"/>
      <c r="D6" s="15"/>
      <c r="E6" s="15"/>
      <c r="F6" s="15"/>
      <c r="G6" s="15"/>
      <c r="H6" s="15"/>
      <c r="I6" s="45"/>
    </row>
    <row r="7" s="1" customFormat="1" ht="35" customHeight="1" spans="1:9">
      <c r="A7" s="15"/>
      <c r="B7" s="15"/>
      <c r="C7" s="15"/>
      <c r="D7" s="15"/>
      <c r="E7" s="15"/>
      <c r="F7" s="15"/>
      <c r="G7" s="15"/>
      <c r="H7" s="15"/>
      <c r="I7" s="45"/>
    </row>
    <row r="8" s="1" customFormat="1" ht="35" customHeight="1" spans="1:9">
      <c r="A8" s="16" t="str">
        <f>IF(Main!B2,TEXT(EDATE(Main!B3,9),"dd mmmm yyyy"),TEXT(Main!B3+((Main!B5-Main!B3)*9+9),"dd mmmm yyyy"))&amp;" - "&amp;IF(Main!B2,TEXT(EDATE(Main!B3,10)-1,"dd mmmm yyyy"),TEXT(Main!B3+((Main!B5-Main!B3)*10+9),"dd mmmm yyyy"))&amp;" / "&amp;" (Revenue / Deferred Debts Or Expenses)"</f>
        <v>01 February 2026 - 28 February 2026 /  (Revenue / Deferred Debts Or Expenses)</v>
      </c>
      <c r="B8" s="17"/>
      <c r="C8" s="17"/>
      <c r="D8" s="17"/>
      <c r="E8" s="17"/>
      <c r="F8" s="17"/>
      <c r="G8" s="17"/>
      <c r="H8" s="15"/>
      <c r="I8" s="45"/>
    </row>
    <row r="9" s="1" customFormat="1" ht="35" customHeight="1" spans="1:9">
      <c r="A9" s="18" t="s">
        <v>29</v>
      </c>
      <c r="B9" s="18" t="s">
        <v>43</v>
      </c>
      <c r="C9" s="18"/>
      <c r="D9" s="18" t="s">
        <v>44</v>
      </c>
      <c r="E9" s="18"/>
      <c r="F9" s="18" t="s">
        <v>45</v>
      </c>
      <c r="G9" s="18"/>
      <c r="H9" s="15"/>
      <c r="I9" s="45"/>
    </row>
    <row r="10" s="1" customFormat="1" ht="35" customHeight="1" spans="1:9">
      <c r="A10" s="19"/>
      <c r="B10" s="20"/>
      <c r="C10" s="20"/>
      <c r="D10" s="20"/>
      <c r="E10" s="20"/>
      <c r="F10" s="39">
        <v>0</v>
      </c>
      <c r="G10" s="40"/>
      <c r="H10" s="15"/>
      <c r="I10" s="45"/>
    </row>
    <row r="11" s="1" customFormat="1" ht="35" customHeight="1" spans="1:9">
      <c r="A11" s="19"/>
      <c r="B11" s="21"/>
      <c r="C11" s="22"/>
      <c r="D11" s="23"/>
      <c r="E11" s="41"/>
      <c r="F11" s="39">
        <v>0</v>
      </c>
      <c r="G11" s="40"/>
      <c r="H11" s="15"/>
      <c r="I11" s="45"/>
    </row>
    <row r="12" s="1" customFormat="1" ht="35" customHeight="1" spans="1:9">
      <c r="A12" s="19"/>
      <c r="B12" s="21"/>
      <c r="C12" s="22"/>
      <c r="D12" s="23"/>
      <c r="E12" s="41"/>
      <c r="F12" s="39">
        <v>0</v>
      </c>
      <c r="G12" s="40"/>
      <c r="H12" s="15"/>
      <c r="I12" s="45"/>
    </row>
    <row r="13" s="1" customFormat="1" ht="35" customHeight="1" spans="1:9">
      <c r="A13" s="19"/>
      <c r="B13" s="21"/>
      <c r="C13" s="22"/>
      <c r="D13" s="23"/>
      <c r="E13" s="41"/>
      <c r="F13" s="39">
        <v>0</v>
      </c>
      <c r="G13" s="40"/>
      <c r="H13" s="15"/>
      <c r="I13" s="45"/>
    </row>
    <row r="14" s="1" customFormat="1" ht="35" customHeight="1" spans="1:9">
      <c r="A14" s="19"/>
      <c r="B14" s="21"/>
      <c r="C14" s="22"/>
      <c r="D14" s="23"/>
      <c r="E14" s="41"/>
      <c r="F14" s="39">
        <v>0</v>
      </c>
      <c r="G14" s="40"/>
      <c r="H14" s="15"/>
      <c r="I14" s="45"/>
    </row>
    <row r="15" s="1" customFormat="1" ht="35" customHeight="1" spans="1:9">
      <c r="A15" s="19"/>
      <c r="B15" s="21"/>
      <c r="C15" s="22"/>
      <c r="D15" s="23"/>
      <c r="E15" s="41"/>
      <c r="F15" s="39">
        <v>0</v>
      </c>
      <c r="G15" s="40"/>
      <c r="H15" s="15"/>
      <c r="I15" s="45"/>
    </row>
    <row r="16" s="1" customFormat="1" ht="35" customHeight="1" spans="1:9">
      <c r="A16" s="24"/>
      <c r="B16" s="25"/>
      <c r="C16" s="26"/>
      <c r="D16" s="27" t="s">
        <v>46</v>
      </c>
      <c r="E16" s="42"/>
      <c r="F16" s="43">
        <f>SUM(F10:G15)</f>
        <v>0</v>
      </c>
      <c r="G16" s="44"/>
      <c r="H16" s="15"/>
      <c r="I16" s="45"/>
    </row>
    <row r="17" s="1" customFormat="1" ht="35" customHeight="1" spans="1:9">
      <c r="A17" s="15"/>
      <c r="B17" s="15"/>
      <c r="C17" s="15"/>
      <c r="D17" s="15"/>
      <c r="E17" s="15"/>
      <c r="F17" s="15"/>
      <c r="G17" s="15"/>
      <c r="H17" s="15"/>
      <c r="I17" s="45"/>
    </row>
    <row r="18" s="1" customFormat="1" ht="35" customHeight="1" spans="1:9">
      <c r="A18" s="15"/>
      <c r="B18" s="15"/>
      <c r="C18" s="15"/>
      <c r="D18" s="15"/>
      <c r="E18" s="15"/>
      <c r="F18" s="15"/>
      <c r="G18" s="15"/>
      <c r="H18" s="15"/>
      <c r="I18" s="45"/>
    </row>
    <row r="19" s="1" customFormat="1" ht="35" customHeight="1" spans="1:9">
      <c r="A19" s="15"/>
      <c r="B19" s="15"/>
      <c r="C19" s="15"/>
      <c r="D19" s="15"/>
      <c r="E19" s="15"/>
      <c r="F19" s="15"/>
      <c r="G19" s="15"/>
      <c r="H19" s="15"/>
      <c r="I19" s="45"/>
    </row>
    <row r="20" s="1" customFormat="1" ht="35" customHeight="1" spans="1:9">
      <c r="A20" s="16" t="str">
        <f>IF(Main!B2,TEXT(EDATE(Main!B3,10),"dd mmmm yyyy"),TEXT(Main!B3+((Main!B5-Main!B3)*10+10),"dd mmmm yyyy"))&amp;" - "&amp;IF(Main!B2,TEXT(EDATE(Main!B3,11)-1,"dd mmmm yyyy"),TEXT(Main!B3+((Main!B5-Main!B3)*11+10),"dd mmmm yyyy"))&amp;" / "&amp;" (Revenue / Deferred Debts Or Expenses)"</f>
        <v>01 March 2026 - 31 March 2026 /  (Revenue / Deferred Debts Or Expenses)</v>
      </c>
      <c r="B20" s="17"/>
      <c r="C20" s="17"/>
      <c r="D20" s="17"/>
      <c r="E20" s="17"/>
      <c r="F20" s="17"/>
      <c r="G20" s="17"/>
      <c r="H20" s="15"/>
      <c r="I20" s="45"/>
    </row>
    <row r="21" s="1" customFormat="1" ht="35" customHeight="1" spans="1:9">
      <c r="A21" s="18" t="s">
        <v>29</v>
      </c>
      <c r="B21" s="18" t="s">
        <v>43</v>
      </c>
      <c r="C21" s="18"/>
      <c r="D21" s="18" t="s">
        <v>44</v>
      </c>
      <c r="E21" s="18"/>
      <c r="F21" s="18" t="s">
        <v>45</v>
      </c>
      <c r="G21" s="18"/>
      <c r="H21" s="15"/>
      <c r="I21" s="45"/>
    </row>
    <row r="22" s="1" customFormat="1" ht="35" customHeight="1" spans="1:9">
      <c r="A22" s="19"/>
      <c r="B22" s="20"/>
      <c r="C22" s="20"/>
      <c r="D22" s="20"/>
      <c r="E22" s="20"/>
      <c r="F22" s="39">
        <v>0</v>
      </c>
      <c r="G22" s="40"/>
      <c r="H22" s="15"/>
      <c r="I22" s="45"/>
    </row>
    <row r="23" s="1" customFormat="1" ht="35" customHeight="1" spans="1:9">
      <c r="A23" s="19"/>
      <c r="B23" s="21"/>
      <c r="C23" s="22"/>
      <c r="D23" s="23"/>
      <c r="E23" s="41"/>
      <c r="F23" s="39">
        <v>0</v>
      </c>
      <c r="G23" s="40"/>
      <c r="H23" s="15"/>
      <c r="I23" s="45"/>
    </row>
    <row r="24" s="1" customFormat="1" ht="35" customHeight="1" spans="1:9">
      <c r="A24" s="19"/>
      <c r="B24" s="21"/>
      <c r="C24" s="22"/>
      <c r="D24" s="23"/>
      <c r="E24" s="41"/>
      <c r="F24" s="39">
        <v>0</v>
      </c>
      <c r="G24" s="40"/>
      <c r="H24" s="15"/>
      <c r="I24" s="45"/>
    </row>
    <row r="25" s="1" customFormat="1" ht="35" customHeight="1" spans="1:9">
      <c r="A25" s="19"/>
      <c r="B25" s="21"/>
      <c r="C25" s="22"/>
      <c r="D25" s="23"/>
      <c r="E25" s="41"/>
      <c r="F25" s="39">
        <v>0</v>
      </c>
      <c r="G25" s="40"/>
      <c r="H25" s="15"/>
      <c r="I25" s="45"/>
    </row>
    <row r="26" s="1" customFormat="1" ht="35" customHeight="1" spans="1:9">
      <c r="A26" s="19"/>
      <c r="B26" s="21"/>
      <c r="C26" s="22"/>
      <c r="D26" s="23"/>
      <c r="E26" s="41"/>
      <c r="F26" s="39">
        <v>0</v>
      </c>
      <c r="G26" s="40"/>
      <c r="H26" s="15"/>
      <c r="I26" s="45"/>
    </row>
    <row r="27" s="1" customFormat="1" ht="35" customHeight="1" spans="1:9">
      <c r="A27" s="19"/>
      <c r="B27" s="21"/>
      <c r="C27" s="22"/>
      <c r="D27" s="23"/>
      <c r="E27" s="41"/>
      <c r="F27" s="39">
        <v>0</v>
      </c>
      <c r="G27" s="40"/>
      <c r="H27" s="15"/>
      <c r="I27" s="45"/>
    </row>
    <row r="28" s="1" customFormat="1" ht="35" customHeight="1" spans="1:9">
      <c r="A28" s="24"/>
      <c r="B28" s="25"/>
      <c r="C28" s="26"/>
      <c r="D28" s="27" t="s">
        <v>46</v>
      </c>
      <c r="E28" s="42"/>
      <c r="F28" s="43">
        <f>SUM(F22:G27)</f>
        <v>0</v>
      </c>
      <c r="G28" s="44"/>
      <c r="H28" s="15"/>
      <c r="I28" s="45"/>
    </row>
    <row r="29" s="1" customFormat="1" ht="35" customHeight="1" spans="1:9">
      <c r="A29" s="15"/>
      <c r="B29" s="15"/>
      <c r="C29" s="15"/>
      <c r="D29" s="15"/>
      <c r="E29" s="15"/>
      <c r="F29" s="15"/>
      <c r="G29" s="15"/>
      <c r="H29" s="15"/>
      <c r="I29" s="45"/>
    </row>
    <row r="30" s="1" customFormat="1" ht="35" customHeight="1" spans="1:9">
      <c r="A30" s="15"/>
      <c r="B30" s="15"/>
      <c r="C30" s="15"/>
      <c r="D30" s="15"/>
      <c r="E30" s="15"/>
      <c r="F30" s="15"/>
      <c r="G30" s="15"/>
      <c r="H30" s="15"/>
      <c r="I30" s="45"/>
    </row>
    <row r="31" s="1" customFormat="1" ht="35" customHeight="1" spans="1:9">
      <c r="A31" s="15"/>
      <c r="B31" s="15"/>
      <c r="C31" s="15"/>
      <c r="D31" s="15"/>
      <c r="E31" s="15"/>
      <c r="F31" s="15"/>
      <c r="G31" s="15"/>
      <c r="H31" s="15"/>
      <c r="I31" s="45"/>
    </row>
    <row r="32" s="1" customFormat="1" ht="35" customHeight="1" spans="1:9">
      <c r="A32" s="16" t="str">
        <f>IF(Main!B2,TEXT(EDATE(Main!B3,11),"dd mmmm yyyy"),TEXT(Main!B3+((Main!B5-Main!B3)*11+11),"dd mmmm yyyy"))&amp;" - "&amp;IF(Main!B2,TEXT(EDATE(Main!B3,12)-1,"dd mmmm yyyy"),TEXT(Main!B3+((Main!B5-Main!B3)*12+11),"dd mmmm yyyy"))&amp;" / "&amp;" (Revenue / Deferred Debts Or Expenses)"</f>
        <v>01 April 2026 - 30 April 2026 /  (Revenue / Deferred Debts Or Expenses)</v>
      </c>
      <c r="B32" s="17"/>
      <c r="C32" s="17"/>
      <c r="D32" s="17"/>
      <c r="E32" s="17"/>
      <c r="F32" s="17"/>
      <c r="G32" s="17"/>
      <c r="H32" s="15"/>
      <c r="I32" s="45"/>
    </row>
    <row r="33" s="1" customFormat="1" ht="35" customHeight="1" spans="1:9">
      <c r="A33" s="18" t="s">
        <v>29</v>
      </c>
      <c r="B33" s="18" t="s">
        <v>43</v>
      </c>
      <c r="C33" s="18"/>
      <c r="D33" s="18" t="s">
        <v>44</v>
      </c>
      <c r="E33" s="18"/>
      <c r="F33" s="18" t="s">
        <v>45</v>
      </c>
      <c r="G33" s="18"/>
      <c r="H33" s="15"/>
      <c r="I33" s="45"/>
    </row>
    <row r="34" s="1" customFormat="1" ht="35" customHeight="1" spans="1:9">
      <c r="A34" s="19"/>
      <c r="B34" s="20"/>
      <c r="C34" s="20"/>
      <c r="D34" s="20"/>
      <c r="E34" s="20"/>
      <c r="F34" s="39">
        <v>0</v>
      </c>
      <c r="G34" s="40"/>
      <c r="H34" s="15"/>
      <c r="I34" s="45"/>
    </row>
    <row r="35" s="1" customFormat="1" ht="35" customHeight="1" spans="1:9">
      <c r="A35" s="19"/>
      <c r="B35" s="21"/>
      <c r="C35" s="22"/>
      <c r="D35" s="23"/>
      <c r="E35" s="41"/>
      <c r="F35" s="39">
        <v>0</v>
      </c>
      <c r="G35" s="40"/>
      <c r="H35" s="15"/>
      <c r="I35" s="45"/>
    </row>
    <row r="36" s="1" customFormat="1" ht="35" customHeight="1" spans="1:9">
      <c r="A36" s="19"/>
      <c r="B36" s="21"/>
      <c r="C36" s="22"/>
      <c r="D36" s="23"/>
      <c r="E36" s="41"/>
      <c r="F36" s="39">
        <v>0</v>
      </c>
      <c r="G36" s="40"/>
      <c r="H36" s="15"/>
      <c r="I36" s="45"/>
    </row>
    <row r="37" s="1" customFormat="1" ht="35" customHeight="1" spans="1:9">
      <c r="A37" s="19"/>
      <c r="B37" s="21"/>
      <c r="C37" s="22"/>
      <c r="D37" s="23"/>
      <c r="E37" s="41"/>
      <c r="F37" s="39">
        <v>0</v>
      </c>
      <c r="G37" s="40"/>
      <c r="H37" s="15"/>
      <c r="I37" s="45"/>
    </row>
    <row r="38" s="1" customFormat="1" ht="35" customHeight="1" spans="1:9">
      <c r="A38" s="19"/>
      <c r="B38" s="21"/>
      <c r="C38" s="22"/>
      <c r="D38" s="23"/>
      <c r="E38" s="41"/>
      <c r="F38" s="39">
        <v>0</v>
      </c>
      <c r="G38" s="40"/>
      <c r="H38" s="15"/>
      <c r="I38" s="45"/>
    </row>
    <row r="39" s="1" customFormat="1" ht="35" customHeight="1" spans="1:9">
      <c r="A39" s="19"/>
      <c r="B39" s="21"/>
      <c r="C39" s="22"/>
      <c r="D39" s="23"/>
      <c r="E39" s="41"/>
      <c r="F39" s="39">
        <v>0</v>
      </c>
      <c r="G39" s="40"/>
      <c r="H39" s="15"/>
      <c r="I39" s="45"/>
    </row>
    <row r="40" s="1" customFormat="1" ht="35" customHeight="1" spans="1:9">
      <c r="A40" s="24"/>
      <c r="B40" s="25"/>
      <c r="C40" s="26"/>
      <c r="D40" s="27" t="s">
        <v>46</v>
      </c>
      <c r="E40" s="42"/>
      <c r="F40" s="43">
        <f>SUM(F34:G39)</f>
        <v>0</v>
      </c>
      <c r="G40" s="44"/>
      <c r="H40" s="15"/>
      <c r="I40" s="45"/>
    </row>
    <row r="41" s="1" customFormat="1" ht="35" customHeight="1" spans="1:9">
      <c r="A41" s="15"/>
      <c r="B41" s="15"/>
      <c r="C41" s="15"/>
      <c r="D41" s="15"/>
      <c r="E41" s="15"/>
      <c r="F41" s="15"/>
      <c r="G41" s="15"/>
      <c r="H41" s="15"/>
      <c r="I41" s="45"/>
    </row>
    <row r="42" s="1" customFormat="1" ht="35" customHeight="1" spans="1:9">
      <c r="A42" s="15"/>
      <c r="B42" s="15"/>
      <c r="C42" s="15"/>
      <c r="D42" s="15"/>
      <c r="E42" s="15"/>
      <c r="F42" s="15"/>
      <c r="G42" s="15"/>
      <c r="H42" s="15"/>
      <c r="I42" s="45"/>
    </row>
    <row r="43" s="1" customFormat="1" ht="35" customHeight="1" spans="1:9">
      <c r="A43" s="15"/>
      <c r="B43" s="15"/>
      <c r="C43" s="15"/>
      <c r="D43" s="15"/>
      <c r="E43" s="15"/>
      <c r="F43" s="15"/>
      <c r="G43" s="15"/>
      <c r="H43" s="15"/>
      <c r="I43" s="45"/>
    </row>
    <row r="44" s="1" customFormat="1" ht="35" customHeight="1" spans="1:9">
      <c r="A44" s="28" t="str">
        <f>"Fixed Expense For the Year "&amp;IF(Main!B2,TEXT(EDATE(Main!B3,9),"mmmm yyyy"),TEXT(Main!B3+((Main!B5-Main!B3)*9+9),"mmmm yyyy"))&amp;" to "&amp;IF(Main!B2,TEXT(EDATE(Main!B3,12)-1,"mmmm yyyy"),TEXT(Main!B3+((Main!B5-Main!B3)*12+11),"mmmm yyyy"))</f>
        <v>Fixed Expense For the Year February 2026 to April 2026</v>
      </c>
      <c r="B44" s="29"/>
      <c r="C44" s="30"/>
      <c r="D44" s="15"/>
      <c r="E44" s="15"/>
      <c r="F44" s="15"/>
      <c r="G44" s="15"/>
      <c r="H44" s="15"/>
      <c r="I44" s="45"/>
    </row>
    <row r="45" s="1" customFormat="1" ht="35" customHeight="1" spans="1:9">
      <c r="A45" s="2" t="s">
        <v>43</v>
      </c>
      <c r="B45" s="2" t="s">
        <v>44</v>
      </c>
      <c r="C45" s="2" t="s">
        <v>45</v>
      </c>
      <c r="D45" s="15"/>
      <c r="E45" s="15"/>
      <c r="F45" s="15"/>
      <c r="G45" s="15"/>
      <c r="H45" s="15"/>
      <c r="I45" s="45"/>
    </row>
    <row r="46" s="1" customFormat="1" ht="35" customHeight="1" spans="1:9">
      <c r="A46" s="31" t="s">
        <v>47</v>
      </c>
      <c r="B46" s="32"/>
      <c r="C46" s="33"/>
      <c r="D46" s="15"/>
      <c r="E46" s="15"/>
      <c r="F46" s="15"/>
      <c r="G46" s="15"/>
      <c r="H46" s="15"/>
      <c r="I46" s="45"/>
    </row>
    <row r="47" s="1" customFormat="1" ht="35" customHeight="1" spans="1:9">
      <c r="A47" s="34" t="str" cm="1">
        <f ca="1" t="array" ref="A47">IF((INDIRECT("'"&amp;INDIRECT("Main!B9")&amp;"'!A61"))=0,"",(INDIRECT("'"&amp;INDIRECT("Main!B9")&amp;"'!A61")))</f>
        <v/>
      </c>
      <c r="B47" s="34" t="str" cm="1">
        <f ca="1" t="array" ref="B47">IF((INDIRECT("'"&amp;INDIRECT("Main!B9")&amp;"'!B61"))=0,"",(INDIRECT("'"&amp;INDIRECT("Main!B9")&amp;"'!B61")))</f>
        <v/>
      </c>
      <c r="C47" s="35">
        <v>0</v>
      </c>
      <c r="D47" s="15"/>
      <c r="E47" s="15"/>
      <c r="F47" s="15"/>
      <c r="G47" s="15"/>
      <c r="H47" s="15"/>
      <c r="I47" s="45"/>
    </row>
    <row r="48" s="1" customFormat="1" ht="35" customHeight="1" spans="1:9">
      <c r="A48" s="34" t="str" cm="1">
        <f ca="1" t="array" ref="A48">IF((INDIRECT("'"&amp;INDIRECT("Main!B9")&amp;"'!A62"))=0,"",(INDIRECT("'"&amp;INDIRECT("Main!B9")&amp;"'!A62")))</f>
        <v/>
      </c>
      <c r="B48" s="34" t="str" cm="1">
        <f ca="1" t="array" ref="B48">IF((INDIRECT("'"&amp;INDIRECT("Main!B9")&amp;"'!B62"))=0,"",(INDIRECT("'"&amp;INDIRECT("Main!B9")&amp;"'!B62")))</f>
        <v/>
      </c>
      <c r="C48" s="35">
        <v>0</v>
      </c>
      <c r="D48" s="15"/>
      <c r="E48" s="15"/>
      <c r="F48" s="15"/>
      <c r="G48" s="15"/>
      <c r="H48" s="15"/>
      <c r="I48" s="45"/>
    </row>
    <row r="49" s="1" customFormat="1" ht="35" customHeight="1" spans="1:9">
      <c r="A49" s="34" t="str" cm="1">
        <f ca="1" t="array" ref="A49">IF((INDIRECT("'"&amp;INDIRECT("Main!B9")&amp;"'!A63"))=0,"",(INDIRECT("'"&amp;INDIRECT("Main!B9")&amp;"'!A63")))</f>
        <v/>
      </c>
      <c r="B49" s="34" t="str" cm="1">
        <f ca="1" t="array" ref="B49">IF((INDIRECT("'"&amp;INDIRECT("Main!B9")&amp;"'!B63"))=0,"",(INDIRECT("'"&amp;INDIRECT("Main!B9")&amp;"'!B63")))</f>
        <v/>
      </c>
      <c r="C49" s="35">
        <v>0</v>
      </c>
      <c r="D49" s="15"/>
      <c r="E49" s="15"/>
      <c r="F49" s="15"/>
      <c r="G49" s="15"/>
      <c r="H49" s="15"/>
      <c r="I49" s="45"/>
    </row>
    <row r="50" s="1" customFormat="1" ht="35" customHeight="1" spans="1:9">
      <c r="A50" s="34" t="str" cm="1">
        <f ca="1" t="array" ref="A50">IF((INDIRECT("'"&amp;INDIRECT("Main!B9")&amp;"'!A64"))=0,"",(INDIRECT("'"&amp;INDIRECT("Main!B9")&amp;"'!A64")))</f>
        <v/>
      </c>
      <c r="B50" s="34" t="str" cm="1">
        <f ca="1" t="array" ref="B50">IF((INDIRECT("'"&amp;INDIRECT("Main!B9")&amp;"'!B64"))=0,"",(INDIRECT("'"&amp;INDIRECT("Main!B9")&amp;"'!B64")))</f>
        <v/>
      </c>
      <c r="C50" s="35">
        <v>0</v>
      </c>
      <c r="D50" s="15"/>
      <c r="E50" s="15"/>
      <c r="F50" s="15"/>
      <c r="G50" s="15"/>
      <c r="H50" s="15"/>
      <c r="I50" s="45"/>
    </row>
    <row r="51" s="1" customFormat="1" ht="35" customHeight="1" spans="1:9">
      <c r="A51" s="34" t="str" cm="1">
        <f ca="1" t="array" ref="A51">IF((INDIRECT("'"&amp;INDIRECT("Main!B9")&amp;"'!A65"))=0,"",(INDIRECT("'"&amp;INDIRECT("Main!B9")&amp;"'!A65")))</f>
        <v/>
      </c>
      <c r="B51" s="34" t="str" cm="1">
        <f ca="1" t="array" ref="B51">IF((INDIRECT("'"&amp;INDIRECT("Main!B9")&amp;"'!B65"))=0,"",(INDIRECT("'"&amp;INDIRECT("Main!B9")&amp;"'!B65")))</f>
        <v/>
      </c>
      <c r="C51" s="35">
        <v>0</v>
      </c>
      <c r="D51" s="15"/>
      <c r="E51" s="15"/>
      <c r="F51" s="15"/>
      <c r="G51" s="15"/>
      <c r="H51" s="15"/>
      <c r="I51" s="45"/>
    </row>
    <row r="52" s="1" customFormat="1" ht="35" customHeight="1" spans="1:9">
      <c r="A52" s="34" t="str" cm="1">
        <f ca="1" t="array" ref="A52">IF((INDIRECT("'"&amp;INDIRECT("Main!B9")&amp;"'!A66"))=0,"",(INDIRECT("'"&amp;INDIRECT("Main!B9")&amp;"'!A66")))</f>
        <v/>
      </c>
      <c r="B52" s="34" t="str" cm="1">
        <f ca="1" t="array" ref="B52">IF((INDIRECT("'"&amp;INDIRECT("Main!B9")&amp;"'!B66"))=0,"",(INDIRECT("'"&amp;INDIRECT("Main!B9")&amp;"'!B66")))</f>
        <v/>
      </c>
      <c r="C52" s="35">
        <v>0</v>
      </c>
      <c r="D52" s="15"/>
      <c r="E52" s="15"/>
      <c r="F52" s="15"/>
      <c r="G52" s="15"/>
      <c r="H52" s="15"/>
      <c r="I52" s="45"/>
    </row>
    <row r="53" s="1" customFormat="1" ht="35" customHeight="1" spans="1:9">
      <c r="A53" s="34" t="str" cm="1">
        <f ca="1" t="array" ref="A53">IF((INDIRECT("'"&amp;INDIRECT("Main!B9")&amp;"'!A67"))=0,"",(INDIRECT("'"&amp;INDIRECT("Main!B9")&amp;"'!A67")))</f>
        <v/>
      </c>
      <c r="B53" s="34" t="str" cm="1">
        <f ca="1" t="array" ref="B53">IF((INDIRECT("'"&amp;INDIRECT("Main!B9")&amp;"'!B67"))=0,"",(INDIRECT("'"&amp;INDIRECT("Main!B9")&amp;"'!B67")))</f>
        <v/>
      </c>
      <c r="C53" s="35">
        <v>0</v>
      </c>
      <c r="D53" s="15"/>
      <c r="E53" s="15"/>
      <c r="F53" s="15"/>
      <c r="G53" s="15"/>
      <c r="H53" s="15"/>
      <c r="I53" s="45"/>
    </row>
    <row r="54" s="1" customFormat="1" ht="35" customHeight="1" spans="1:9">
      <c r="A54" s="34" t="str" cm="1">
        <f ca="1" t="array" ref="A54">IF((INDIRECT("'"&amp;INDIRECT("Main!B9")&amp;"'!A68"))=0,"",(INDIRECT("'"&amp;INDIRECT("Main!B9")&amp;"'!A68")))</f>
        <v/>
      </c>
      <c r="B54" s="34" t="str" cm="1">
        <f ca="1" t="array" ref="B54">IF((INDIRECT("'"&amp;INDIRECT("Main!B9")&amp;"'!B68"))=0,"",(INDIRECT("'"&amp;INDIRECT("Main!B9")&amp;"'!B68")))</f>
        <v/>
      </c>
      <c r="C54" s="35">
        <v>0</v>
      </c>
      <c r="D54" s="15"/>
      <c r="E54" s="15"/>
      <c r="F54" s="15"/>
      <c r="G54" s="15"/>
      <c r="H54" s="15"/>
      <c r="I54" s="45"/>
    </row>
    <row r="55" s="1" customFormat="1" ht="35" customHeight="1" spans="1:9">
      <c r="A55" s="36"/>
      <c r="B55" s="37" t="s">
        <v>48</v>
      </c>
      <c r="C55" s="35">
        <f>SUM(C47:C54)</f>
        <v>0</v>
      </c>
      <c r="D55" s="15"/>
      <c r="E55" s="15"/>
      <c r="F55" s="15"/>
      <c r="G55" s="15"/>
      <c r="H55" s="15"/>
      <c r="I55" s="45"/>
    </row>
    <row r="56" s="1" customFormat="1" ht="35" customHeight="1" spans="1:9">
      <c r="A56" s="83" t="s">
        <v>49</v>
      </c>
      <c r="B56" s="84"/>
      <c r="C56" s="85"/>
      <c r="D56" s="15"/>
      <c r="E56" s="15"/>
      <c r="F56" s="15"/>
      <c r="G56" s="15"/>
      <c r="H56" s="15"/>
      <c r="I56" s="45"/>
    </row>
    <row r="57" s="1" customFormat="1" ht="35" customHeight="1" spans="1:9">
      <c r="A57" s="34" t="str" cm="1">
        <f ca="1" t="array" ref="A57">IF((INDIRECT("'"&amp;INDIRECT("Main!B9")&amp;"'!A71"))=0,"",(INDIRECT("'"&amp;INDIRECT("Main!B9")&amp;"'!A71")))</f>
        <v/>
      </c>
      <c r="B57" s="34" t="str" cm="1">
        <f ca="1" t="array" ref="B57">IF((INDIRECT("'"&amp;INDIRECT("Main!B9")&amp;"'!B71"))=0,"",(INDIRECT("'"&amp;INDIRECT("Main!B9")&amp;"'!B71")))</f>
        <v/>
      </c>
      <c r="C57" s="35">
        <v>0</v>
      </c>
      <c r="D57" s="15"/>
      <c r="E57" s="15"/>
      <c r="F57" s="15"/>
      <c r="G57" s="15"/>
      <c r="H57" s="15"/>
      <c r="I57" s="45"/>
    </row>
    <row r="58" s="1" customFormat="1" ht="35" customHeight="1" spans="1:9">
      <c r="A58" s="34" t="str" cm="1">
        <f ca="1" t="array" ref="A58">IF((INDIRECT("'"&amp;INDIRECT("Main!B9")&amp;"'!A72"))=0,"",(INDIRECT("'"&amp;INDIRECT("Main!B9")&amp;"'!A72")))</f>
        <v/>
      </c>
      <c r="B58" s="34" t="str" cm="1">
        <f ca="1" t="array" ref="B58">IF((INDIRECT("'"&amp;INDIRECT("Main!B9")&amp;"'!B72"))=0,"",(INDIRECT("'"&amp;INDIRECT("Main!B9")&amp;"'!B72")))</f>
        <v/>
      </c>
      <c r="C58" s="35">
        <v>0</v>
      </c>
      <c r="D58" s="15"/>
      <c r="E58" s="15"/>
      <c r="F58" s="15"/>
      <c r="G58" s="15"/>
      <c r="H58" s="15"/>
      <c r="I58" s="45"/>
    </row>
    <row r="59" s="1" customFormat="1" ht="35" customHeight="1" spans="1:9">
      <c r="A59" s="34" t="str" cm="1">
        <f ca="1" t="array" ref="A59">IF((INDIRECT("'"&amp;INDIRECT("Main!B9")&amp;"'!A73"))=0,"",(INDIRECT("'"&amp;INDIRECT("Main!B9")&amp;"'!A73")))</f>
        <v/>
      </c>
      <c r="B59" s="34" t="str" cm="1">
        <f ca="1" t="array" ref="B59">IF((INDIRECT("'"&amp;INDIRECT("Main!B9")&amp;"'!B73"))=0,"",(INDIRECT("'"&amp;INDIRECT("Main!B9")&amp;"'!B73")))</f>
        <v/>
      </c>
      <c r="C59" s="35">
        <v>0</v>
      </c>
      <c r="D59" s="15"/>
      <c r="E59" s="15"/>
      <c r="F59" s="15"/>
      <c r="G59" s="15"/>
      <c r="H59" s="15"/>
      <c r="I59" s="45"/>
    </row>
    <row r="60" s="1" customFormat="1" ht="35" customHeight="1" spans="1:9">
      <c r="A60" s="34" t="str" cm="1">
        <f ca="1" t="array" ref="A60">IF((INDIRECT("'"&amp;INDIRECT("Main!B9")&amp;"'!A74"))=0,"",(INDIRECT("'"&amp;INDIRECT("Main!B9")&amp;"'!A74")))</f>
        <v/>
      </c>
      <c r="B60" s="34" t="str" cm="1">
        <f ca="1" t="array" ref="B60">IF((INDIRECT("'"&amp;INDIRECT("Main!B9")&amp;"'!B74"))=0,"",(INDIRECT("'"&amp;INDIRECT("Main!B9")&amp;"'!B74")))</f>
        <v/>
      </c>
      <c r="C60" s="35">
        <v>0</v>
      </c>
      <c r="D60" s="15"/>
      <c r="E60" s="15"/>
      <c r="F60" s="15"/>
      <c r="G60" s="15"/>
      <c r="H60" s="15"/>
      <c r="I60" s="45"/>
    </row>
    <row r="61" s="1" customFormat="1" ht="35" customHeight="1" spans="1:9">
      <c r="A61" s="34" t="str" cm="1">
        <f ca="1" t="array" ref="A61">IF((INDIRECT("'"&amp;INDIRECT("Main!B9")&amp;"'!A75"))=0,"",(INDIRECT("'"&amp;INDIRECT("Main!B9")&amp;"'!A75")))</f>
        <v/>
      </c>
      <c r="B61" s="34" t="str" cm="1">
        <f ca="1" t="array" ref="B61">IF((INDIRECT("'"&amp;INDIRECT("Main!B9")&amp;"'!B75"))=0,"",(INDIRECT("'"&amp;INDIRECT("Main!B9")&amp;"'!B75")))</f>
        <v/>
      </c>
      <c r="C61" s="35">
        <v>0</v>
      </c>
      <c r="D61" s="15"/>
      <c r="E61" s="15"/>
      <c r="F61" s="15"/>
      <c r="G61" s="15"/>
      <c r="H61" s="15"/>
      <c r="I61" s="45"/>
    </row>
    <row r="62" s="1" customFormat="1" ht="35" customHeight="1" spans="1:9">
      <c r="A62" s="34" t="str" cm="1">
        <f ca="1" t="array" ref="A62">IF((INDIRECT("'"&amp;INDIRECT("Main!B9")&amp;"'!A76"))=0,"",(INDIRECT("'"&amp;INDIRECT("Main!B9")&amp;"'!A76")))</f>
        <v/>
      </c>
      <c r="B62" s="34" t="str" cm="1">
        <f ca="1" t="array" ref="B62">IF((INDIRECT("'"&amp;INDIRECT("Main!B9")&amp;"'!B76"))=0,"",(INDIRECT("'"&amp;INDIRECT("Main!B9")&amp;"'!B76")))</f>
        <v/>
      </c>
      <c r="C62" s="35">
        <v>0</v>
      </c>
      <c r="D62" s="15"/>
      <c r="E62" s="15"/>
      <c r="F62" s="15"/>
      <c r="G62" s="15"/>
      <c r="H62" s="15"/>
      <c r="I62" s="45"/>
    </row>
    <row r="63" s="1" customFormat="1" ht="35" customHeight="1" spans="1:9">
      <c r="A63" s="34" t="str" cm="1">
        <f ca="1" t="array" ref="A63">IF((INDIRECT("'"&amp;INDIRECT("Main!B9")&amp;"'!A77"))=0,"",(INDIRECT("'"&amp;INDIRECT("Main!B9")&amp;"'!A77")))</f>
        <v/>
      </c>
      <c r="B63" s="34" t="str" cm="1">
        <f ca="1" t="array" ref="B63">IF((INDIRECT("'"&amp;INDIRECT("Main!B9")&amp;"'!B77"))=0,"",(INDIRECT("'"&amp;INDIRECT("Main!B9")&amp;"'!B77")))</f>
        <v/>
      </c>
      <c r="C63" s="35">
        <v>0</v>
      </c>
      <c r="D63" s="15"/>
      <c r="E63" s="15"/>
      <c r="F63" s="15"/>
      <c r="G63" s="15"/>
      <c r="H63" s="15"/>
      <c r="I63" s="45"/>
    </row>
    <row r="64" s="1" customFormat="1" ht="35" customHeight="1" spans="1:9">
      <c r="A64" s="34" t="str" cm="1">
        <f ca="1" t="array" ref="A64">IF((INDIRECT("'"&amp;INDIRECT("Main!B9")&amp;"'!A78"))=0,"",(INDIRECT("'"&amp;INDIRECT("Main!B9")&amp;"'!A78")))</f>
        <v/>
      </c>
      <c r="B64" s="34" t="str" cm="1">
        <f ca="1" t="array" ref="B64">IF((INDIRECT("'"&amp;INDIRECT("Main!B9")&amp;"'!B78"))=0,"",(INDIRECT("'"&amp;INDIRECT("Main!B9")&amp;"'!B78")))</f>
        <v/>
      </c>
      <c r="C64" s="35">
        <v>0</v>
      </c>
      <c r="D64" s="15"/>
      <c r="E64" s="15"/>
      <c r="F64" s="15"/>
      <c r="G64" s="15"/>
      <c r="H64" s="15"/>
      <c r="I64" s="45"/>
    </row>
    <row r="65" s="1" customFormat="1" ht="35" customHeight="1" spans="1:9">
      <c r="A65" s="34" t="str" cm="1">
        <f ca="1" t="array" ref="A65">IF((INDIRECT("'"&amp;INDIRECT("Main!B9")&amp;"'!A79"))=0,"",(INDIRECT("'"&amp;INDIRECT("Main!B9")&amp;"'!A79")))</f>
        <v/>
      </c>
      <c r="B65" s="34" t="str" cm="1">
        <f ca="1" t="array" ref="B65">IF((INDIRECT("'"&amp;INDIRECT("Main!B9")&amp;"'!B79"))=0,"",(INDIRECT("'"&amp;INDIRECT("Main!B9")&amp;"'!B79")))</f>
        <v/>
      </c>
      <c r="C65" s="35">
        <v>0</v>
      </c>
      <c r="D65" s="15"/>
      <c r="E65" s="15"/>
      <c r="F65" s="15"/>
      <c r="G65" s="15"/>
      <c r="H65" s="15"/>
      <c r="I65" s="45"/>
    </row>
    <row r="66" s="1" customFormat="1" ht="35" customHeight="1" spans="1:9">
      <c r="A66" s="46"/>
      <c r="B66" s="37" t="s">
        <v>48</v>
      </c>
      <c r="C66" s="35">
        <f>SUM(C57:C65)</f>
        <v>0</v>
      </c>
      <c r="D66" s="15"/>
      <c r="E66" s="15"/>
      <c r="F66" s="15"/>
      <c r="G66" s="15"/>
      <c r="H66" s="15"/>
      <c r="I66" s="45"/>
    </row>
    <row r="67" s="1" customFormat="1" ht="35" customHeight="1" spans="1:9">
      <c r="A67" s="83" t="s">
        <v>50</v>
      </c>
      <c r="B67" s="84"/>
      <c r="C67" s="85"/>
      <c r="D67" s="15"/>
      <c r="E67" s="15"/>
      <c r="F67" s="15"/>
      <c r="G67" s="15"/>
      <c r="H67" s="15"/>
      <c r="I67" s="45"/>
    </row>
    <row r="68" s="1" customFormat="1" ht="35" customHeight="1" spans="1:9">
      <c r="A68" s="47" t="str" cm="1">
        <f ca="1" t="array" ref="A68">IF((INDIRECT("'"&amp;INDIRECT("Main!B9")&amp;"'!A82"))=0,"",(INDIRECT("'"&amp;INDIRECT("Main!B9")&amp;"'!A82")))</f>
        <v/>
      </c>
      <c r="B68" s="47" t="str" cm="1">
        <f ca="1" t="array" ref="B68">IF((INDIRECT("'"&amp;INDIRECT("Main!B9")&amp;"'!B82"))=0,"",(INDIRECT("'"&amp;INDIRECT("Main!B9")&amp;"'!B82")))</f>
        <v/>
      </c>
      <c r="C68" s="35">
        <v>0</v>
      </c>
      <c r="D68" s="15"/>
      <c r="E68" s="15"/>
      <c r="F68" s="15"/>
      <c r="G68" s="15"/>
      <c r="H68" s="15"/>
      <c r="I68" s="45"/>
    </row>
    <row r="69" s="1" customFormat="1" ht="35" customHeight="1" spans="1:9">
      <c r="A69" s="47" t="str" cm="1">
        <f ca="1" t="array" ref="A69">IF((INDIRECT("'"&amp;INDIRECT("Main!B9")&amp;"'!A83"))=0,"",(INDIRECT("'"&amp;INDIRECT("Main!B9")&amp;"'!A83")))</f>
        <v/>
      </c>
      <c r="B69" s="47" t="str" cm="1">
        <f ca="1" t="array" ref="B69">IF((INDIRECT("'"&amp;INDIRECT("Main!B9")&amp;"'!B83"))=0,"",(INDIRECT("'"&amp;INDIRECT("Main!B9")&amp;"'!B83")))</f>
        <v/>
      </c>
      <c r="C69" s="35">
        <v>0</v>
      </c>
      <c r="D69" s="15"/>
      <c r="E69" s="15"/>
      <c r="F69" s="15"/>
      <c r="G69" s="15"/>
      <c r="H69" s="15"/>
      <c r="I69" s="45"/>
    </row>
    <row r="70" s="1" customFormat="1" ht="35" customHeight="1" spans="1:9">
      <c r="A70" s="47" t="str" cm="1">
        <f ca="1" t="array" ref="A70">IF((INDIRECT("'"&amp;INDIRECT("Main!B9")&amp;"'!A84"))=0,"",(INDIRECT("'"&amp;INDIRECT("Main!B9")&amp;"'!A84")))</f>
        <v/>
      </c>
      <c r="B70" s="47" t="str" cm="1">
        <f ca="1" t="array" ref="B70">IF((INDIRECT("'"&amp;INDIRECT("Main!B9")&amp;"'!B84"))=0,"",(INDIRECT("'"&amp;INDIRECT("Main!B9")&amp;"'!B84")))</f>
        <v/>
      </c>
      <c r="C70" s="35">
        <v>0</v>
      </c>
      <c r="D70" s="15"/>
      <c r="E70" s="15"/>
      <c r="F70" s="15"/>
      <c r="G70" s="15"/>
      <c r="H70" s="15"/>
      <c r="I70" s="45"/>
    </row>
    <row r="71" s="1" customFormat="1" ht="35" customHeight="1" spans="1:9">
      <c r="A71" s="47" t="str" cm="1">
        <f ca="1" t="array" ref="A71">IF((INDIRECT("'"&amp;INDIRECT("Main!B9")&amp;"'!A85"))=0,"",(INDIRECT("'"&amp;INDIRECT("Main!B9")&amp;"'!A85")))</f>
        <v/>
      </c>
      <c r="B71" s="47" t="str" cm="1">
        <f ca="1" t="array" ref="B71">IF((INDIRECT("'"&amp;INDIRECT("Main!B9")&amp;"'!B85"))=0,"",(INDIRECT("'"&amp;INDIRECT("Main!B9")&amp;"'!B85")))</f>
        <v/>
      </c>
      <c r="C71" s="35">
        <v>0</v>
      </c>
      <c r="D71" s="15"/>
      <c r="E71" s="15"/>
      <c r="F71" s="15"/>
      <c r="G71" s="15"/>
      <c r="H71" s="15"/>
      <c r="I71" s="45"/>
    </row>
    <row r="72" s="1" customFormat="1" ht="35" customHeight="1" spans="1:9">
      <c r="A72" s="47" t="str" cm="1">
        <f ca="1" t="array" ref="A72">IF((INDIRECT("'"&amp;INDIRECT("Main!B9")&amp;"'!A86"))=0,"",(INDIRECT("'"&amp;INDIRECT("Main!B9")&amp;"'!A86")))</f>
        <v/>
      </c>
      <c r="B72" s="47" t="str" cm="1">
        <f ca="1" t="array" ref="B72">IF((INDIRECT("'"&amp;INDIRECT("Main!B9")&amp;"'!B86"))=0,"",(INDIRECT("'"&amp;INDIRECT("Main!B9")&amp;"'!B86")))</f>
        <v/>
      </c>
      <c r="C72" s="35">
        <v>0</v>
      </c>
      <c r="D72" s="15"/>
      <c r="E72" s="15"/>
      <c r="F72" s="15"/>
      <c r="G72" s="15"/>
      <c r="H72" s="15"/>
      <c r="I72" s="45"/>
    </row>
    <row r="73" s="1" customFormat="1" ht="35" customHeight="1" spans="1:9">
      <c r="A73" s="47" t="str" cm="1">
        <f ca="1" t="array" ref="A73">IF((INDIRECT("'"&amp;INDIRECT("Main!B9")&amp;"'!A87"))=0,"",(INDIRECT("'"&amp;INDIRECT("Main!B9")&amp;"'!A87")))</f>
        <v/>
      </c>
      <c r="B73" s="47" t="str" cm="1">
        <f ca="1" t="array" ref="B73">IF((INDIRECT("'"&amp;INDIRECT("Main!B9")&amp;"'!B87"))=0,"",(INDIRECT("'"&amp;INDIRECT("Main!B9")&amp;"'!B87")))</f>
        <v/>
      </c>
      <c r="C73" s="35">
        <v>0</v>
      </c>
      <c r="D73" s="15"/>
      <c r="E73" s="15"/>
      <c r="F73" s="15"/>
      <c r="G73" s="15"/>
      <c r="H73" s="15"/>
      <c r="I73" s="45"/>
    </row>
    <row r="74" s="1" customFormat="1" ht="35" customHeight="1" spans="1:9">
      <c r="A74" s="47" t="str" cm="1">
        <f ca="1" t="array" ref="A74">IF((INDIRECT("'"&amp;INDIRECT("Main!B9")&amp;"'!A88"))=0,"",(INDIRECT("'"&amp;INDIRECT("Main!B9")&amp;"'!A88")))</f>
        <v/>
      </c>
      <c r="B74" s="47" t="str" cm="1">
        <f ca="1" t="array" ref="B74">IF((INDIRECT("'"&amp;INDIRECT("Main!B9")&amp;"'!B88"))=0,"",(INDIRECT("'"&amp;INDIRECT("Main!B9")&amp;"'!B88")))</f>
        <v/>
      </c>
      <c r="C74" s="35">
        <v>0</v>
      </c>
      <c r="D74" s="15"/>
      <c r="E74" s="15"/>
      <c r="F74" s="15"/>
      <c r="G74" s="15"/>
      <c r="H74" s="15"/>
      <c r="I74" s="45"/>
    </row>
    <row r="75" s="1" customFormat="1" ht="35" customHeight="1" spans="1:9">
      <c r="A75" s="46"/>
      <c r="B75" s="37" t="s">
        <v>48</v>
      </c>
      <c r="C75" s="35">
        <f>SUM(C68:C74)</f>
        <v>0</v>
      </c>
      <c r="D75" s="15"/>
      <c r="E75" s="15"/>
      <c r="F75" s="15"/>
      <c r="G75" s="15"/>
      <c r="H75" s="15"/>
      <c r="I75" s="45"/>
    </row>
    <row r="76" s="1" customFormat="1" ht="35" customHeight="1" spans="1:9">
      <c r="A76" s="83" t="s">
        <v>51</v>
      </c>
      <c r="B76" s="84"/>
      <c r="C76" s="85"/>
      <c r="D76" s="15"/>
      <c r="E76" s="15"/>
      <c r="F76" s="15"/>
      <c r="G76" s="15"/>
      <c r="H76" s="15"/>
      <c r="I76" s="45"/>
    </row>
    <row r="77" s="1" customFormat="1" ht="35" customHeight="1" spans="1:9">
      <c r="A77" s="34" t="str" cm="1">
        <f ca="1" t="array" ref="A77">IF((INDIRECT("'"&amp;INDIRECT("Main!B9")&amp;"'!A91"))=0,"",(INDIRECT("'"&amp;INDIRECT("Main!B9")&amp;"'!A91")))</f>
        <v/>
      </c>
      <c r="B77" s="34" t="str" cm="1">
        <f ca="1" t="array" ref="B77">IF((INDIRECT("'"&amp;INDIRECT("Main!B9")&amp;"'!B91"))=0,"",(INDIRECT("'"&amp;INDIRECT("Main!B9")&amp;"'!B91")))</f>
        <v/>
      </c>
      <c r="C77" s="35">
        <v>0</v>
      </c>
      <c r="D77" s="15"/>
      <c r="E77" s="15"/>
      <c r="F77" s="15"/>
      <c r="G77" s="15"/>
      <c r="H77" s="15"/>
      <c r="I77" s="45"/>
    </row>
    <row r="78" s="1" customFormat="1" ht="35" customHeight="1" spans="1:9">
      <c r="A78" s="34" t="str" cm="1">
        <f ca="1" t="array" ref="A78">IF((INDIRECT("'"&amp;INDIRECT("Main!B9")&amp;"'!A92"))=0,"",(INDIRECT("'"&amp;INDIRECT("Main!B9")&amp;"'!A92")))</f>
        <v/>
      </c>
      <c r="B78" s="34" t="str" cm="1">
        <f ca="1" t="array" ref="B78">IF((INDIRECT("'"&amp;INDIRECT("Main!B9")&amp;"'!B92"))=0,"",(INDIRECT("'"&amp;INDIRECT("Main!B9")&amp;"'!B92")))</f>
        <v/>
      </c>
      <c r="C78" s="35">
        <v>0</v>
      </c>
      <c r="D78" s="15"/>
      <c r="E78" s="15"/>
      <c r="F78" s="15"/>
      <c r="G78" s="15"/>
      <c r="H78" s="15"/>
      <c r="I78" s="45"/>
    </row>
    <row r="79" s="1" customFormat="1" ht="35" customHeight="1" spans="1:9">
      <c r="A79" s="34" t="str" cm="1">
        <f ca="1" t="array" ref="A79">IF((INDIRECT("'"&amp;INDIRECT("Main!B9")&amp;"'!A93"))=0,"",(INDIRECT("'"&amp;INDIRECT("Main!B9")&amp;"'!A93")))</f>
        <v/>
      </c>
      <c r="B79" s="34" t="str" cm="1">
        <f ca="1" t="array" ref="B79">IF((INDIRECT("'"&amp;INDIRECT("Main!B9")&amp;"'!B93"))=0,"",(INDIRECT("'"&amp;INDIRECT("Main!B9")&amp;"'!B93")))</f>
        <v/>
      </c>
      <c r="C79" s="35">
        <v>0</v>
      </c>
      <c r="D79" s="15"/>
      <c r="E79" s="15"/>
      <c r="F79" s="15"/>
      <c r="G79" s="15"/>
      <c r="H79" s="15"/>
      <c r="I79" s="45"/>
    </row>
    <row r="80" s="1" customFormat="1" ht="35" customHeight="1" spans="1:9">
      <c r="A80" s="34" t="str" cm="1">
        <f ca="1" t="array" ref="A80">IF((INDIRECT("'"&amp;INDIRECT("Main!B9")&amp;"'!A94"))=0,"",(INDIRECT("'"&amp;INDIRECT("Main!B9")&amp;"'!A94")))</f>
        <v/>
      </c>
      <c r="B80" s="34" t="str" cm="1">
        <f ca="1" t="array" ref="B80">IF((INDIRECT("'"&amp;INDIRECT("Main!B9")&amp;"'!B94"))=0,"",(INDIRECT("'"&amp;INDIRECT("Main!B9")&amp;"'!B94")))</f>
        <v/>
      </c>
      <c r="C80" s="35">
        <v>0</v>
      </c>
      <c r="D80" s="15"/>
      <c r="E80" s="15"/>
      <c r="F80" s="15"/>
      <c r="G80" s="15"/>
      <c r="H80" s="15"/>
      <c r="I80" s="45"/>
    </row>
    <row r="81" s="1" customFormat="1" ht="35" customHeight="1" spans="1:9">
      <c r="A81" s="34" t="str" cm="1">
        <f ca="1" t="array" ref="A81">IF((INDIRECT("'"&amp;INDIRECT("Main!B9")&amp;"'!A95"))=0,"",(INDIRECT("'"&amp;INDIRECT("Main!B9")&amp;"'!A95")))</f>
        <v/>
      </c>
      <c r="B81" s="34" t="str" cm="1">
        <f ca="1" t="array" ref="B81">IF((INDIRECT("'"&amp;INDIRECT("Main!B9")&amp;"'!B95"))=0,"",(INDIRECT("'"&amp;INDIRECT("Main!B9")&amp;"'!B95")))</f>
        <v/>
      </c>
      <c r="C81" s="35">
        <v>0</v>
      </c>
      <c r="D81" s="15"/>
      <c r="E81" s="15"/>
      <c r="F81" s="15"/>
      <c r="G81" s="15"/>
      <c r="H81" s="15"/>
      <c r="I81" s="45"/>
    </row>
    <row r="82" s="1" customFormat="1" ht="35" customHeight="1" spans="1:9">
      <c r="A82" s="34" t="str" cm="1">
        <f ca="1" t="array" ref="A82">IF((INDIRECT("'"&amp;INDIRECT("Main!B9")&amp;"'!A96"))=0,"",(INDIRECT("'"&amp;INDIRECT("Main!B9")&amp;"'!A96")))</f>
        <v/>
      </c>
      <c r="B82" s="34" t="str" cm="1">
        <f ca="1" t="array" ref="B82">IF((INDIRECT("'"&amp;INDIRECT("Main!B9")&amp;"'!B96"))=0,"",(INDIRECT("'"&amp;INDIRECT("Main!B9")&amp;"'!B96")))</f>
        <v/>
      </c>
      <c r="C82" s="35">
        <v>0</v>
      </c>
      <c r="D82" s="15"/>
      <c r="E82" s="15"/>
      <c r="F82" s="15"/>
      <c r="G82" s="15"/>
      <c r="H82" s="15"/>
      <c r="I82" s="45"/>
    </row>
    <row r="83" s="1" customFormat="1" ht="35" customHeight="1" spans="1:9">
      <c r="A83" s="34" t="str" cm="1">
        <f ca="1" t="array" ref="A83">IF((INDIRECT("'"&amp;INDIRECT("Main!B9")&amp;"'!A97"))=0,"",(INDIRECT("'"&amp;INDIRECT("Main!B9")&amp;"'!A97")))</f>
        <v/>
      </c>
      <c r="B83" s="34" t="str" cm="1">
        <f ca="1" t="array" ref="B83">IF((INDIRECT("'"&amp;INDIRECT("Main!B9")&amp;"'!B97"))=0,"",(INDIRECT("'"&amp;INDIRECT("Main!B9")&amp;"'!B97")))</f>
        <v/>
      </c>
      <c r="C83" s="35">
        <v>0</v>
      </c>
      <c r="D83" s="15"/>
      <c r="E83" s="15"/>
      <c r="F83" s="15"/>
      <c r="G83" s="15"/>
      <c r="H83" s="15"/>
      <c r="I83" s="45"/>
    </row>
    <row r="84" s="1" customFormat="1" ht="35" customHeight="1" spans="1:9">
      <c r="A84" s="34" t="str" cm="1">
        <f ca="1" t="array" ref="A84">IF((INDIRECT("'"&amp;INDIRECT("Main!B9")&amp;"'!A98"))=0,"",(INDIRECT("'"&amp;INDIRECT("Main!B9")&amp;"'!A98")))</f>
        <v/>
      </c>
      <c r="B84" s="34" t="str" cm="1">
        <f ca="1" t="array" ref="B84">IF((INDIRECT("'"&amp;INDIRECT("Main!B9")&amp;"'!B98"))=0,"",(INDIRECT("'"&amp;INDIRECT("Main!B9")&amp;"'!B98")))</f>
        <v/>
      </c>
      <c r="C84" s="35">
        <v>0</v>
      </c>
      <c r="D84" s="15"/>
      <c r="E84" s="15"/>
      <c r="F84" s="15"/>
      <c r="G84" s="15"/>
      <c r="H84" s="15"/>
      <c r="I84" s="45"/>
    </row>
    <row r="85" s="1" customFormat="1" ht="35" customHeight="1" spans="1:9">
      <c r="A85" s="46"/>
      <c r="B85" s="37" t="s">
        <v>48</v>
      </c>
      <c r="C85" s="35">
        <f>SUM(C77:C84)</f>
        <v>0</v>
      </c>
      <c r="D85" s="15"/>
      <c r="E85" s="15"/>
      <c r="F85" s="15"/>
      <c r="G85" s="15"/>
      <c r="H85" s="15"/>
      <c r="I85" s="45"/>
    </row>
    <row r="86" s="1" customFormat="1" ht="35" customHeight="1" spans="1:9">
      <c r="A86" s="83" t="s">
        <v>52</v>
      </c>
      <c r="B86" s="84"/>
      <c r="C86" s="85"/>
      <c r="D86" s="15"/>
      <c r="E86" s="15"/>
      <c r="F86" s="15"/>
      <c r="G86" s="15"/>
      <c r="H86" s="15"/>
      <c r="I86" s="45"/>
    </row>
    <row r="87" s="1" customFormat="1" ht="35" customHeight="1" spans="1:9">
      <c r="A87" s="34" t="str" cm="1">
        <f ca="1" t="array" ref="A87">IF((INDIRECT("'"&amp;INDIRECT("Main!B9")&amp;"'!A101"))=0,"",(INDIRECT("'"&amp;INDIRECT("Main!B9")&amp;"'!A101")))</f>
        <v/>
      </c>
      <c r="B87" s="34" t="str" cm="1">
        <f ca="1" t="array" ref="B87">IF((INDIRECT("'"&amp;INDIRECT("Main!B9")&amp;"'!B101"))=0,"",(INDIRECT("'"&amp;INDIRECT("Main!B9")&amp;"'!B101")))</f>
        <v/>
      </c>
      <c r="C87" s="35">
        <v>0</v>
      </c>
      <c r="D87" s="15"/>
      <c r="E87" s="15"/>
      <c r="F87" s="15"/>
      <c r="G87" s="15"/>
      <c r="H87" s="15"/>
      <c r="I87" s="45"/>
    </row>
    <row r="88" s="1" customFormat="1" ht="35" customHeight="1" spans="1:9">
      <c r="A88" s="34" t="str" cm="1">
        <f ca="1" t="array" ref="A88">IF((INDIRECT("'"&amp;INDIRECT("Main!B9")&amp;"'!A102"))=0,"",(INDIRECT("'"&amp;INDIRECT("Main!B9")&amp;"'!A102")))</f>
        <v/>
      </c>
      <c r="B88" s="34" t="str" cm="1">
        <f ca="1" t="array" ref="B88">IF((INDIRECT("'"&amp;INDIRECT("Main!B9")&amp;"'!B102"))=0,"",(INDIRECT("'"&amp;INDIRECT("Main!B9")&amp;"'!B102")))</f>
        <v/>
      </c>
      <c r="C88" s="35">
        <v>0</v>
      </c>
      <c r="D88" s="15"/>
      <c r="E88" s="15"/>
      <c r="F88" s="15"/>
      <c r="G88" s="15"/>
      <c r="H88" s="15"/>
      <c r="I88" s="45"/>
    </row>
    <row r="89" s="1" customFormat="1" ht="35" customHeight="1" spans="1:9">
      <c r="A89" s="34" t="str" cm="1">
        <f ca="1" t="array" ref="A89">IF((INDIRECT("'"&amp;INDIRECT("Main!B9")&amp;"'!A103"))=0,"",(INDIRECT("'"&amp;INDIRECT("Main!B9")&amp;"'!A103")))</f>
        <v/>
      </c>
      <c r="B89" s="34" t="str" cm="1">
        <f ca="1" t="array" ref="B89">IF((INDIRECT("'"&amp;INDIRECT("Main!B9")&amp;"'!B103"))=0,"",(INDIRECT("'"&amp;INDIRECT("Main!B9")&amp;"'!B103")))</f>
        <v/>
      </c>
      <c r="C89" s="35">
        <v>0</v>
      </c>
      <c r="D89" s="15"/>
      <c r="E89" s="15"/>
      <c r="F89" s="15"/>
      <c r="G89" s="15"/>
      <c r="H89" s="15"/>
      <c r="I89" s="45"/>
    </row>
    <row r="90" s="1" customFormat="1" ht="35" customHeight="1" spans="1:9">
      <c r="A90" s="34" t="str" cm="1">
        <f ca="1" t="array" ref="A90">IF((INDIRECT("'"&amp;INDIRECT("Main!B9")&amp;"'!A104"))=0,"",(INDIRECT("'"&amp;INDIRECT("Main!B9")&amp;"'!A104")))</f>
        <v/>
      </c>
      <c r="B90" s="34" t="str" cm="1">
        <f ca="1" t="array" ref="B90">IF((INDIRECT("'"&amp;INDIRECT("Main!B9")&amp;"'!B104"))=0,"",(INDIRECT("'"&amp;INDIRECT("Main!B9")&amp;"'!B104")))</f>
        <v/>
      </c>
      <c r="C90" s="35">
        <v>0</v>
      </c>
      <c r="D90" s="15"/>
      <c r="E90" s="62"/>
      <c r="F90" s="15"/>
      <c r="G90" s="15"/>
      <c r="H90" s="15"/>
      <c r="I90" s="45"/>
    </row>
    <row r="91" s="1" customFormat="1" ht="35" customHeight="1" spans="1:9">
      <c r="A91" s="34" t="str" cm="1">
        <f ca="1" t="array" ref="A91">IF((INDIRECT("'"&amp;INDIRECT("Main!B9")&amp;"'!A105"))=0,"",(INDIRECT("'"&amp;INDIRECT("Main!B9")&amp;"'!A105")))</f>
        <v/>
      </c>
      <c r="B91" s="34" t="str" cm="1">
        <f ca="1" t="array" ref="B91">IF((INDIRECT("'"&amp;INDIRECT("Main!B9")&amp;"'!B105"))=0,"",(INDIRECT("'"&amp;INDIRECT("Main!B9")&amp;"'!B105")))</f>
        <v/>
      </c>
      <c r="C91" s="35">
        <v>0</v>
      </c>
      <c r="D91" s="15"/>
      <c r="E91" s="15"/>
      <c r="F91" s="15"/>
      <c r="G91" s="15"/>
      <c r="H91" s="15"/>
      <c r="I91" s="45"/>
    </row>
    <row r="92" s="1" customFormat="1" ht="35" customHeight="1" spans="1:9">
      <c r="A92" s="34" t="str" cm="1">
        <f ca="1" t="array" ref="A92">IF((INDIRECT("'"&amp;INDIRECT("Main!B9")&amp;"'!A106"))=0,"",(INDIRECT("'"&amp;INDIRECT("Main!B9")&amp;"'!A106")))</f>
        <v/>
      </c>
      <c r="B92" s="34" t="str" cm="1">
        <f ca="1" t="array" ref="B92">IF((INDIRECT("'"&amp;INDIRECT("Main!B9")&amp;"'!B106"))=0,"",(INDIRECT("'"&amp;INDIRECT("Main!B9")&amp;"'!B106")))</f>
        <v/>
      </c>
      <c r="C92" s="35">
        <v>0</v>
      </c>
      <c r="D92" s="15"/>
      <c r="E92" s="15"/>
      <c r="F92" s="15"/>
      <c r="G92" s="15"/>
      <c r="H92" s="15"/>
      <c r="I92" s="45"/>
    </row>
    <row r="93" s="1" customFormat="1" ht="35" customHeight="1" spans="1:9">
      <c r="A93" s="34" t="str" cm="1">
        <f ca="1" t="array" ref="A93">IF((INDIRECT("'"&amp;INDIRECT("Main!B9")&amp;"'!A107"))=0,"",(INDIRECT("'"&amp;INDIRECT("Main!B9")&amp;"'!A107")))</f>
        <v/>
      </c>
      <c r="B93" s="34" t="str" cm="1">
        <f ca="1" t="array" ref="B93">IF((INDIRECT("'"&amp;INDIRECT("Main!B9")&amp;"'!B107"))=0,"",(INDIRECT("'"&amp;INDIRECT("Main!B9")&amp;"'!B107")))</f>
        <v/>
      </c>
      <c r="C93" s="35">
        <v>0</v>
      </c>
      <c r="D93" s="15"/>
      <c r="E93" s="15"/>
      <c r="F93" s="15"/>
      <c r="G93" s="15"/>
      <c r="H93" s="15"/>
      <c r="I93" s="45"/>
    </row>
    <row r="94" s="1" customFormat="1" ht="35" customHeight="1" spans="1:9">
      <c r="A94" s="34" t="str" cm="1">
        <f ca="1" t="array" ref="A94">IF((INDIRECT("'"&amp;INDIRECT("Main!B9")&amp;"'!A108"))=0,"",(INDIRECT("'"&amp;INDIRECT("Main!B9")&amp;"'!A108")))</f>
        <v/>
      </c>
      <c r="B94" s="34" t="str" cm="1">
        <f ca="1" t="array" ref="B94">IF((INDIRECT("'"&amp;INDIRECT("Main!B9")&amp;"'!B108"))=0,"",(INDIRECT("'"&amp;INDIRECT("Main!B9")&amp;"'!B108")))</f>
        <v/>
      </c>
      <c r="C94" s="35">
        <v>0</v>
      </c>
      <c r="D94" s="15"/>
      <c r="E94" s="15"/>
      <c r="F94" s="15"/>
      <c r="G94" s="15"/>
      <c r="H94" s="15"/>
      <c r="I94" s="45"/>
    </row>
    <row r="95" s="1" customFormat="1" ht="35" customHeight="1" spans="1:9">
      <c r="A95" s="47"/>
      <c r="B95" s="37" t="s">
        <v>48</v>
      </c>
      <c r="C95" s="35">
        <f>SUM(C87:C94)</f>
        <v>0</v>
      </c>
      <c r="D95" s="15"/>
      <c r="E95" s="15"/>
      <c r="F95" s="15"/>
      <c r="G95" s="15"/>
      <c r="H95" s="15"/>
      <c r="I95" s="45"/>
    </row>
    <row r="96" s="1" customFormat="1" ht="35" customHeight="1" spans="1:9">
      <c r="A96" s="46"/>
      <c r="B96" s="37" t="s">
        <v>53</v>
      </c>
      <c r="C96" s="35">
        <f>C55+C66+C75+C85+C95</f>
        <v>0</v>
      </c>
      <c r="D96" s="15"/>
      <c r="E96" s="15"/>
      <c r="F96" s="15"/>
      <c r="G96" s="15"/>
      <c r="H96" s="15"/>
      <c r="I96" s="45"/>
    </row>
    <row r="97" s="1" customFormat="1" ht="35" customHeight="1" spans="1:9">
      <c r="A97" s="83" t="s">
        <v>54</v>
      </c>
      <c r="B97" s="84"/>
      <c r="C97" s="85"/>
      <c r="D97" s="15"/>
      <c r="E97" s="15"/>
      <c r="F97" s="15"/>
      <c r="G97" s="15"/>
      <c r="H97" s="15"/>
      <c r="I97" s="45"/>
    </row>
    <row r="98" s="1" customFormat="1" ht="35" customHeight="1" spans="1:9">
      <c r="A98" s="34" t="str" cm="1">
        <f ca="1" t="array" ref="A98">IF((INDIRECT("'"&amp;INDIRECT("Main!B9")&amp;"'!A112"))=0,"",(INDIRECT("'"&amp;INDIRECT("Main!B9")&amp;"'!A112")))</f>
        <v/>
      </c>
      <c r="B98" s="34" t="str" cm="1">
        <f ca="1" t="array" ref="B98">IF((INDIRECT("'"&amp;INDIRECT("Main!B9")&amp;"'!B112"))=0,"",(INDIRECT("'"&amp;INDIRECT("Main!B9")&amp;"'!B112")))</f>
        <v/>
      </c>
      <c r="C98" s="35" cm="1">
        <f ca="1" t="array" ref="C98">INDIRECT("'"&amp;INDIRECT("Main!B15")&amp;"'!C98")+SUM(E118+E145+E172)</f>
        <v>0</v>
      </c>
      <c r="D98" s="15"/>
      <c r="E98" s="15"/>
      <c r="F98" s="15"/>
      <c r="G98" s="15"/>
      <c r="H98" s="15"/>
      <c r="I98" s="45"/>
    </row>
    <row r="99" s="1" customFormat="1" ht="35" customHeight="1" spans="1:9">
      <c r="A99" s="34" t="str" cm="1">
        <f ca="1" t="array" ref="A99">IF((INDIRECT("'"&amp;INDIRECT("Main!B9")&amp;"'!A113"))=0,"",(INDIRECT("'"&amp;INDIRECT("Main!B9")&amp;"'!A113")))</f>
        <v/>
      </c>
      <c r="B99" s="34" t="str" cm="1">
        <f ca="1" t="array" ref="B99">IF((INDIRECT("'"&amp;INDIRECT("Main!B9")&amp;"'!B113"))=0,"",(INDIRECT("'"&amp;INDIRECT("Main!B9")&amp;"'!B113")))</f>
        <v/>
      </c>
      <c r="C99" s="35" cm="1">
        <f ca="1" t="array" ref="C99">INDIRECT("'"&amp;INDIRECT("Main!B15")&amp;"'!C99")+SUM(E119+E146+E173)</f>
        <v>0</v>
      </c>
      <c r="D99" s="15"/>
      <c r="E99" s="15"/>
      <c r="F99" s="15"/>
      <c r="G99" s="15"/>
      <c r="H99" s="15"/>
      <c r="I99" s="45"/>
    </row>
    <row r="100" s="1" customFormat="1" ht="35" customHeight="1" spans="1:9">
      <c r="A100" s="34" t="str" cm="1">
        <f ca="1" t="array" ref="A100">IF((INDIRECT("'"&amp;INDIRECT("Main!B9")&amp;"'!A114"))=0,"",(INDIRECT("'"&amp;INDIRECT("Main!B9")&amp;"'!A114")))</f>
        <v/>
      </c>
      <c r="B100" s="34" t="str" cm="1">
        <f ca="1" t="array" ref="B100">IF((INDIRECT("'"&amp;INDIRECT("Main!B9")&amp;"'!B114"))=0,"",(INDIRECT("'"&amp;INDIRECT("Main!B9")&amp;"'!B114")))</f>
        <v/>
      </c>
      <c r="C100" s="35" cm="1">
        <f ca="1" t="array" ref="C100">INDIRECT("'"&amp;INDIRECT("Main!B15")&amp;"'!C100")+SUM(E120+E147+E174)</f>
        <v>0</v>
      </c>
      <c r="D100" s="15"/>
      <c r="E100" s="15"/>
      <c r="F100" s="15"/>
      <c r="G100" s="15"/>
      <c r="H100" s="15"/>
      <c r="I100" s="45"/>
    </row>
    <row r="101" s="1" customFormat="1" ht="35" customHeight="1" spans="1:9">
      <c r="A101" s="34" t="str" cm="1">
        <f ca="1" t="array" ref="A101">IF((INDIRECT("'"&amp;INDIRECT("Main!B9")&amp;"'!A115"))=0,"",(INDIRECT("'"&amp;INDIRECT("Main!B9")&amp;"'!A115")))</f>
        <v/>
      </c>
      <c r="B101" s="34" t="str" cm="1">
        <f ca="1" t="array" ref="B101">IF((INDIRECT("'"&amp;INDIRECT("Main!B9")&amp;"'!B115"))=0,"",(INDIRECT("'"&amp;INDIRECT("Main!B9")&amp;"'!B115")))</f>
        <v/>
      </c>
      <c r="C101" s="35" cm="1">
        <f ca="1" t="array" ref="C101">INDIRECT("'"&amp;INDIRECT("Main!B15")&amp;"'!C101")+SUM(E121+E148+E175)</f>
        <v>0</v>
      </c>
      <c r="D101" s="15"/>
      <c r="E101" s="15"/>
      <c r="F101" s="15"/>
      <c r="G101" s="15"/>
      <c r="H101" s="15"/>
      <c r="I101" s="45"/>
    </row>
    <row r="102" s="1" customFormat="1" ht="35" customHeight="1" spans="1:9">
      <c r="A102" s="34" t="str" cm="1">
        <f ca="1" t="array" ref="A102">IF((INDIRECT("'"&amp;INDIRECT("Main!B9")&amp;"'!A116"))=0,"",(INDIRECT("'"&amp;INDIRECT("Main!B9")&amp;"'!A116")))</f>
        <v/>
      </c>
      <c r="B102" s="34" t="str" cm="1">
        <f ca="1" t="array" ref="B102">IF((INDIRECT("'"&amp;INDIRECT("Main!B9")&amp;"'!B116"))=0,"",(INDIRECT("'"&amp;INDIRECT("Main!B9")&amp;"'!B116")))</f>
        <v/>
      </c>
      <c r="C102" s="35" cm="1">
        <f ca="1" t="array" ref="C102">INDIRECT("'"&amp;INDIRECT("Main!B15")&amp;"'!C102")+SUM(E122+E149+E176)</f>
        <v>0</v>
      </c>
      <c r="D102" s="15"/>
      <c r="E102" s="15"/>
      <c r="F102" s="15"/>
      <c r="G102" s="15"/>
      <c r="H102" s="15"/>
      <c r="I102" s="45"/>
    </row>
    <row r="103" s="1" customFormat="1" ht="35" customHeight="1" spans="1:9">
      <c r="A103" s="34" t="str" cm="1">
        <f ca="1" t="array" ref="A103">IF((INDIRECT("'"&amp;INDIRECT("Main!B9")&amp;"'!A117"))=0,"",(INDIRECT("'"&amp;INDIRECT("Main!B9")&amp;"'!A117")))</f>
        <v/>
      </c>
      <c r="B103" s="34" t="str" cm="1">
        <f ca="1" t="array" ref="B103">IF((INDIRECT("'"&amp;INDIRECT("Main!B9")&amp;"'!B117"))=0,"",(INDIRECT("'"&amp;INDIRECT("Main!B9")&amp;"'!B117")))</f>
        <v/>
      </c>
      <c r="C103" s="35" cm="1">
        <f ca="1" t="array" ref="C103">INDIRECT("'"&amp;INDIRECT("Main!B15")&amp;"'!C103")+SUM(E123+E150+E177)</f>
        <v>0</v>
      </c>
      <c r="D103" s="15"/>
      <c r="E103" s="15"/>
      <c r="F103" s="15"/>
      <c r="G103" s="15"/>
      <c r="H103" s="15"/>
      <c r="I103" s="45"/>
    </row>
    <row r="104" s="1" customFormat="1" ht="35" customHeight="1" spans="1:9">
      <c r="A104" s="34" t="str" cm="1">
        <f ca="1" t="array" ref="A104">IF((INDIRECT("'"&amp;INDIRECT("Main!B9")&amp;"'!A118"))=0,"",(INDIRECT("'"&amp;INDIRECT("Main!B9")&amp;"'!A118")))</f>
        <v/>
      </c>
      <c r="B104" s="34" t="str" cm="1">
        <f ca="1" t="array" ref="B104">IF((INDIRECT("'"&amp;INDIRECT("Main!B9")&amp;"'!B118"))=0,"",(INDIRECT("'"&amp;INDIRECT("Main!B9")&amp;"'!B118")))</f>
        <v/>
      </c>
      <c r="C104" s="35" cm="1">
        <f ca="1" t="array" ref="C104">INDIRECT("'"&amp;INDIRECT("Main!B15")&amp;"'!C104")+SUM(E124+E151+E178)</f>
        <v>0</v>
      </c>
      <c r="D104" s="15"/>
      <c r="E104" s="15"/>
      <c r="F104" s="15"/>
      <c r="G104" s="15"/>
      <c r="H104" s="15"/>
      <c r="I104" s="45"/>
    </row>
    <row r="105" s="1" customFormat="1" ht="35" customHeight="1" spans="1:9">
      <c r="A105" s="34" t="str" cm="1">
        <f ca="1" t="array" ref="A105">IF((INDIRECT("'"&amp;INDIRECT("Main!B9")&amp;"'!A119"))=0,"",(INDIRECT("'"&amp;INDIRECT("Main!B9")&amp;"'!A119")))</f>
        <v/>
      </c>
      <c r="B105" s="34" t="str" cm="1">
        <f ca="1" t="array" ref="B105">IF((INDIRECT("'"&amp;INDIRECT("Main!B9")&amp;"'!B119"))=0,"",(INDIRECT("'"&amp;INDIRECT("Main!B9")&amp;"'!B119")))</f>
        <v/>
      </c>
      <c r="C105" s="35" cm="1">
        <f ca="1" t="array" ref="C105">INDIRECT("'"&amp;INDIRECT("Main!B15")&amp;"'!C105")+SUM(E125+E152+E179)</f>
        <v>0</v>
      </c>
      <c r="D105" s="15"/>
      <c r="E105" s="15"/>
      <c r="F105" s="15"/>
      <c r="G105" s="15"/>
      <c r="H105" s="15"/>
      <c r="I105" s="45"/>
    </row>
    <row r="106" s="1" customFormat="1" ht="35" customHeight="1" spans="1:9">
      <c r="A106" s="34" t="str" cm="1">
        <f ca="1" t="array" ref="A106">IF((INDIRECT("'"&amp;INDIRECT("Main!B9")&amp;"'!A120"))=0,"",(INDIRECT("'"&amp;INDIRECT("Main!B9")&amp;"'!A120")))</f>
        <v/>
      </c>
      <c r="B106" s="34" t="str" cm="1">
        <f ca="1" t="array" ref="B106">IF((INDIRECT("'"&amp;INDIRECT("Main!B9")&amp;"'!B120"))=0,"",(INDIRECT("'"&amp;INDIRECT("Main!B9")&amp;"'!B120")))</f>
        <v/>
      </c>
      <c r="C106" s="35" cm="1">
        <f ca="1" t="array" ref="C106">INDIRECT("'"&amp;INDIRECT("Main!B15")&amp;"'!C106")+SUM(E126+E153+E180)</f>
        <v>0</v>
      </c>
      <c r="D106" s="15"/>
      <c r="E106" s="15"/>
      <c r="F106" s="15"/>
      <c r="G106" s="15"/>
      <c r="H106" s="15"/>
      <c r="I106" s="45"/>
    </row>
    <row r="107" s="1" customFormat="1" ht="35" customHeight="1" spans="1:9">
      <c r="A107" s="34" t="str" cm="1">
        <f ca="1" t="array" ref="A107">IF((INDIRECT("'"&amp;INDIRECT("Main!B9")&amp;"'!A121"))=0,"",(INDIRECT("'"&amp;INDIRECT("Main!B9")&amp;"'!A121")))</f>
        <v/>
      </c>
      <c r="B107" s="34" t="str" cm="1">
        <f ca="1" t="array" ref="B107">IF((INDIRECT("'"&amp;INDIRECT("Main!B9")&amp;"'!B121"))=0,"",(INDIRECT("'"&amp;INDIRECT("Main!B9")&amp;"'!B121")))</f>
        <v/>
      </c>
      <c r="C107" s="35" cm="1">
        <f ca="1" t="array" ref="C107">INDIRECT("'"&amp;INDIRECT("Main!B15")&amp;"'!C107")+SUM(E127+E154+E181)</f>
        <v>0</v>
      </c>
      <c r="D107" s="15"/>
      <c r="E107" s="15"/>
      <c r="F107" s="15"/>
      <c r="G107" s="15"/>
      <c r="H107" s="15"/>
      <c r="I107" s="45"/>
    </row>
    <row r="108" s="1" customFormat="1" ht="35" customHeight="1" spans="1:9">
      <c r="A108" s="46"/>
      <c r="B108" s="37" t="s">
        <v>55</v>
      </c>
      <c r="C108" s="35">
        <f ca="1">SUM(C98:C107)</f>
        <v>0</v>
      </c>
      <c r="D108" s="15"/>
      <c r="E108" s="15"/>
      <c r="F108" s="15"/>
      <c r="G108" s="15"/>
      <c r="H108" s="15"/>
      <c r="I108" s="45"/>
    </row>
    <row r="109" s="1" customFormat="1" ht="35" customHeight="1" spans="1:9">
      <c r="A109" s="46"/>
      <c r="B109" s="37" t="s">
        <v>56</v>
      </c>
      <c r="C109" s="35">
        <f ca="1">C108-C96</f>
        <v>0</v>
      </c>
      <c r="D109" s="15"/>
      <c r="E109" s="15"/>
      <c r="F109" s="15"/>
      <c r="G109" s="15"/>
      <c r="H109" s="15"/>
      <c r="I109" s="45"/>
    </row>
    <row r="110" s="1" customFormat="1" ht="35" customHeight="1" spans="1:9">
      <c r="A110" s="15"/>
      <c r="B110" s="15"/>
      <c r="C110" s="15"/>
      <c r="D110" s="15"/>
      <c r="E110" s="15"/>
      <c r="F110" s="15"/>
      <c r="G110" s="15"/>
      <c r="H110" s="15"/>
      <c r="I110" s="45"/>
    </row>
    <row r="111" s="1" customFormat="1" ht="35" customHeight="1" spans="1:9">
      <c r="A111" s="15"/>
      <c r="B111" s="15"/>
      <c r="C111" s="15"/>
      <c r="D111" s="15"/>
      <c r="E111" s="15"/>
      <c r="F111" s="15"/>
      <c r="G111" s="15"/>
      <c r="H111" s="15"/>
      <c r="I111" s="45"/>
    </row>
    <row r="112" s="1" customFormat="1" ht="35" customHeight="1" spans="1:9">
      <c r="A112" s="15"/>
      <c r="B112" s="15"/>
      <c r="C112" s="15"/>
      <c r="D112" s="15"/>
      <c r="E112" s="15"/>
      <c r="F112" s="15"/>
      <c r="G112" s="15"/>
      <c r="H112" s="15"/>
      <c r="I112" s="45"/>
    </row>
    <row r="113" s="1" customFormat="1" ht="35" customHeight="1" spans="1:9">
      <c r="A113" s="15"/>
      <c r="B113" s="15"/>
      <c r="C113" s="15"/>
      <c r="D113" s="15"/>
      <c r="E113" s="15"/>
      <c r="F113" s="15"/>
      <c r="G113" s="15"/>
      <c r="H113" s="15"/>
      <c r="I113" s="45"/>
    </row>
    <row r="114" s="1" customFormat="1" ht="35" customHeight="1" spans="1:9">
      <c r="A114" s="48" t="str">
        <f>"Debts Or Credits For the Comming "&amp;IF(Main!B2,TEXT(EDATE(Main!B3,9),"mmmm dd yyyy"),TEXT(Main!B3+((Main!B5-Main!B3)*9+9),"mmmm dd yyyy"))&amp;" to "&amp;IF(Main!B2,TEXT(EDATE(Main!B3,10)-1,"mmmm dd yyyy"),TEXT(Main!B3+((Main!B5-Main!B3)*10+9),"mmmm dd yyyy"))</f>
        <v>Debts Or Credits For the Comming February 01 2026 to February 28 2026</v>
      </c>
      <c r="B114" s="49"/>
      <c r="C114" s="49"/>
      <c r="D114" s="49"/>
      <c r="E114" s="50"/>
      <c r="F114" s="15"/>
      <c r="G114" s="15"/>
      <c r="H114" s="15"/>
      <c r="I114" s="45"/>
    </row>
    <row r="115" s="1" customFormat="1" ht="35" customHeight="1" spans="1:9">
      <c r="A115" s="48" t="s">
        <v>57</v>
      </c>
      <c r="B115" s="50"/>
      <c r="C115" s="48" t="s">
        <v>44</v>
      </c>
      <c r="D115" s="50"/>
      <c r="E115" s="64" t="s">
        <v>45</v>
      </c>
      <c r="F115" s="15"/>
      <c r="G115" s="15"/>
      <c r="H115" s="15"/>
      <c r="I115" s="45"/>
    </row>
    <row r="116" s="1" customFormat="1" ht="35" customHeight="1" spans="1:9">
      <c r="A116" s="51" t="str">
        <f>"Balance Brought Forward From "&amp;IF(Main!B2,TEXT(EDATE(Main!B3,9)-1,"mmmm yyyy"),TEXT(Main!B3+((Main!B5-Main!B3)*9+8),"mmmm yyyy"))</f>
        <v>Balance Brought Forward From January 2026</v>
      </c>
      <c r="B116" s="52"/>
      <c r="C116" s="53"/>
      <c r="D116" s="53"/>
      <c r="E116" s="65" cm="1">
        <f ca="1" t="array" ref="E116">INDIRECT("'"&amp;INDIRECT("Main!B15")&amp;"'!E190")</f>
        <v>0</v>
      </c>
      <c r="F116" s="15"/>
      <c r="G116" s="15"/>
      <c r="H116" s="15"/>
      <c r="I116" s="45"/>
    </row>
    <row r="117" s="1" customFormat="1" ht="35" customHeight="1" spans="1:9">
      <c r="A117" s="54" t="s">
        <v>52</v>
      </c>
      <c r="B117" s="55"/>
      <c r="C117" s="56" t="s">
        <v>58</v>
      </c>
      <c r="D117" s="57"/>
      <c r="E117" s="66"/>
      <c r="F117" s="15"/>
      <c r="G117" s="15"/>
      <c r="H117" s="15"/>
      <c r="I117" s="45"/>
    </row>
    <row r="118" s="1" customFormat="1" ht="35" customHeight="1" spans="1:9">
      <c r="A118" s="58"/>
      <c r="B118" s="59"/>
      <c r="C118" s="60"/>
      <c r="D118" s="61"/>
      <c r="E118" s="35">
        <v>0</v>
      </c>
      <c r="F118" s="15"/>
      <c r="G118" s="15"/>
      <c r="H118" s="15"/>
      <c r="I118" s="45"/>
    </row>
    <row r="119" s="1" customFormat="1" ht="35" customHeight="1" spans="1:9">
      <c r="A119" s="58"/>
      <c r="B119" s="59"/>
      <c r="C119" s="60"/>
      <c r="D119" s="61"/>
      <c r="E119" s="35">
        <v>0</v>
      </c>
      <c r="F119" s="15"/>
      <c r="G119" s="15"/>
      <c r="H119" s="15"/>
      <c r="I119" s="45"/>
    </row>
    <row r="120" s="1" customFormat="1" ht="35" customHeight="1" spans="1:9">
      <c r="A120" s="58"/>
      <c r="B120" s="59"/>
      <c r="C120" s="60"/>
      <c r="D120" s="61"/>
      <c r="E120" s="35">
        <v>0</v>
      </c>
      <c r="F120" s="15"/>
      <c r="G120" s="15"/>
      <c r="H120" s="15"/>
      <c r="I120" s="45"/>
    </row>
    <row r="121" s="1" customFormat="1" ht="35" customHeight="1" spans="1:9">
      <c r="A121" s="58"/>
      <c r="B121" s="59"/>
      <c r="C121" s="60"/>
      <c r="D121" s="61"/>
      <c r="E121" s="35">
        <v>0</v>
      </c>
      <c r="F121" s="15"/>
      <c r="G121" s="15"/>
      <c r="H121" s="15"/>
      <c r="I121" s="45"/>
    </row>
    <row r="122" s="1" customFormat="1" ht="35" customHeight="1" spans="1:9">
      <c r="A122" s="58"/>
      <c r="B122" s="59"/>
      <c r="C122" s="60"/>
      <c r="D122" s="61"/>
      <c r="E122" s="35">
        <v>0</v>
      </c>
      <c r="F122" s="15"/>
      <c r="G122" s="15"/>
      <c r="H122" s="15"/>
      <c r="I122" s="45"/>
    </row>
    <row r="123" s="1" customFormat="1" ht="35" customHeight="1" spans="1:9">
      <c r="A123" s="58"/>
      <c r="B123" s="59"/>
      <c r="C123" s="60"/>
      <c r="D123" s="61"/>
      <c r="E123" s="35">
        <v>0</v>
      </c>
      <c r="F123" s="15"/>
      <c r="G123" s="15"/>
      <c r="H123" s="15"/>
      <c r="I123" s="45"/>
    </row>
    <row r="124" s="1" customFormat="1" ht="35" customHeight="1" spans="1:9">
      <c r="A124" s="58"/>
      <c r="B124" s="59"/>
      <c r="C124" s="60"/>
      <c r="D124" s="61"/>
      <c r="E124" s="35">
        <v>0</v>
      </c>
      <c r="F124" s="15"/>
      <c r="G124" s="15"/>
      <c r="H124" s="15"/>
      <c r="I124" s="45"/>
    </row>
    <row r="125" s="1" customFormat="1" ht="35" customHeight="1" spans="1:9">
      <c r="A125" s="58"/>
      <c r="B125" s="59"/>
      <c r="C125" s="60"/>
      <c r="D125" s="61"/>
      <c r="E125" s="35">
        <v>0</v>
      </c>
      <c r="F125" s="15"/>
      <c r="G125" s="15"/>
      <c r="H125" s="15"/>
      <c r="I125" s="45"/>
    </row>
    <row r="126" s="1" customFormat="1" ht="35" customHeight="1" spans="1:9">
      <c r="A126" s="58"/>
      <c r="B126" s="59"/>
      <c r="C126" s="60"/>
      <c r="D126" s="61"/>
      <c r="E126" s="35">
        <v>0</v>
      </c>
      <c r="F126" s="15"/>
      <c r="G126" s="15"/>
      <c r="H126" s="15"/>
      <c r="I126" s="45"/>
    </row>
    <row r="127" s="1" customFormat="1" ht="35" customHeight="1" spans="1:9">
      <c r="A127" s="58"/>
      <c r="B127" s="59"/>
      <c r="C127" s="60"/>
      <c r="D127" s="61"/>
      <c r="E127" s="35">
        <v>0</v>
      </c>
      <c r="F127" s="15"/>
      <c r="G127" s="15"/>
      <c r="H127" s="15"/>
      <c r="I127" s="45"/>
    </row>
    <row r="128" s="1" customFormat="1" ht="35" customHeight="1" spans="1:9">
      <c r="A128" s="58"/>
      <c r="B128" s="59"/>
      <c r="C128" s="56" t="s">
        <v>59</v>
      </c>
      <c r="D128" s="57"/>
      <c r="E128" s="66"/>
      <c r="F128" s="15"/>
      <c r="G128" s="15"/>
      <c r="H128" s="15"/>
      <c r="I128" s="45"/>
    </row>
    <row r="129" s="1" customFormat="1" ht="35" customHeight="1" spans="1:9">
      <c r="A129" s="58"/>
      <c r="B129" s="59"/>
      <c r="C129" s="60"/>
      <c r="D129" s="61"/>
      <c r="E129" s="78">
        <v>0</v>
      </c>
      <c r="F129" s="15"/>
      <c r="G129" s="15"/>
      <c r="H129" s="15"/>
      <c r="I129" s="45"/>
    </row>
    <row r="130" s="1" customFormat="1" ht="35" customHeight="1" spans="1:9">
      <c r="A130" s="58"/>
      <c r="B130" s="59"/>
      <c r="C130" s="60"/>
      <c r="D130" s="61"/>
      <c r="E130" s="78">
        <v>0</v>
      </c>
      <c r="F130" s="15"/>
      <c r="G130" s="15"/>
      <c r="H130" s="15"/>
      <c r="I130" s="45"/>
    </row>
    <row r="131" s="1" customFormat="1" ht="35" customHeight="1" spans="1:9">
      <c r="A131" s="58"/>
      <c r="B131" s="59"/>
      <c r="C131" s="60"/>
      <c r="D131" s="61"/>
      <c r="E131" s="78">
        <v>0</v>
      </c>
      <c r="F131" s="15"/>
      <c r="G131" s="15"/>
      <c r="H131" s="15"/>
      <c r="I131" s="45"/>
    </row>
    <row r="132" s="1" customFormat="1" ht="35" customHeight="1" spans="1:9">
      <c r="A132" s="58"/>
      <c r="B132" s="59"/>
      <c r="C132" s="60"/>
      <c r="D132" s="61"/>
      <c r="E132" s="78">
        <v>0</v>
      </c>
      <c r="F132" s="15"/>
      <c r="G132" s="15"/>
      <c r="H132" s="15"/>
      <c r="I132" s="45"/>
    </row>
    <row r="133" s="1" customFormat="1" ht="35" customHeight="1" spans="1:9">
      <c r="A133" s="58"/>
      <c r="B133" s="59"/>
      <c r="C133" s="60"/>
      <c r="D133" s="61"/>
      <c r="E133" s="78">
        <v>0</v>
      </c>
      <c r="F133" s="15"/>
      <c r="G133" s="15"/>
      <c r="H133" s="15"/>
      <c r="I133" s="45"/>
    </row>
    <row r="134" s="1" customFormat="1" ht="35" customHeight="1" spans="1:9">
      <c r="A134" s="67"/>
      <c r="B134" s="68"/>
      <c r="C134" s="60"/>
      <c r="D134" s="61"/>
      <c r="E134" s="78">
        <v>0</v>
      </c>
      <c r="F134" s="15"/>
      <c r="G134" s="15"/>
      <c r="H134" s="15"/>
      <c r="I134" s="45"/>
    </row>
    <row r="135" s="1" customFormat="1" ht="35" customHeight="1" spans="1:9">
      <c r="A135" s="51" t="s">
        <v>60</v>
      </c>
      <c r="B135" s="69"/>
      <c r="C135" s="70"/>
      <c r="D135" s="71"/>
      <c r="E135" s="78">
        <f>C96</f>
        <v>0</v>
      </c>
      <c r="F135" s="15"/>
      <c r="G135" s="15"/>
      <c r="H135" s="15"/>
      <c r="I135" s="45"/>
    </row>
    <row r="136" s="1" customFormat="1" ht="35" customHeight="1" spans="1:9">
      <c r="A136" s="72"/>
      <c r="B136" s="73"/>
      <c r="C136" s="37" t="s">
        <v>61</v>
      </c>
      <c r="D136" s="37"/>
      <c r="E136" s="79">
        <f ca="1">(F16+E116)-(SUM(E118:E127)+SUM(E129:E135))</f>
        <v>0</v>
      </c>
      <c r="F136" s="15"/>
      <c r="G136" s="15"/>
      <c r="H136" s="15"/>
      <c r="I136" s="45"/>
    </row>
    <row r="137" s="1" customFormat="1" ht="35" customHeight="1" spans="1:9">
      <c r="A137" s="15"/>
      <c r="B137" s="15"/>
      <c r="C137" s="15"/>
      <c r="D137" s="15"/>
      <c r="E137" s="15"/>
      <c r="F137" s="15"/>
      <c r="G137" s="15"/>
      <c r="H137" s="15"/>
      <c r="I137" s="45"/>
    </row>
    <row r="138" s="1" customFormat="1" ht="35" customHeight="1" spans="1:9">
      <c r="A138" s="15"/>
      <c r="B138" s="15"/>
      <c r="C138" s="15"/>
      <c r="D138" s="15"/>
      <c r="E138" s="15"/>
      <c r="F138" s="15"/>
      <c r="G138" s="15"/>
      <c r="H138" s="15"/>
      <c r="I138" s="45"/>
    </row>
    <row r="139" s="1" customFormat="1" ht="35" customHeight="1" spans="1:9">
      <c r="A139" s="15"/>
      <c r="B139" s="15"/>
      <c r="C139" s="15"/>
      <c r="D139" s="15"/>
      <c r="E139" s="15"/>
      <c r="F139" s="15"/>
      <c r="G139" s="15"/>
      <c r="H139" s="15"/>
      <c r="I139" s="45"/>
    </row>
    <row r="140" s="1" customFormat="1" ht="35" customHeight="1" spans="1:9">
      <c r="A140" s="15"/>
      <c r="B140" s="15"/>
      <c r="C140" s="15"/>
      <c r="D140" s="15"/>
      <c r="E140" s="15"/>
      <c r="F140" s="15"/>
      <c r="G140" s="15"/>
      <c r="H140" s="15"/>
      <c r="I140" s="45"/>
    </row>
    <row r="141" s="1" customFormat="1" ht="35" customHeight="1" spans="1:9">
      <c r="A141" s="48" t="str">
        <f>"Debts Or Credits For the Comming "&amp;IF(Main!B2,TEXT(EDATE(Main!B3,10),"mmmm dd yyyy"),TEXT(Main!B3+((Main!B5-Main!B3)*10+10),"dd mmmm yyyy"))&amp;" to "&amp;IF(Main!B2,TEXT(EDATE(Main!B3,11)-1,"mmmm dd yyyy"),TEXT(Main!B3+((Main!B5-Main!B3)*11+10),"mmmm dd yyyy"))</f>
        <v>Debts Or Credits For the Comming March 01 2026 to March 31 2026</v>
      </c>
      <c r="B141" s="49"/>
      <c r="C141" s="49"/>
      <c r="D141" s="49"/>
      <c r="E141" s="50"/>
      <c r="F141" s="15"/>
      <c r="G141" s="15"/>
      <c r="H141" s="15"/>
      <c r="I141" s="45"/>
    </row>
    <row r="142" s="1" customFormat="1" ht="35" customHeight="1" spans="1:9">
      <c r="A142" s="48" t="s">
        <v>57</v>
      </c>
      <c r="B142" s="50"/>
      <c r="C142" s="74" t="s">
        <v>44</v>
      </c>
      <c r="D142" s="75"/>
      <c r="E142" s="80" t="s">
        <v>45</v>
      </c>
      <c r="F142" s="15"/>
      <c r="G142" s="15"/>
      <c r="H142" s="15"/>
      <c r="I142" s="45"/>
    </row>
    <row r="143" s="1" customFormat="1" ht="35" customHeight="1" spans="1:9">
      <c r="A143" s="51" t="str">
        <f>"Balance Brought Forward From "&amp;IF(Main!B2,TEXT(EDATE(Main!B3,10)-1,"mmmm yyyy"),TEXT(Main!B3+((Main!B5-Main!B3)*10+9),"mmmm yyyy"))</f>
        <v>Balance Brought Forward From February 2026</v>
      </c>
      <c r="B143" s="52"/>
      <c r="C143" s="53"/>
      <c r="D143" s="53"/>
      <c r="E143" s="79">
        <f ca="1">E136</f>
        <v>0</v>
      </c>
      <c r="F143" s="15"/>
      <c r="G143" s="15"/>
      <c r="H143" s="15"/>
      <c r="I143" s="45"/>
    </row>
    <row r="144" s="1" customFormat="1" ht="35" customHeight="1" spans="1:9">
      <c r="A144" s="54" t="s">
        <v>52</v>
      </c>
      <c r="B144" s="55"/>
      <c r="C144" s="76" t="s">
        <v>58</v>
      </c>
      <c r="D144" s="77"/>
      <c r="E144" s="81"/>
      <c r="F144" s="15"/>
      <c r="G144" s="15"/>
      <c r="H144" s="15"/>
      <c r="I144" s="45"/>
    </row>
    <row r="145" s="1" customFormat="1" ht="35" customHeight="1" spans="1:9">
      <c r="A145" s="58"/>
      <c r="B145" s="59"/>
      <c r="C145" s="60"/>
      <c r="D145" s="61"/>
      <c r="E145" s="35">
        <v>0</v>
      </c>
      <c r="F145" s="15"/>
      <c r="G145" s="15"/>
      <c r="H145" s="15"/>
      <c r="I145" s="45"/>
    </row>
    <row r="146" s="1" customFormat="1" ht="35" customHeight="1" spans="1:9">
      <c r="A146" s="58"/>
      <c r="B146" s="59"/>
      <c r="C146" s="60"/>
      <c r="D146" s="61"/>
      <c r="E146" s="35">
        <v>0</v>
      </c>
      <c r="F146" s="15"/>
      <c r="G146" s="15"/>
      <c r="H146" s="15"/>
      <c r="I146" s="45"/>
    </row>
    <row r="147" s="1" customFormat="1" ht="35" customHeight="1" spans="1:9">
      <c r="A147" s="58"/>
      <c r="B147" s="59"/>
      <c r="C147" s="60"/>
      <c r="D147" s="61"/>
      <c r="E147" s="35">
        <v>0</v>
      </c>
      <c r="F147" s="15"/>
      <c r="G147" s="15"/>
      <c r="H147" s="15"/>
      <c r="I147" s="45"/>
    </row>
    <row r="148" s="1" customFormat="1" ht="35" customHeight="1" spans="1:9">
      <c r="A148" s="58"/>
      <c r="B148" s="59"/>
      <c r="C148" s="60"/>
      <c r="D148" s="61"/>
      <c r="E148" s="35">
        <v>0</v>
      </c>
      <c r="F148" s="15"/>
      <c r="G148" s="15"/>
      <c r="H148" s="15"/>
      <c r="I148" s="45"/>
    </row>
    <row r="149" s="1" customFormat="1" ht="35" customHeight="1" spans="1:9">
      <c r="A149" s="58"/>
      <c r="B149" s="59"/>
      <c r="C149" s="60"/>
      <c r="D149" s="61"/>
      <c r="E149" s="35">
        <v>0</v>
      </c>
      <c r="F149" s="15"/>
      <c r="G149" s="15"/>
      <c r="H149" s="15"/>
      <c r="I149" s="45"/>
    </row>
    <row r="150" s="1" customFormat="1" ht="35" customHeight="1" spans="1:9">
      <c r="A150" s="58"/>
      <c r="B150" s="59"/>
      <c r="C150" s="60"/>
      <c r="D150" s="61"/>
      <c r="E150" s="35">
        <v>0</v>
      </c>
      <c r="F150" s="15"/>
      <c r="G150" s="15"/>
      <c r="H150" s="15"/>
      <c r="I150" s="45"/>
    </row>
    <row r="151" s="1" customFormat="1" ht="35" customHeight="1" spans="1:9">
      <c r="A151" s="58"/>
      <c r="B151" s="59"/>
      <c r="C151" s="60"/>
      <c r="D151" s="61"/>
      <c r="E151" s="35">
        <v>0</v>
      </c>
      <c r="F151" s="15"/>
      <c r="G151" s="15"/>
      <c r="H151" s="15"/>
      <c r="I151" s="45"/>
    </row>
    <row r="152" s="1" customFormat="1" ht="35" customHeight="1" spans="1:9">
      <c r="A152" s="58"/>
      <c r="B152" s="59"/>
      <c r="C152" s="60"/>
      <c r="D152" s="61"/>
      <c r="E152" s="35">
        <v>0</v>
      </c>
      <c r="F152" s="15"/>
      <c r="G152" s="15"/>
      <c r="H152" s="15"/>
      <c r="I152" s="45"/>
    </row>
    <row r="153" s="1" customFormat="1" ht="35" customHeight="1" spans="1:9">
      <c r="A153" s="58"/>
      <c r="B153" s="59"/>
      <c r="C153" s="60"/>
      <c r="D153" s="61"/>
      <c r="E153" s="35">
        <v>0</v>
      </c>
      <c r="F153" s="15"/>
      <c r="G153" s="15"/>
      <c r="H153" s="15"/>
      <c r="I153" s="45"/>
    </row>
    <row r="154" s="1" customFormat="1" ht="35" customHeight="1" spans="1:9">
      <c r="A154" s="58"/>
      <c r="B154" s="59"/>
      <c r="C154" s="60"/>
      <c r="D154" s="61"/>
      <c r="E154" s="35">
        <v>0</v>
      </c>
      <c r="F154" s="15"/>
      <c r="G154" s="15"/>
      <c r="H154" s="15"/>
      <c r="I154" s="45"/>
    </row>
    <row r="155" s="1" customFormat="1" ht="35" customHeight="1" spans="1:9">
      <c r="A155" s="58"/>
      <c r="B155" s="59"/>
      <c r="C155" s="56" t="s">
        <v>59</v>
      </c>
      <c r="D155" s="57"/>
      <c r="E155" s="66"/>
      <c r="F155" s="15"/>
      <c r="G155" s="15"/>
      <c r="H155" s="15"/>
      <c r="I155" s="45"/>
    </row>
    <row r="156" s="1" customFormat="1" ht="35" customHeight="1" spans="1:9">
      <c r="A156" s="58"/>
      <c r="B156" s="59"/>
      <c r="C156" s="60"/>
      <c r="D156" s="61"/>
      <c r="E156" s="78">
        <v>0</v>
      </c>
      <c r="F156" s="15"/>
      <c r="G156" s="15"/>
      <c r="H156" s="15"/>
      <c r="I156" s="45"/>
    </row>
    <row r="157" s="1" customFormat="1" ht="35" customHeight="1" spans="1:9">
      <c r="A157" s="58"/>
      <c r="B157" s="59"/>
      <c r="C157" s="60"/>
      <c r="D157" s="61"/>
      <c r="E157" s="78">
        <v>0</v>
      </c>
      <c r="F157" s="15"/>
      <c r="G157" s="15"/>
      <c r="H157" s="15"/>
      <c r="I157" s="45"/>
    </row>
    <row r="158" s="1" customFormat="1" ht="35" customHeight="1" spans="1:9">
      <c r="A158" s="58"/>
      <c r="B158" s="59"/>
      <c r="C158" s="60"/>
      <c r="D158" s="61"/>
      <c r="E158" s="78">
        <v>0</v>
      </c>
      <c r="F158" s="15"/>
      <c r="G158" s="15"/>
      <c r="H158" s="15"/>
      <c r="I158" s="45"/>
    </row>
    <row r="159" s="1" customFormat="1" ht="35" customHeight="1" spans="1:9">
      <c r="A159" s="58"/>
      <c r="B159" s="59"/>
      <c r="C159" s="60"/>
      <c r="D159" s="61"/>
      <c r="E159" s="78">
        <v>0</v>
      </c>
      <c r="F159" s="15"/>
      <c r="G159" s="15"/>
      <c r="H159" s="15"/>
      <c r="I159" s="45"/>
    </row>
    <row r="160" s="1" customFormat="1" ht="35" customHeight="1" spans="1:9">
      <c r="A160" s="58"/>
      <c r="B160" s="59"/>
      <c r="C160" s="60"/>
      <c r="D160" s="61"/>
      <c r="E160" s="78">
        <v>0</v>
      </c>
      <c r="F160" s="15"/>
      <c r="G160" s="15"/>
      <c r="H160" s="15"/>
      <c r="I160" s="45"/>
    </row>
    <row r="161" s="1" customFormat="1" ht="35" customHeight="1" spans="1:9">
      <c r="A161" s="67"/>
      <c r="B161" s="68"/>
      <c r="C161" s="60"/>
      <c r="D161" s="61"/>
      <c r="E161" s="78">
        <v>0</v>
      </c>
      <c r="F161" s="15"/>
      <c r="G161" s="15"/>
      <c r="H161" s="15"/>
      <c r="I161" s="45"/>
    </row>
    <row r="162" s="1" customFormat="1" ht="35" customHeight="1" spans="1:9">
      <c r="A162" s="51" t="s">
        <v>60</v>
      </c>
      <c r="B162" s="69"/>
      <c r="C162" s="70"/>
      <c r="D162" s="71"/>
      <c r="E162" s="78">
        <f>C96</f>
        <v>0</v>
      </c>
      <c r="F162" s="15"/>
      <c r="G162" s="15"/>
      <c r="H162" s="15"/>
      <c r="I162" s="45"/>
    </row>
    <row r="163" s="1" customFormat="1" ht="35" customHeight="1" spans="1:9">
      <c r="A163" s="72"/>
      <c r="B163" s="73"/>
      <c r="C163" s="37" t="s">
        <v>61</v>
      </c>
      <c r="D163" s="37"/>
      <c r="E163" s="65">
        <f ca="1">(F28+E143)-(SUM(E145:E154)+SUM(E156:E162))</f>
        <v>0</v>
      </c>
      <c r="F163" s="15"/>
      <c r="G163" s="15"/>
      <c r="H163" s="15"/>
      <c r="I163" s="45"/>
    </row>
    <row r="164" s="1" customFormat="1" ht="35" customHeight="1" spans="1:9">
      <c r="A164" s="15"/>
      <c r="B164" s="15"/>
      <c r="C164" s="15"/>
      <c r="D164" s="15"/>
      <c r="E164" s="15"/>
      <c r="F164" s="15"/>
      <c r="G164" s="15"/>
      <c r="H164" s="15"/>
      <c r="I164" s="45"/>
    </row>
    <row r="165" s="1" customFormat="1" ht="35" customHeight="1" spans="1:9">
      <c r="A165" s="15"/>
      <c r="B165" s="15"/>
      <c r="C165" s="15"/>
      <c r="D165" s="15"/>
      <c r="E165" s="15"/>
      <c r="F165" s="15"/>
      <c r="G165" s="15"/>
      <c r="H165" s="15"/>
      <c r="I165" s="45"/>
    </row>
    <row r="166" s="1" customFormat="1" ht="35" customHeight="1" spans="1:9">
      <c r="A166" s="15"/>
      <c r="B166" s="15"/>
      <c r="C166" s="15"/>
      <c r="D166" s="15"/>
      <c r="E166" s="15"/>
      <c r="F166" s="15"/>
      <c r="G166" s="15"/>
      <c r="H166" s="15"/>
      <c r="I166" s="45"/>
    </row>
    <row r="167" s="1" customFormat="1" ht="35" customHeight="1" spans="1:9">
      <c r="A167" s="15"/>
      <c r="B167" s="15"/>
      <c r="C167" s="15"/>
      <c r="D167" s="15"/>
      <c r="E167" s="15"/>
      <c r="F167" s="15"/>
      <c r="G167" s="15"/>
      <c r="H167" s="15"/>
      <c r="I167" s="45"/>
    </row>
    <row r="168" s="1" customFormat="1" ht="35" customHeight="1" spans="1:9">
      <c r="A168" s="48" t="str">
        <f>"Debts Or Credits For the Comming "&amp;IF(Main!B2,TEXT(EDATE(Main!B3,11),"mmmm dd yyyy"),TEXT(Main!B3+((Main!B5-Main!B3)*11+11),"mmmm dd yyyy"))&amp;" to "&amp;IF(Main!B2,TEXT(EDATE(Main!B3,12)-1,"mmmm dd yyyy"),TEXT(Main!B3+((Main!B5-Main!B3)*12+11),"mmmm dd yyyy"))</f>
        <v>Debts Or Credits For the Comming April 01 2026 to April 30 2026</v>
      </c>
      <c r="B168" s="49"/>
      <c r="C168" s="49"/>
      <c r="D168" s="49"/>
      <c r="E168" s="50"/>
      <c r="F168" s="15"/>
      <c r="G168" s="15"/>
      <c r="H168" s="15"/>
      <c r="I168" s="45"/>
    </row>
    <row r="169" s="1" customFormat="1" ht="35" customHeight="1" spans="1:9">
      <c r="A169" s="48" t="s">
        <v>57</v>
      </c>
      <c r="B169" s="50"/>
      <c r="C169" s="74" t="s">
        <v>44</v>
      </c>
      <c r="D169" s="75"/>
      <c r="E169" s="80" t="s">
        <v>45</v>
      </c>
      <c r="F169" s="15"/>
      <c r="G169" s="15"/>
      <c r="H169" s="15"/>
      <c r="I169" s="45"/>
    </row>
    <row r="170" s="1" customFormat="1" ht="35" customHeight="1" spans="1:9">
      <c r="A170" s="51" t="str">
        <f>"Balance Brought Forward From "&amp;IF(Main!B2,TEXT(EDATE(Main!B3,11)-1,"mmmm yyyy"),TEXT(Main!B3+((Main!B5-Main!B3)*11+10),"mmmm yyyy"))</f>
        <v>Balance Brought Forward From March 2026</v>
      </c>
      <c r="B170" s="52"/>
      <c r="C170" s="53"/>
      <c r="D170" s="53"/>
      <c r="E170" s="65">
        <f ca="1">E163</f>
        <v>0</v>
      </c>
      <c r="F170" s="15"/>
      <c r="G170" s="15"/>
      <c r="H170" s="15"/>
      <c r="I170" s="45"/>
    </row>
    <row r="171" s="1" customFormat="1" ht="35" customHeight="1" spans="1:9">
      <c r="A171" s="54" t="s">
        <v>52</v>
      </c>
      <c r="B171" s="55"/>
      <c r="C171" s="76" t="s">
        <v>58</v>
      </c>
      <c r="D171" s="77"/>
      <c r="E171" s="81"/>
      <c r="F171" s="15"/>
      <c r="G171" s="15"/>
      <c r="H171" s="15"/>
      <c r="I171" s="45"/>
    </row>
    <row r="172" s="1" customFormat="1" ht="35" customHeight="1" spans="1:9">
      <c r="A172" s="58"/>
      <c r="B172" s="59"/>
      <c r="C172" s="60"/>
      <c r="D172" s="61"/>
      <c r="E172" s="35">
        <v>0</v>
      </c>
      <c r="F172" s="15"/>
      <c r="G172" s="15"/>
      <c r="H172" s="15"/>
      <c r="I172" s="45"/>
    </row>
    <row r="173" s="1" customFormat="1" ht="35" customHeight="1" spans="1:9">
      <c r="A173" s="58"/>
      <c r="B173" s="59"/>
      <c r="C173" s="60"/>
      <c r="D173" s="61"/>
      <c r="E173" s="35">
        <v>0</v>
      </c>
      <c r="F173" s="15"/>
      <c r="G173" s="15"/>
      <c r="H173" s="15"/>
      <c r="I173" s="45"/>
    </row>
    <row r="174" s="1" customFormat="1" ht="35" customHeight="1" spans="1:9">
      <c r="A174" s="58"/>
      <c r="B174" s="59"/>
      <c r="C174" s="60"/>
      <c r="D174" s="61"/>
      <c r="E174" s="35">
        <v>0</v>
      </c>
      <c r="F174" s="15"/>
      <c r="G174" s="15"/>
      <c r="H174" s="15"/>
      <c r="I174" s="45"/>
    </row>
    <row r="175" s="1" customFormat="1" ht="35" customHeight="1" spans="1:9">
      <c r="A175" s="58"/>
      <c r="B175" s="59"/>
      <c r="C175" s="60"/>
      <c r="D175" s="61"/>
      <c r="E175" s="35">
        <v>0</v>
      </c>
      <c r="F175" s="15"/>
      <c r="G175" s="15"/>
      <c r="H175" s="15"/>
      <c r="I175" s="45"/>
    </row>
    <row r="176" s="1" customFormat="1" ht="35" customHeight="1" spans="1:9">
      <c r="A176" s="58"/>
      <c r="B176" s="59"/>
      <c r="C176" s="60"/>
      <c r="D176" s="61"/>
      <c r="E176" s="35">
        <v>0</v>
      </c>
      <c r="F176" s="15"/>
      <c r="G176" s="15"/>
      <c r="H176" s="15"/>
      <c r="I176" s="45"/>
    </row>
    <row r="177" s="1" customFormat="1" ht="35" customHeight="1" spans="1:9">
      <c r="A177" s="58"/>
      <c r="B177" s="59"/>
      <c r="C177" s="60"/>
      <c r="D177" s="61"/>
      <c r="E177" s="35">
        <v>0</v>
      </c>
      <c r="F177" s="15"/>
      <c r="G177" s="15"/>
      <c r="H177" s="15"/>
      <c r="I177" s="45"/>
    </row>
    <row r="178" s="1" customFormat="1" ht="35" customHeight="1" spans="1:9">
      <c r="A178" s="58"/>
      <c r="B178" s="59"/>
      <c r="C178" s="60"/>
      <c r="D178" s="61"/>
      <c r="E178" s="35">
        <v>0</v>
      </c>
      <c r="F178" s="15"/>
      <c r="G178" s="15"/>
      <c r="H178" s="15"/>
      <c r="I178" s="45"/>
    </row>
    <row r="179" s="1" customFormat="1" ht="35" customHeight="1" spans="1:9">
      <c r="A179" s="58"/>
      <c r="B179" s="59"/>
      <c r="C179" s="60"/>
      <c r="D179" s="61"/>
      <c r="E179" s="35">
        <v>0</v>
      </c>
      <c r="F179" s="15"/>
      <c r="G179" s="15"/>
      <c r="H179" s="15"/>
      <c r="I179" s="45"/>
    </row>
    <row r="180" s="1" customFormat="1" ht="35" customHeight="1" spans="1:9">
      <c r="A180" s="58"/>
      <c r="B180" s="59"/>
      <c r="C180" s="60"/>
      <c r="D180" s="61"/>
      <c r="E180" s="35">
        <v>0</v>
      </c>
      <c r="F180" s="15"/>
      <c r="G180" s="15"/>
      <c r="H180" s="15"/>
      <c r="I180" s="45"/>
    </row>
    <row r="181" s="1" customFormat="1" ht="35" customHeight="1" spans="1:9">
      <c r="A181" s="58"/>
      <c r="B181" s="59"/>
      <c r="C181" s="60"/>
      <c r="D181" s="61"/>
      <c r="E181" s="35">
        <v>0</v>
      </c>
      <c r="F181" s="15"/>
      <c r="G181" s="15"/>
      <c r="H181" s="15"/>
      <c r="I181" s="45"/>
    </row>
    <row r="182" s="1" customFormat="1" ht="35" customHeight="1" spans="1:9">
      <c r="A182" s="58"/>
      <c r="B182" s="59"/>
      <c r="C182" s="56" t="s">
        <v>59</v>
      </c>
      <c r="D182" s="57"/>
      <c r="E182" s="66"/>
      <c r="F182" s="15"/>
      <c r="G182" s="15"/>
      <c r="H182" s="15"/>
      <c r="I182" s="45"/>
    </row>
    <row r="183" s="1" customFormat="1" ht="35" customHeight="1" spans="1:9">
      <c r="A183" s="58"/>
      <c r="B183" s="59"/>
      <c r="C183" s="60"/>
      <c r="D183" s="61"/>
      <c r="E183" s="78">
        <v>0</v>
      </c>
      <c r="F183" s="15"/>
      <c r="G183" s="15"/>
      <c r="H183" s="15"/>
      <c r="I183" s="45"/>
    </row>
    <row r="184" s="1" customFormat="1" ht="35" customHeight="1" spans="1:9">
      <c r="A184" s="58"/>
      <c r="B184" s="59"/>
      <c r="C184" s="60"/>
      <c r="D184" s="61"/>
      <c r="E184" s="78">
        <v>0</v>
      </c>
      <c r="F184" s="15"/>
      <c r="G184" s="15"/>
      <c r="H184" s="15"/>
      <c r="I184" s="45"/>
    </row>
    <row r="185" s="1" customFormat="1" ht="35" customHeight="1" spans="1:9">
      <c r="A185" s="58"/>
      <c r="B185" s="59"/>
      <c r="C185" s="60"/>
      <c r="D185" s="61"/>
      <c r="E185" s="78">
        <v>0</v>
      </c>
      <c r="F185" s="15"/>
      <c r="G185" s="15"/>
      <c r="H185" s="15"/>
      <c r="I185" s="45"/>
    </row>
    <row r="186" s="1" customFormat="1" ht="35" customHeight="1" spans="1:9">
      <c r="A186" s="58"/>
      <c r="B186" s="59"/>
      <c r="C186" s="60"/>
      <c r="D186" s="61"/>
      <c r="E186" s="78">
        <v>0</v>
      </c>
      <c r="F186" s="15"/>
      <c r="G186" s="15"/>
      <c r="H186" s="15"/>
      <c r="I186" s="45"/>
    </row>
    <row r="187" s="1" customFormat="1" ht="35" customHeight="1" spans="1:9">
      <c r="A187" s="58"/>
      <c r="B187" s="59"/>
      <c r="C187" s="60"/>
      <c r="D187" s="61"/>
      <c r="E187" s="78">
        <v>0</v>
      </c>
      <c r="F187" s="15"/>
      <c r="G187" s="15"/>
      <c r="H187" s="15"/>
      <c r="I187" s="45"/>
    </row>
    <row r="188" s="1" customFormat="1" ht="35" customHeight="1" spans="1:9">
      <c r="A188" s="67"/>
      <c r="B188" s="68"/>
      <c r="C188" s="60"/>
      <c r="D188" s="61"/>
      <c r="E188" s="78">
        <v>0</v>
      </c>
      <c r="F188" s="15"/>
      <c r="G188" s="15"/>
      <c r="H188" s="15"/>
      <c r="I188" s="45"/>
    </row>
    <row r="189" s="1" customFormat="1" ht="35" customHeight="1" spans="1:9">
      <c r="A189" s="51" t="s">
        <v>60</v>
      </c>
      <c r="B189" s="69"/>
      <c r="C189" s="70"/>
      <c r="D189" s="71"/>
      <c r="E189" s="78">
        <f>C96</f>
        <v>0</v>
      </c>
      <c r="F189" s="15"/>
      <c r="G189" s="15"/>
      <c r="H189" s="15"/>
      <c r="I189" s="45"/>
    </row>
    <row r="190" s="1" customFormat="1" ht="35" customHeight="1" spans="1:9">
      <c r="A190" s="72"/>
      <c r="B190" s="73"/>
      <c r="C190" s="37" t="s">
        <v>61</v>
      </c>
      <c r="D190" s="37"/>
      <c r="E190" s="65">
        <f ca="1">(F40+E170)-(SUM(E172:E181)+SUM(E183:E189))</f>
        <v>0</v>
      </c>
      <c r="F190" s="15"/>
      <c r="G190" s="15"/>
      <c r="H190" s="15"/>
      <c r="I190" s="45"/>
    </row>
    <row r="191" s="1" customFormat="1" ht="35" customHeight="1" spans="1:9">
      <c r="A191" s="15"/>
      <c r="B191" s="15"/>
      <c r="C191" s="15"/>
      <c r="D191" s="15"/>
      <c r="E191" s="15"/>
      <c r="F191" s="15"/>
      <c r="G191" s="15"/>
      <c r="H191" s="15"/>
      <c r="I191" s="45"/>
    </row>
    <row r="192" ht="24.75" customHeight="1" spans="1:9">
      <c r="A192" s="82"/>
      <c r="B192" s="82"/>
      <c r="C192" s="82"/>
      <c r="D192" s="82"/>
      <c r="E192" s="82"/>
      <c r="F192" s="82"/>
      <c r="G192" s="82"/>
      <c r="H192" s="82"/>
      <c r="I192" s="82"/>
    </row>
    <row r="193" spans="1:9">
      <c r="A193" s="82"/>
      <c r="B193" s="82"/>
      <c r="C193" s="82"/>
      <c r="D193" s="82"/>
      <c r="E193" s="82"/>
      <c r="F193" s="82"/>
      <c r="G193" s="82"/>
      <c r="H193" s="82"/>
      <c r="I193" s="82"/>
    </row>
  </sheetData>
  <sheetProtection sheet="1" formatCells="0" formatColumns="0" formatRows="0" objects="1"/>
  <protectedRanges>
    <protectedRange sqref="A10:G15" name="R1"/>
    <protectedRange sqref="A22:G29" name="R2"/>
    <protectedRange sqref="A34:G39" name="R3"/>
    <protectedRange sqref="A46:C46 C47:C54" name="F1"/>
    <protectedRange sqref="C56:C65" name="F2"/>
    <protectedRange sqref="C67:C74" name="F3"/>
    <protectedRange sqref="C76:C84" name="F4"/>
    <protectedRange sqref="C86:C94" name="F5"/>
    <protectedRange sqref="C117:E134" name="E1"/>
    <protectedRange sqref="C144:E161" name="E2"/>
    <protectedRange sqref="C171:E188" name="E3"/>
    <protectedRange sqref="A56:B56" name="F2_1"/>
    <protectedRange sqref="A67:B67" name="F3_1"/>
    <protectedRange sqref="A76:B76" name="F4_1"/>
    <protectedRange sqref="A86:B86" name="F5_1"/>
  </protectedRanges>
  <mergeCells count="174">
    <mergeCell ref="A1:G1"/>
    <mergeCell ref="C2:G2"/>
    <mergeCell ref="C3:G3"/>
    <mergeCell ref="A4:B4"/>
    <mergeCell ref="C4:G4"/>
    <mergeCell ref="A5:B5"/>
    <mergeCell ref="C5:G5"/>
    <mergeCell ref="A8:G8"/>
    <mergeCell ref="B9:C9"/>
    <mergeCell ref="D9:E9"/>
    <mergeCell ref="F9:G9"/>
    <mergeCell ref="B10:C10"/>
    <mergeCell ref="D10:E10"/>
    <mergeCell ref="F10:G10"/>
    <mergeCell ref="B11:C11"/>
    <mergeCell ref="D11:E11"/>
    <mergeCell ref="F11:G11"/>
    <mergeCell ref="B12:C12"/>
    <mergeCell ref="D12:E12"/>
    <mergeCell ref="F12:G12"/>
    <mergeCell ref="B13:C13"/>
    <mergeCell ref="D13:E13"/>
    <mergeCell ref="F13:G13"/>
    <mergeCell ref="B14:C14"/>
    <mergeCell ref="D14:E14"/>
    <mergeCell ref="F14:G14"/>
    <mergeCell ref="B15:C15"/>
    <mergeCell ref="D15:E15"/>
    <mergeCell ref="F15:G15"/>
    <mergeCell ref="B16:C16"/>
    <mergeCell ref="D16:E16"/>
    <mergeCell ref="F16:G16"/>
    <mergeCell ref="A20:G20"/>
    <mergeCell ref="B21:C21"/>
    <mergeCell ref="D21:E21"/>
    <mergeCell ref="F21:G21"/>
    <mergeCell ref="B22:C22"/>
    <mergeCell ref="D22:E22"/>
    <mergeCell ref="F22:G22"/>
    <mergeCell ref="B23:C23"/>
    <mergeCell ref="D23:E23"/>
    <mergeCell ref="F23:G23"/>
    <mergeCell ref="B24:C24"/>
    <mergeCell ref="D24:E24"/>
    <mergeCell ref="F24:G24"/>
    <mergeCell ref="B25:C25"/>
    <mergeCell ref="D25:E25"/>
    <mergeCell ref="F25:G25"/>
    <mergeCell ref="B26:C26"/>
    <mergeCell ref="D26:E26"/>
    <mergeCell ref="F26:G26"/>
    <mergeCell ref="B27:C27"/>
    <mergeCell ref="D27:E27"/>
    <mergeCell ref="F27:G27"/>
    <mergeCell ref="B28:C28"/>
    <mergeCell ref="D28:E28"/>
    <mergeCell ref="F28:G28"/>
    <mergeCell ref="A32:G32"/>
    <mergeCell ref="B33:C33"/>
    <mergeCell ref="D33:E33"/>
    <mergeCell ref="F33:G33"/>
    <mergeCell ref="B34:C34"/>
    <mergeCell ref="D34:E34"/>
    <mergeCell ref="F34:G34"/>
    <mergeCell ref="B35:C35"/>
    <mergeCell ref="D35:E35"/>
    <mergeCell ref="F35:G35"/>
    <mergeCell ref="B36:C36"/>
    <mergeCell ref="D36:E36"/>
    <mergeCell ref="F36:G36"/>
    <mergeCell ref="B37:C37"/>
    <mergeCell ref="D37:E37"/>
    <mergeCell ref="F37:G37"/>
    <mergeCell ref="B38:C38"/>
    <mergeCell ref="D38:E38"/>
    <mergeCell ref="F38:G38"/>
    <mergeCell ref="B39:C39"/>
    <mergeCell ref="D39:E39"/>
    <mergeCell ref="F39:G39"/>
    <mergeCell ref="B40:C40"/>
    <mergeCell ref="D40:E40"/>
    <mergeCell ref="F40:G40"/>
    <mergeCell ref="A44:C44"/>
    <mergeCell ref="A46:C46"/>
    <mergeCell ref="A56:C56"/>
    <mergeCell ref="A67:C67"/>
    <mergeCell ref="A76:C76"/>
    <mergeCell ref="A86:C86"/>
    <mergeCell ref="A97:C97"/>
    <mergeCell ref="A114:E114"/>
    <mergeCell ref="A115:B115"/>
    <mergeCell ref="C115:D115"/>
    <mergeCell ref="A116:B116"/>
    <mergeCell ref="C116:D116"/>
    <mergeCell ref="C117:D117"/>
    <mergeCell ref="C118:D118"/>
    <mergeCell ref="C119:D119"/>
    <mergeCell ref="C120:D120"/>
    <mergeCell ref="C121:D121"/>
    <mergeCell ref="C122:D122"/>
    <mergeCell ref="C123:D123"/>
    <mergeCell ref="C124:D124"/>
    <mergeCell ref="C125:D125"/>
    <mergeCell ref="C126:D126"/>
    <mergeCell ref="C127:D127"/>
    <mergeCell ref="C128:D128"/>
    <mergeCell ref="C129:D129"/>
    <mergeCell ref="C130:D130"/>
    <mergeCell ref="C131:D131"/>
    <mergeCell ref="C132:D132"/>
    <mergeCell ref="C133:D133"/>
    <mergeCell ref="C134:D134"/>
    <mergeCell ref="A135:B135"/>
    <mergeCell ref="C135:D135"/>
    <mergeCell ref="A136:B136"/>
    <mergeCell ref="C136:D136"/>
    <mergeCell ref="A141:E141"/>
    <mergeCell ref="A142:B142"/>
    <mergeCell ref="C142:D142"/>
    <mergeCell ref="A143:B143"/>
    <mergeCell ref="C143:D143"/>
    <mergeCell ref="C144:D144"/>
    <mergeCell ref="C145:D145"/>
    <mergeCell ref="C146:D146"/>
    <mergeCell ref="C147:D147"/>
    <mergeCell ref="C148:D148"/>
    <mergeCell ref="C149:D149"/>
    <mergeCell ref="C150:D150"/>
    <mergeCell ref="C151:D151"/>
    <mergeCell ref="C152:D152"/>
    <mergeCell ref="C153:D153"/>
    <mergeCell ref="C154:D154"/>
    <mergeCell ref="C155:D155"/>
    <mergeCell ref="C156:D156"/>
    <mergeCell ref="C157:D157"/>
    <mergeCell ref="C158:D158"/>
    <mergeCell ref="C159:D159"/>
    <mergeCell ref="C160:D160"/>
    <mergeCell ref="C161:D161"/>
    <mergeCell ref="A162:B162"/>
    <mergeCell ref="C162:D162"/>
    <mergeCell ref="A163:B163"/>
    <mergeCell ref="C163:D163"/>
    <mergeCell ref="A168:E168"/>
    <mergeCell ref="A169:B169"/>
    <mergeCell ref="C169:D169"/>
    <mergeCell ref="A170:B170"/>
    <mergeCell ref="C170:D170"/>
    <mergeCell ref="C171:D171"/>
    <mergeCell ref="C172:D172"/>
    <mergeCell ref="C173:D173"/>
    <mergeCell ref="C174:D174"/>
    <mergeCell ref="C175:D175"/>
    <mergeCell ref="C176:D176"/>
    <mergeCell ref="C177:D177"/>
    <mergeCell ref="C178:D178"/>
    <mergeCell ref="C179:D179"/>
    <mergeCell ref="C180:D180"/>
    <mergeCell ref="C181:D181"/>
    <mergeCell ref="C182:D182"/>
    <mergeCell ref="C183:D183"/>
    <mergeCell ref="C184:D184"/>
    <mergeCell ref="C185:D185"/>
    <mergeCell ref="C186:D186"/>
    <mergeCell ref="C187:D187"/>
    <mergeCell ref="C188:D188"/>
    <mergeCell ref="A189:B189"/>
    <mergeCell ref="C189:D189"/>
    <mergeCell ref="A190:B190"/>
    <mergeCell ref="C190:D190"/>
    <mergeCell ref="A2:A3"/>
    <mergeCell ref="A117:B134"/>
    <mergeCell ref="A144:B161"/>
    <mergeCell ref="A171:B188"/>
  </mergeCells>
  <conditionalFormatting sqref="C5">
    <cfRule type="cellIs" dxfId="0" priority="4" operator="greaterThanOrEqual">
      <formula>0</formula>
    </cfRule>
    <cfRule type="cellIs" dxfId="1" priority="3" operator="lessThan">
      <formula>0</formula>
    </cfRule>
  </conditionalFormatting>
  <conditionalFormatting sqref="C75">
    <cfRule type="cellIs" dxfId="0" priority="49" operator="equal">
      <formula>0</formula>
    </cfRule>
    <cfRule type="cellIs" dxfId="1" priority="48" operator="greaterThan">
      <formula>0</formula>
    </cfRule>
  </conditionalFormatting>
  <conditionalFormatting sqref="C77">
    <cfRule type="cellIs" dxfId="0" priority="47" operator="equal">
      <formula>0</formula>
    </cfRule>
    <cfRule type="cellIs" dxfId="1" priority="46" operator="greaterThan">
      <formula>0</formula>
    </cfRule>
  </conditionalFormatting>
  <conditionalFormatting sqref="C108">
    <cfRule type="cellIs" dxfId="0" priority="2" operator="greaterThanOrEqual">
      <formula>0</formula>
    </cfRule>
    <cfRule type="cellIs" dxfId="1" priority="1" operator="lessThan">
      <formula>0</formula>
    </cfRule>
  </conditionalFormatting>
  <conditionalFormatting sqref="C109">
    <cfRule type="cellIs" dxfId="0" priority="33" operator="greaterThanOrEqual">
      <formula>0</formula>
    </cfRule>
    <cfRule type="cellIs" dxfId="1" priority="32" operator="lessThan">
      <formula>0</formula>
    </cfRule>
  </conditionalFormatting>
  <conditionalFormatting sqref="E116">
    <cfRule type="cellIs" dxfId="3" priority="10" operator="greaterThanOrEqual">
      <formula>0</formula>
    </cfRule>
    <cfRule type="cellIs" dxfId="4" priority="9" operator="lessThan">
      <formula>0</formula>
    </cfRule>
  </conditionalFormatting>
  <conditionalFormatting sqref="E136">
    <cfRule type="cellIs" dxfId="3" priority="41" operator="greaterThanOrEqual">
      <formula>0</formula>
    </cfRule>
    <cfRule type="cellIs" dxfId="4" priority="40" operator="lessThan">
      <formula>0</formula>
    </cfRule>
  </conditionalFormatting>
  <conditionalFormatting sqref="E143">
    <cfRule type="cellIs" dxfId="3" priority="28" operator="greaterThanOrEqual">
      <formula>0</formula>
    </cfRule>
    <cfRule type="cellIs" dxfId="4" priority="27" operator="lessThan">
      <formula>0</formula>
    </cfRule>
  </conditionalFormatting>
  <conditionalFormatting sqref="E163">
    <cfRule type="cellIs" dxfId="3" priority="30" operator="greaterThanOrEqual">
      <formula>0</formula>
    </cfRule>
    <cfRule type="cellIs" dxfId="4" priority="29" operator="lessThan">
      <formula>0</formula>
    </cfRule>
  </conditionalFormatting>
  <conditionalFormatting sqref="E170">
    <cfRule type="cellIs" dxfId="3" priority="22" operator="greaterThanOrEqual">
      <formula>0</formula>
    </cfRule>
    <cfRule type="cellIs" dxfId="4" priority="21" operator="lessThan">
      <formula>0</formula>
    </cfRule>
  </conditionalFormatting>
  <conditionalFormatting sqref="E190">
    <cfRule type="cellIs" dxfId="3" priority="24" operator="greaterThanOrEqual">
      <formula>0</formula>
    </cfRule>
    <cfRule type="cellIs" dxfId="4" priority="23" operator="lessThan">
      <formula>0</formula>
    </cfRule>
  </conditionalFormatting>
  <conditionalFormatting sqref="C57:C66">
    <cfRule type="cellIs" dxfId="0" priority="53" operator="equal">
      <formula>0</formula>
    </cfRule>
    <cfRule type="cellIs" dxfId="1" priority="52" operator="greaterThan">
      <formula>0</formula>
    </cfRule>
  </conditionalFormatting>
  <conditionalFormatting sqref="C68:C69">
    <cfRule type="cellIs" dxfId="0" priority="51" operator="equal">
      <formula>0</formula>
    </cfRule>
    <cfRule type="cellIs" dxfId="1" priority="50" operator="greaterThan">
      <formula>0</formula>
    </cfRule>
  </conditionalFormatting>
  <conditionalFormatting sqref="C70:C74">
    <cfRule type="cellIs" dxfId="0" priority="39" operator="equal">
      <formula>0</formula>
    </cfRule>
    <cfRule type="cellIs" dxfId="1" priority="38" operator="greaterThan">
      <formula>0</formula>
    </cfRule>
  </conditionalFormatting>
  <conditionalFormatting sqref="C78:C79">
    <cfRule type="cellIs" dxfId="0" priority="8" operator="equal">
      <formula>0</formula>
    </cfRule>
    <cfRule type="cellIs" dxfId="1" priority="7" operator="greaterThan">
      <formula>0</formula>
    </cfRule>
  </conditionalFormatting>
  <conditionalFormatting sqref="C80:C84">
    <cfRule type="cellIs" dxfId="0" priority="37" operator="equal">
      <formula>0</formula>
    </cfRule>
    <cfRule type="cellIs" dxfId="1" priority="36" operator="greaterThan">
      <formula>0</formula>
    </cfRule>
  </conditionalFormatting>
  <conditionalFormatting sqref="C87:C89">
    <cfRule type="cellIs" dxfId="0" priority="45" operator="equal">
      <formula>0</formula>
    </cfRule>
    <cfRule type="cellIs" dxfId="1" priority="44" operator="greaterThan">
      <formula>0</formula>
    </cfRule>
  </conditionalFormatting>
  <conditionalFormatting sqref="C90:C91">
    <cfRule type="cellIs" dxfId="0" priority="6" operator="equal">
      <formula>0</formula>
    </cfRule>
    <cfRule type="cellIs" dxfId="1" priority="5" operator="greaterThan">
      <formula>0</formula>
    </cfRule>
  </conditionalFormatting>
  <conditionalFormatting sqref="C92:C94">
    <cfRule type="cellIs" dxfId="0" priority="35" operator="equal">
      <formula>0</formula>
    </cfRule>
    <cfRule type="cellIs" dxfId="1" priority="34" operator="greaterThan">
      <formula>0</formula>
    </cfRule>
  </conditionalFormatting>
  <conditionalFormatting sqref="C98:C107">
    <cfRule type="cellIs" dxfId="1" priority="18" operator="lessThan">
      <formula>0</formula>
    </cfRule>
    <cfRule type="cellIs" dxfId="2" priority="17" operator="greaterThanOrEqual">
      <formula>0</formula>
    </cfRule>
  </conditionalFormatting>
  <conditionalFormatting sqref="E118:E127">
    <cfRule type="cellIs" dxfId="0" priority="16" operator="equal">
      <formula>0</formula>
    </cfRule>
    <cfRule type="cellIs" dxfId="1" priority="15" operator="greaterThan">
      <formula>0</formula>
    </cfRule>
  </conditionalFormatting>
  <conditionalFormatting sqref="E145:E154">
    <cfRule type="cellIs" dxfId="0" priority="14" operator="equal">
      <formula>0</formula>
    </cfRule>
    <cfRule type="cellIs" dxfId="1" priority="13" operator="greaterThan">
      <formula>0</formula>
    </cfRule>
  </conditionalFormatting>
  <conditionalFormatting sqref="E172:E181">
    <cfRule type="cellIs" dxfId="0" priority="12" operator="equal">
      <formula>0</formula>
    </cfRule>
    <cfRule type="cellIs" dxfId="1" priority="11" operator="greaterThan">
      <formula>0</formula>
    </cfRule>
  </conditionalFormatting>
  <conditionalFormatting sqref="C47:C55 C85 C95:C96">
    <cfRule type="cellIs" dxfId="0" priority="55" operator="equal">
      <formula>0</formula>
    </cfRule>
  </conditionalFormatting>
  <conditionalFormatting sqref="C47:C55 C85 C95:C96 E144 E155:E162">
    <cfRule type="cellIs" dxfId="1" priority="54" operator="greaterThan">
      <formula>0</formula>
    </cfRule>
  </conditionalFormatting>
  <conditionalFormatting sqref="E117 E128:E135">
    <cfRule type="cellIs" dxfId="0" priority="43" operator="equal">
      <formula>0</formula>
    </cfRule>
    <cfRule type="cellIs" dxfId="1" priority="42" operator="greaterThan">
      <formula>0</formula>
    </cfRule>
  </conditionalFormatting>
  <conditionalFormatting sqref="E144 E155:E162">
    <cfRule type="cellIs" dxfId="2" priority="31" operator="equal">
      <formula>0</formula>
    </cfRule>
  </conditionalFormatting>
  <conditionalFormatting sqref="E171 E182:E189">
    <cfRule type="cellIs" dxfId="2" priority="26" operator="equal">
      <formula>0</formula>
    </cfRule>
    <cfRule type="cellIs" dxfId="1" priority="25" operator="greaterThan">
      <formula>0</formula>
    </cfRule>
  </conditionalFormatting>
  <pageMargins left="0.7" right="0.7" top="0.75" bottom="0.75" header="0.3" footer="0.3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93"/>
  <sheetViews>
    <sheetView workbookViewId="0">
      <selection activeCell="C3" sqref="C3:G3"/>
    </sheetView>
  </sheetViews>
  <sheetFormatPr defaultColWidth="9" defaultRowHeight="17.6"/>
  <cols>
    <col min="1" max="7" width="25.6111111111111" customWidth="1"/>
    <col min="8" max="8" width="20.625" customWidth="1"/>
  </cols>
  <sheetData>
    <row r="1" s="1" customFormat="1" ht="35" customHeight="1" spans="1:9">
      <c r="A1" s="2" t="str">
        <f>"Forecasts For the Year "&amp;IF(Main!B2,TEXT(EDATE(Main!B3,12),"mmmm yyyy"),TEXT(Main!B3+((Main!B5-Main!B3)*12+12),"mmmm yyyy"))&amp;" to "&amp;IF(Main!B2,TEXT(EDATE(Main!B3,15)-1,"mmmm yyyy"),TEXT(Main!B3+((Main!B5-Main!B3)*15+14),"mmmm yyyy"))</f>
        <v>Forecasts For the Year May 2026 to July 2026</v>
      </c>
      <c r="B1" s="2"/>
      <c r="C1" s="2"/>
      <c r="D1" s="2"/>
      <c r="E1" s="2"/>
      <c r="F1" s="2"/>
      <c r="G1" s="2"/>
      <c r="H1" s="38"/>
      <c r="I1" s="38"/>
    </row>
    <row r="2" s="1" customFormat="1" ht="35" customHeight="1" spans="1:9">
      <c r="A2" s="3" t="s">
        <v>33</v>
      </c>
      <c r="B2" s="4" t="s">
        <v>62</v>
      </c>
      <c r="C2" s="5" cm="1">
        <f ca="1" t="array" ref="C2">INDIRECT("'"&amp;Main!B9&amp;"'!$C$16")</f>
        <v>0</v>
      </c>
      <c r="D2" s="5"/>
      <c r="E2" s="5"/>
      <c r="F2" s="5"/>
      <c r="G2" s="5"/>
      <c r="H2" s="38"/>
      <c r="I2" s="38"/>
    </row>
    <row r="3" s="1" customFormat="1" ht="35" customHeight="1" spans="1:9">
      <c r="A3" s="6"/>
      <c r="B3" s="7" t="s">
        <v>63</v>
      </c>
      <c r="C3" s="8">
        <f ca="1">E190</f>
        <v>0</v>
      </c>
      <c r="D3" s="8"/>
      <c r="E3" s="8"/>
      <c r="F3" s="8"/>
      <c r="G3" s="8"/>
      <c r="H3" s="38"/>
      <c r="I3" s="38"/>
    </row>
    <row r="4" s="1" customFormat="1" ht="35" customHeight="1" spans="1:9">
      <c r="A4" s="9" t="s">
        <v>42</v>
      </c>
      <c r="B4" s="10"/>
      <c r="C4" s="11">
        <f ca="1">SUM(C2:G3)</f>
        <v>0</v>
      </c>
      <c r="D4" s="11"/>
      <c r="E4" s="11"/>
      <c r="F4" s="11"/>
      <c r="G4" s="11"/>
      <c r="H4" s="15"/>
      <c r="I4" s="45"/>
    </row>
    <row r="5" s="1" customFormat="1" ht="35" customHeight="1" spans="1:9">
      <c r="A5" s="12" t="s">
        <v>64</v>
      </c>
      <c r="B5" s="12"/>
      <c r="C5" s="13">
        <f ca="1">C108</f>
        <v>0</v>
      </c>
      <c r="D5" s="14"/>
      <c r="E5" s="14"/>
      <c r="F5" s="14"/>
      <c r="G5" s="14"/>
      <c r="H5" s="15"/>
      <c r="I5" s="45"/>
    </row>
    <row r="6" s="1" customFormat="1" ht="35" customHeight="1" spans="1:9">
      <c r="A6" s="15"/>
      <c r="B6" s="15"/>
      <c r="C6" s="15"/>
      <c r="D6" s="15"/>
      <c r="E6" s="15"/>
      <c r="F6" s="15"/>
      <c r="G6" s="15"/>
      <c r="H6" s="15"/>
      <c r="I6" s="45"/>
    </row>
    <row r="7" s="1" customFormat="1" ht="35" customHeight="1" spans="1:9">
      <c r="A7" s="15"/>
      <c r="B7" s="15"/>
      <c r="C7" s="15"/>
      <c r="D7" s="15"/>
      <c r="E7" s="15"/>
      <c r="F7" s="15"/>
      <c r="G7" s="15"/>
      <c r="H7" s="15"/>
      <c r="I7" s="45"/>
    </row>
    <row r="8" s="1" customFormat="1" ht="35" customHeight="1" spans="1:9">
      <c r="A8" s="16" t="str">
        <f>IF(Main!B2,TEXT(EDATE(Main!B3,12),"dd mmmm yyyy"),TEXT(Main!B3+((Main!B5-Main!B3)*12+12),"dd mmmm yyyy"))&amp;" - "&amp;IF(Main!B2,TEXT(EDATE(Main!B3,13)-1,"dd mmmm yyyy"),TEXT(Main!B3+((Main!B5-Main!B3)*13+12),"dd mmmm yyyy"))&amp;" / "&amp;" (Revenue / Deferred Debts Or Expenses)"</f>
        <v>01 May 2026 - 31 May 2026 /  (Revenue / Deferred Debts Or Expenses)</v>
      </c>
      <c r="B8" s="17"/>
      <c r="C8" s="17"/>
      <c r="D8" s="17"/>
      <c r="E8" s="17"/>
      <c r="F8" s="17"/>
      <c r="G8" s="17"/>
      <c r="H8" s="15"/>
      <c r="I8" s="45"/>
    </row>
    <row r="9" s="1" customFormat="1" ht="35" customHeight="1" spans="1:9">
      <c r="A9" s="18" t="s">
        <v>29</v>
      </c>
      <c r="B9" s="18" t="s">
        <v>43</v>
      </c>
      <c r="C9" s="18"/>
      <c r="D9" s="18" t="s">
        <v>44</v>
      </c>
      <c r="E9" s="18"/>
      <c r="F9" s="18" t="s">
        <v>45</v>
      </c>
      <c r="G9" s="18"/>
      <c r="H9" s="15"/>
      <c r="I9" s="45"/>
    </row>
    <row r="10" s="1" customFormat="1" ht="35" customHeight="1" spans="1:9">
      <c r="A10" s="19"/>
      <c r="B10" s="20"/>
      <c r="C10" s="20"/>
      <c r="D10" s="20"/>
      <c r="E10" s="20"/>
      <c r="F10" s="39">
        <v>0</v>
      </c>
      <c r="G10" s="40"/>
      <c r="H10" s="15"/>
      <c r="I10" s="45"/>
    </row>
    <row r="11" s="1" customFormat="1" ht="35" customHeight="1" spans="1:9">
      <c r="A11" s="19"/>
      <c r="B11" s="21"/>
      <c r="C11" s="22"/>
      <c r="D11" s="23"/>
      <c r="E11" s="41"/>
      <c r="F11" s="39">
        <v>0</v>
      </c>
      <c r="G11" s="40"/>
      <c r="H11" s="15"/>
      <c r="I11" s="45"/>
    </row>
    <row r="12" s="1" customFormat="1" ht="35" customHeight="1" spans="1:9">
      <c r="A12" s="19"/>
      <c r="B12" s="21"/>
      <c r="C12" s="22"/>
      <c r="D12" s="23"/>
      <c r="E12" s="41"/>
      <c r="F12" s="39">
        <v>0</v>
      </c>
      <c r="G12" s="40"/>
      <c r="H12" s="15"/>
      <c r="I12" s="45"/>
    </row>
    <row r="13" s="1" customFormat="1" ht="35" customHeight="1" spans="1:9">
      <c r="A13" s="19"/>
      <c r="B13" s="21"/>
      <c r="C13" s="22"/>
      <c r="D13" s="23"/>
      <c r="E13" s="41"/>
      <c r="F13" s="39">
        <v>0</v>
      </c>
      <c r="G13" s="40"/>
      <c r="H13" s="15"/>
      <c r="I13" s="45"/>
    </row>
    <row r="14" s="1" customFormat="1" ht="35" customHeight="1" spans="1:9">
      <c r="A14" s="19"/>
      <c r="B14" s="21"/>
      <c r="C14" s="22"/>
      <c r="D14" s="23"/>
      <c r="E14" s="41"/>
      <c r="F14" s="39">
        <v>0</v>
      </c>
      <c r="G14" s="40"/>
      <c r="H14" s="15"/>
      <c r="I14" s="45"/>
    </row>
    <row r="15" s="1" customFormat="1" ht="35" customHeight="1" spans="1:9">
      <c r="A15" s="19"/>
      <c r="B15" s="21"/>
      <c r="C15" s="22"/>
      <c r="D15" s="23"/>
      <c r="E15" s="41"/>
      <c r="F15" s="39">
        <v>0</v>
      </c>
      <c r="G15" s="40"/>
      <c r="H15" s="15"/>
      <c r="I15" s="45"/>
    </row>
    <row r="16" s="1" customFormat="1" ht="35" customHeight="1" spans="1:9">
      <c r="A16" s="24"/>
      <c r="B16" s="25"/>
      <c r="C16" s="26"/>
      <c r="D16" s="27" t="s">
        <v>46</v>
      </c>
      <c r="E16" s="42"/>
      <c r="F16" s="43">
        <f>SUM(F10:G15)</f>
        <v>0</v>
      </c>
      <c r="G16" s="44"/>
      <c r="H16" s="15"/>
      <c r="I16" s="45"/>
    </row>
    <row r="17" s="1" customFormat="1" ht="35" customHeight="1" spans="1:9">
      <c r="A17" s="15"/>
      <c r="B17" s="15"/>
      <c r="C17" s="15"/>
      <c r="D17" s="15"/>
      <c r="E17" s="15"/>
      <c r="F17" s="15"/>
      <c r="G17" s="15"/>
      <c r="H17" s="15"/>
      <c r="I17" s="45"/>
    </row>
    <row r="18" s="1" customFormat="1" ht="35" customHeight="1" spans="1:9">
      <c r="A18" s="15"/>
      <c r="B18" s="15"/>
      <c r="C18" s="15"/>
      <c r="D18" s="15"/>
      <c r="E18" s="15"/>
      <c r="F18" s="15"/>
      <c r="G18" s="15"/>
      <c r="H18" s="15"/>
      <c r="I18" s="45"/>
    </row>
    <row r="19" s="1" customFormat="1" ht="35" customHeight="1" spans="1:9">
      <c r="A19" s="15"/>
      <c r="B19" s="15"/>
      <c r="C19" s="15"/>
      <c r="D19" s="15"/>
      <c r="E19" s="15"/>
      <c r="F19" s="15"/>
      <c r="G19" s="15"/>
      <c r="H19" s="15"/>
      <c r="I19" s="45"/>
    </row>
    <row r="20" s="1" customFormat="1" ht="35" customHeight="1" spans="1:9">
      <c r="A20" s="16" t="str">
        <f>IF(Main!B2,TEXT(EDATE(Main!B3,13),"dd mmmm yyyy"),TEXT(Main!B3+((Main!B5-Main!B3)*13+13),"dd mmmm yyyy"))&amp;" - "&amp;IF(Main!B2,TEXT(EDATE(Main!B3,14)-1,"dd mmmm yyyy"),TEXT(Main!B3+((Main!B5-Main!B3)*14+13),"dd mmmm yyyy"))&amp;" / "&amp;" (Revenue / Deferred Debts Or Expenses)"</f>
        <v>01 June 2026 - 30 June 2026 /  (Revenue / Deferred Debts Or Expenses)</v>
      </c>
      <c r="B20" s="17"/>
      <c r="C20" s="17"/>
      <c r="D20" s="17"/>
      <c r="E20" s="17"/>
      <c r="F20" s="17"/>
      <c r="G20" s="17"/>
      <c r="H20" s="15"/>
      <c r="I20" s="45"/>
    </row>
    <row r="21" s="1" customFormat="1" ht="35" customHeight="1" spans="1:9">
      <c r="A21" s="18" t="s">
        <v>29</v>
      </c>
      <c r="B21" s="18" t="s">
        <v>43</v>
      </c>
      <c r="C21" s="18"/>
      <c r="D21" s="18" t="s">
        <v>44</v>
      </c>
      <c r="E21" s="18"/>
      <c r="F21" s="18" t="s">
        <v>45</v>
      </c>
      <c r="G21" s="18"/>
      <c r="H21" s="15"/>
      <c r="I21" s="45"/>
    </row>
    <row r="22" s="1" customFormat="1" ht="35" customHeight="1" spans="1:9">
      <c r="A22" s="19"/>
      <c r="B22" s="20"/>
      <c r="C22" s="20"/>
      <c r="D22" s="20"/>
      <c r="E22" s="20"/>
      <c r="F22" s="39">
        <v>0</v>
      </c>
      <c r="G22" s="40"/>
      <c r="H22" s="15"/>
      <c r="I22" s="45"/>
    </row>
    <row r="23" s="1" customFormat="1" ht="35" customHeight="1" spans="1:9">
      <c r="A23" s="19"/>
      <c r="B23" s="21"/>
      <c r="C23" s="22"/>
      <c r="D23" s="23"/>
      <c r="E23" s="41"/>
      <c r="F23" s="39">
        <v>0</v>
      </c>
      <c r="G23" s="40"/>
      <c r="H23" s="15"/>
      <c r="I23" s="45"/>
    </row>
    <row r="24" s="1" customFormat="1" ht="35" customHeight="1" spans="1:9">
      <c r="A24" s="19"/>
      <c r="B24" s="21"/>
      <c r="C24" s="22"/>
      <c r="D24" s="23"/>
      <c r="E24" s="41"/>
      <c r="F24" s="39">
        <v>0</v>
      </c>
      <c r="G24" s="40"/>
      <c r="H24" s="15"/>
      <c r="I24" s="45"/>
    </row>
    <row r="25" s="1" customFormat="1" ht="35" customHeight="1" spans="1:9">
      <c r="A25" s="19"/>
      <c r="B25" s="21"/>
      <c r="C25" s="22"/>
      <c r="D25" s="23"/>
      <c r="E25" s="41"/>
      <c r="F25" s="39">
        <v>0</v>
      </c>
      <c r="G25" s="40"/>
      <c r="H25" s="15"/>
      <c r="I25" s="45"/>
    </row>
    <row r="26" s="1" customFormat="1" ht="35" customHeight="1" spans="1:9">
      <c r="A26" s="19"/>
      <c r="B26" s="21"/>
      <c r="C26" s="22"/>
      <c r="D26" s="23"/>
      <c r="E26" s="41"/>
      <c r="F26" s="39">
        <v>0</v>
      </c>
      <c r="G26" s="40"/>
      <c r="H26" s="15"/>
      <c r="I26" s="45"/>
    </row>
    <row r="27" s="1" customFormat="1" ht="35" customHeight="1" spans="1:9">
      <c r="A27" s="19"/>
      <c r="B27" s="21"/>
      <c r="C27" s="22"/>
      <c r="D27" s="23"/>
      <c r="E27" s="41"/>
      <c r="F27" s="39">
        <v>0</v>
      </c>
      <c r="G27" s="40"/>
      <c r="H27" s="15"/>
      <c r="I27" s="45"/>
    </row>
    <row r="28" s="1" customFormat="1" ht="35" customHeight="1" spans="1:9">
      <c r="A28" s="24"/>
      <c r="B28" s="25"/>
      <c r="C28" s="26"/>
      <c r="D28" s="27" t="s">
        <v>46</v>
      </c>
      <c r="E28" s="42"/>
      <c r="F28" s="43">
        <f>SUM(F22:G27)</f>
        <v>0</v>
      </c>
      <c r="G28" s="44"/>
      <c r="H28" s="15"/>
      <c r="I28" s="45"/>
    </row>
    <row r="29" s="1" customFormat="1" ht="35" customHeight="1" spans="1:9">
      <c r="A29" s="15"/>
      <c r="B29" s="15"/>
      <c r="C29" s="15"/>
      <c r="D29" s="15"/>
      <c r="E29" s="15"/>
      <c r="F29" s="15"/>
      <c r="G29" s="15"/>
      <c r="H29" s="15"/>
      <c r="I29" s="45"/>
    </row>
    <row r="30" s="1" customFormat="1" ht="35" customHeight="1" spans="1:9">
      <c r="A30" s="15"/>
      <c r="B30" s="15"/>
      <c r="C30" s="15"/>
      <c r="D30" s="15"/>
      <c r="E30" s="15"/>
      <c r="F30" s="15"/>
      <c r="G30" s="15"/>
      <c r="H30" s="15"/>
      <c r="I30" s="45"/>
    </row>
    <row r="31" s="1" customFormat="1" ht="35" customHeight="1" spans="1:9">
      <c r="A31" s="15"/>
      <c r="B31" s="15"/>
      <c r="C31" s="15"/>
      <c r="D31" s="15"/>
      <c r="E31" s="15"/>
      <c r="F31" s="15"/>
      <c r="G31" s="15"/>
      <c r="H31" s="15"/>
      <c r="I31" s="45"/>
    </row>
    <row r="32" s="1" customFormat="1" ht="35" customHeight="1" spans="1:9">
      <c r="A32" s="16" t="str">
        <f>IF(Main!B2,TEXT(EDATE(Main!B3,14),"dd mmmm yyyy"),TEXT(Main!B3+((Main!B5-Main!B3)*14+14),"dd mmmm yyyy"))&amp;" - "&amp;IF(Main!B2,TEXT(EDATE(Main!B3,15)-1,"dd mmmm yyyy"),TEXT(Main!B3+((Main!B5-Main!B3)*15+14),"dd mmmm yyyy"))&amp;" / "&amp;" (Revenue / Deferred Debts Or Expenses)"</f>
        <v>01 July 2026 - 31 July 2026 /  (Revenue / Deferred Debts Or Expenses)</v>
      </c>
      <c r="B32" s="17"/>
      <c r="C32" s="17"/>
      <c r="D32" s="17"/>
      <c r="E32" s="17"/>
      <c r="F32" s="17"/>
      <c r="G32" s="17"/>
      <c r="H32" s="15"/>
      <c r="I32" s="45"/>
    </row>
    <row r="33" s="1" customFormat="1" ht="35" customHeight="1" spans="1:9">
      <c r="A33" s="18" t="s">
        <v>29</v>
      </c>
      <c r="B33" s="18" t="s">
        <v>43</v>
      </c>
      <c r="C33" s="18"/>
      <c r="D33" s="18" t="s">
        <v>44</v>
      </c>
      <c r="E33" s="18"/>
      <c r="F33" s="18" t="s">
        <v>45</v>
      </c>
      <c r="G33" s="18"/>
      <c r="H33" s="15"/>
      <c r="I33" s="45"/>
    </row>
    <row r="34" s="1" customFormat="1" ht="35" customHeight="1" spans="1:9">
      <c r="A34" s="19"/>
      <c r="B34" s="20"/>
      <c r="C34" s="20"/>
      <c r="D34" s="20"/>
      <c r="E34" s="20"/>
      <c r="F34" s="39">
        <v>0</v>
      </c>
      <c r="G34" s="40"/>
      <c r="H34" s="15"/>
      <c r="I34" s="45"/>
    </row>
    <row r="35" s="1" customFormat="1" ht="35" customHeight="1" spans="1:9">
      <c r="A35" s="19"/>
      <c r="B35" s="21"/>
      <c r="C35" s="22"/>
      <c r="D35" s="23"/>
      <c r="E35" s="41"/>
      <c r="F35" s="39">
        <v>0</v>
      </c>
      <c r="G35" s="40"/>
      <c r="H35" s="15"/>
      <c r="I35" s="45"/>
    </row>
    <row r="36" s="1" customFormat="1" ht="35" customHeight="1" spans="1:9">
      <c r="A36" s="19"/>
      <c r="B36" s="21"/>
      <c r="C36" s="22"/>
      <c r="D36" s="23"/>
      <c r="E36" s="41"/>
      <c r="F36" s="39">
        <v>0</v>
      </c>
      <c r="G36" s="40"/>
      <c r="H36" s="15"/>
      <c r="I36" s="45"/>
    </row>
    <row r="37" s="1" customFormat="1" ht="35" customHeight="1" spans="1:9">
      <c r="A37" s="19"/>
      <c r="B37" s="21"/>
      <c r="C37" s="22"/>
      <c r="D37" s="23"/>
      <c r="E37" s="41"/>
      <c r="F37" s="39">
        <v>0</v>
      </c>
      <c r="G37" s="40"/>
      <c r="H37" s="15"/>
      <c r="I37" s="45"/>
    </row>
    <row r="38" s="1" customFormat="1" ht="35" customHeight="1" spans="1:9">
      <c r="A38" s="19"/>
      <c r="B38" s="21"/>
      <c r="C38" s="22"/>
      <c r="D38" s="23"/>
      <c r="E38" s="41"/>
      <c r="F38" s="39">
        <v>0</v>
      </c>
      <c r="G38" s="40"/>
      <c r="H38" s="15"/>
      <c r="I38" s="45"/>
    </row>
    <row r="39" s="1" customFormat="1" ht="35" customHeight="1" spans="1:9">
      <c r="A39" s="19"/>
      <c r="B39" s="21"/>
      <c r="C39" s="22"/>
      <c r="D39" s="23"/>
      <c r="E39" s="41"/>
      <c r="F39" s="39">
        <v>0</v>
      </c>
      <c r="G39" s="40"/>
      <c r="H39" s="15"/>
      <c r="I39" s="45"/>
    </row>
    <row r="40" s="1" customFormat="1" ht="35" customHeight="1" spans="1:9">
      <c r="A40" s="24"/>
      <c r="B40" s="25"/>
      <c r="C40" s="26"/>
      <c r="D40" s="27" t="s">
        <v>46</v>
      </c>
      <c r="E40" s="42"/>
      <c r="F40" s="43">
        <f>SUM(F34:G39)</f>
        <v>0</v>
      </c>
      <c r="G40" s="44"/>
      <c r="H40" s="15"/>
      <c r="I40" s="45"/>
    </row>
    <row r="41" s="1" customFormat="1" ht="35" customHeight="1" spans="1:9">
      <c r="A41" s="15"/>
      <c r="B41" s="15"/>
      <c r="C41" s="15"/>
      <c r="D41" s="15"/>
      <c r="E41" s="15"/>
      <c r="F41" s="15"/>
      <c r="G41" s="15"/>
      <c r="H41" s="15"/>
      <c r="I41" s="45"/>
    </row>
    <row r="42" s="1" customFormat="1" ht="35" customHeight="1" spans="1:9">
      <c r="A42" s="15"/>
      <c r="B42" s="15"/>
      <c r="C42" s="15"/>
      <c r="D42" s="15"/>
      <c r="E42" s="15"/>
      <c r="F42" s="15"/>
      <c r="G42" s="15"/>
      <c r="H42" s="15"/>
      <c r="I42" s="45"/>
    </row>
    <row r="43" s="1" customFormat="1" ht="35" customHeight="1" spans="1:9">
      <c r="A43" s="15"/>
      <c r="B43" s="15"/>
      <c r="C43" s="15"/>
      <c r="D43" s="15"/>
      <c r="E43" s="15"/>
      <c r="F43" s="15"/>
      <c r="G43" s="15"/>
      <c r="H43" s="15"/>
      <c r="I43" s="45"/>
    </row>
    <row r="44" s="1" customFormat="1" ht="35" customHeight="1" spans="1:9">
      <c r="A44" s="28" t="str">
        <f>"Fixed Expense For the Year "&amp;IF(Main!B2,TEXT(EDATE(Main!B3,12),"mmmm yyyy"),TEXT(Main!B3+((Main!B5-Main!B3)*12+12),"mmmm yyyy"))&amp;" to "&amp;IF(Main!B2,TEXT(EDATE(Main!B3,15)-1,"mmmm yyyy"),TEXT(Main!B3+((Main!B5-Main!B3)*15+14),"mmmm yyyy"))</f>
        <v>Fixed Expense For the Year May 2026 to July 2026</v>
      </c>
      <c r="B44" s="29"/>
      <c r="C44" s="30"/>
      <c r="D44" s="15"/>
      <c r="E44" s="15"/>
      <c r="F44" s="15"/>
      <c r="G44" s="15"/>
      <c r="H44" s="15"/>
      <c r="I44" s="45"/>
    </row>
    <row r="45" s="1" customFormat="1" ht="35" customHeight="1" spans="1:9">
      <c r="A45" s="2" t="s">
        <v>43</v>
      </c>
      <c r="B45" s="2" t="s">
        <v>44</v>
      </c>
      <c r="C45" s="2" t="s">
        <v>45</v>
      </c>
      <c r="D45" s="15"/>
      <c r="E45" s="15"/>
      <c r="F45" s="15"/>
      <c r="G45" s="15"/>
      <c r="H45" s="15"/>
      <c r="I45" s="45"/>
    </row>
    <row r="46" s="1" customFormat="1" ht="35" customHeight="1" spans="1:9">
      <c r="A46" s="31" t="s">
        <v>47</v>
      </c>
      <c r="B46" s="32"/>
      <c r="C46" s="33"/>
      <c r="D46" s="15"/>
      <c r="E46" s="15"/>
      <c r="F46" s="15"/>
      <c r="G46" s="15"/>
      <c r="H46" s="15"/>
      <c r="I46" s="45"/>
    </row>
    <row r="47" s="1" customFormat="1" ht="35" customHeight="1" spans="1:9">
      <c r="A47" s="34" t="str" cm="1">
        <f ca="1" t="array" ref="A47">IF((INDIRECT("'"&amp;INDIRECT("Main!B9")&amp;"'!A61"))=0,"",(INDIRECT("'"&amp;INDIRECT("Main!B9")&amp;"'!A61")))</f>
        <v/>
      </c>
      <c r="B47" s="34" t="str" cm="1">
        <f ca="1" t="array" ref="B47">IF((INDIRECT("'"&amp;INDIRECT("Main!B9")&amp;"'!B61"))=0,"",(INDIRECT("'"&amp;INDIRECT("Main!B9")&amp;"'!B61")))</f>
        <v/>
      </c>
      <c r="C47" s="35">
        <v>0</v>
      </c>
      <c r="D47" s="15"/>
      <c r="E47" s="15"/>
      <c r="F47" s="15"/>
      <c r="G47" s="15"/>
      <c r="H47" s="15"/>
      <c r="I47" s="45"/>
    </row>
    <row r="48" s="1" customFormat="1" ht="35" customHeight="1" spans="1:9">
      <c r="A48" s="34" t="str" cm="1">
        <f ca="1" t="array" ref="A48">IF((INDIRECT("'"&amp;INDIRECT("Main!B9")&amp;"'!A62"))=0,"",(INDIRECT("'"&amp;INDIRECT("Main!B9")&amp;"'!A62")))</f>
        <v/>
      </c>
      <c r="B48" s="34" t="str" cm="1">
        <f ca="1" t="array" ref="B48">IF((INDIRECT("'"&amp;INDIRECT("Main!B9")&amp;"'!B62"))=0,"",(INDIRECT("'"&amp;INDIRECT("Main!B9")&amp;"'!B62")))</f>
        <v/>
      </c>
      <c r="C48" s="35">
        <v>0</v>
      </c>
      <c r="D48" s="15"/>
      <c r="E48" s="15"/>
      <c r="F48" s="15"/>
      <c r="G48" s="15"/>
      <c r="H48" s="15"/>
      <c r="I48" s="45"/>
    </row>
    <row r="49" s="1" customFormat="1" ht="35" customHeight="1" spans="1:9">
      <c r="A49" s="34" t="str" cm="1">
        <f ca="1" t="array" ref="A49">IF((INDIRECT("'"&amp;INDIRECT("Main!B9")&amp;"'!A63"))=0,"",(INDIRECT("'"&amp;INDIRECT("Main!B9")&amp;"'!A63")))</f>
        <v/>
      </c>
      <c r="B49" s="34" t="str" cm="1">
        <f ca="1" t="array" ref="B49">IF((INDIRECT("'"&amp;INDIRECT("Main!B9")&amp;"'!B63"))=0,"",(INDIRECT("'"&amp;INDIRECT("Main!B9")&amp;"'!B63")))</f>
        <v/>
      </c>
      <c r="C49" s="35">
        <v>0</v>
      </c>
      <c r="D49" s="15"/>
      <c r="E49" s="15"/>
      <c r="F49" s="15"/>
      <c r="G49" s="15"/>
      <c r="H49" s="15"/>
      <c r="I49" s="45"/>
    </row>
    <row r="50" s="1" customFormat="1" ht="35" customHeight="1" spans="1:9">
      <c r="A50" s="34" t="str" cm="1">
        <f ca="1" t="array" ref="A50">IF((INDIRECT("'"&amp;INDIRECT("Main!B9")&amp;"'!A64"))=0,"",(INDIRECT("'"&amp;INDIRECT("Main!B9")&amp;"'!A64")))</f>
        <v/>
      </c>
      <c r="B50" s="34" t="str" cm="1">
        <f ca="1" t="array" ref="B50">IF((INDIRECT("'"&amp;INDIRECT("Main!B9")&amp;"'!B64"))=0,"",(INDIRECT("'"&amp;INDIRECT("Main!B9")&amp;"'!B64")))</f>
        <v/>
      </c>
      <c r="C50" s="35">
        <v>0</v>
      </c>
      <c r="D50" s="15"/>
      <c r="E50" s="15"/>
      <c r="F50" s="15"/>
      <c r="G50" s="15"/>
      <c r="H50" s="15"/>
      <c r="I50" s="45"/>
    </row>
    <row r="51" s="1" customFormat="1" ht="35" customHeight="1" spans="1:9">
      <c r="A51" s="34" t="str" cm="1">
        <f ca="1" t="array" ref="A51">IF((INDIRECT("'"&amp;INDIRECT("Main!B9")&amp;"'!A65"))=0,"",(INDIRECT("'"&amp;INDIRECT("Main!B9")&amp;"'!A65")))</f>
        <v/>
      </c>
      <c r="B51" s="34" t="str" cm="1">
        <f ca="1" t="array" ref="B51">IF((INDIRECT("'"&amp;INDIRECT("Main!B9")&amp;"'!B65"))=0,"",(INDIRECT("'"&amp;INDIRECT("Main!B9")&amp;"'!B65")))</f>
        <v/>
      </c>
      <c r="C51" s="35">
        <v>0</v>
      </c>
      <c r="D51" s="15"/>
      <c r="E51" s="15"/>
      <c r="F51" s="15"/>
      <c r="G51" s="15"/>
      <c r="H51" s="15"/>
      <c r="I51" s="45"/>
    </row>
    <row r="52" s="1" customFormat="1" ht="35" customHeight="1" spans="1:9">
      <c r="A52" s="34" t="str" cm="1">
        <f ca="1" t="array" ref="A52">IF((INDIRECT("'"&amp;INDIRECT("Main!B9")&amp;"'!A66"))=0,"",(INDIRECT("'"&amp;INDIRECT("Main!B9")&amp;"'!A66")))</f>
        <v/>
      </c>
      <c r="B52" s="34" t="str" cm="1">
        <f ca="1" t="array" ref="B52">IF((INDIRECT("'"&amp;INDIRECT("Main!B9")&amp;"'!B66"))=0,"",(INDIRECT("'"&amp;INDIRECT("Main!B9")&amp;"'!B66")))</f>
        <v/>
      </c>
      <c r="C52" s="35">
        <v>0</v>
      </c>
      <c r="D52" s="15"/>
      <c r="E52" s="15"/>
      <c r="F52" s="15"/>
      <c r="G52" s="15"/>
      <c r="H52" s="15"/>
      <c r="I52" s="45"/>
    </row>
    <row r="53" s="1" customFormat="1" ht="35" customHeight="1" spans="1:9">
      <c r="A53" s="34" t="str" cm="1">
        <f ca="1" t="array" ref="A53">IF((INDIRECT("'"&amp;INDIRECT("Main!B9")&amp;"'!A67"))=0,"",(INDIRECT("'"&amp;INDIRECT("Main!B9")&amp;"'!A67")))</f>
        <v/>
      </c>
      <c r="B53" s="34" t="str" cm="1">
        <f ca="1" t="array" ref="B53">IF((INDIRECT("'"&amp;INDIRECT("Main!B9")&amp;"'!B67"))=0,"",(INDIRECT("'"&amp;INDIRECT("Main!B9")&amp;"'!B67")))</f>
        <v/>
      </c>
      <c r="C53" s="35">
        <v>0</v>
      </c>
      <c r="D53" s="15"/>
      <c r="E53" s="15"/>
      <c r="F53" s="15"/>
      <c r="G53" s="15"/>
      <c r="H53" s="15"/>
      <c r="I53" s="45"/>
    </row>
    <row r="54" s="1" customFormat="1" ht="35" customHeight="1" spans="1:9">
      <c r="A54" s="34" t="str" cm="1">
        <f ca="1" t="array" ref="A54">IF((INDIRECT("'"&amp;INDIRECT("Main!B9")&amp;"'!A68"))=0,"",(INDIRECT("'"&amp;INDIRECT("Main!B9")&amp;"'!A68")))</f>
        <v/>
      </c>
      <c r="B54" s="34" t="str" cm="1">
        <f ca="1" t="array" ref="B54">IF((INDIRECT("'"&amp;INDIRECT("Main!B9")&amp;"'!B68"))=0,"",(INDIRECT("'"&amp;INDIRECT("Main!B9")&amp;"'!B68")))</f>
        <v/>
      </c>
      <c r="C54" s="35">
        <v>0</v>
      </c>
      <c r="D54" s="15"/>
      <c r="E54" s="15"/>
      <c r="F54" s="15"/>
      <c r="G54" s="15"/>
      <c r="H54" s="15"/>
      <c r="I54" s="45"/>
    </row>
    <row r="55" s="1" customFormat="1" ht="35" customHeight="1" spans="1:9">
      <c r="A55" s="36"/>
      <c r="B55" s="37" t="s">
        <v>48</v>
      </c>
      <c r="C55" s="35">
        <f>SUM(C47:C54)</f>
        <v>0</v>
      </c>
      <c r="D55" s="15"/>
      <c r="E55" s="15"/>
      <c r="F55" s="15"/>
      <c r="G55" s="15"/>
      <c r="H55" s="15"/>
      <c r="I55" s="45"/>
    </row>
    <row r="56" s="1" customFormat="1" ht="35" customHeight="1" spans="1:9">
      <c r="A56" s="83" t="s">
        <v>49</v>
      </c>
      <c r="B56" s="84"/>
      <c r="C56" s="85"/>
      <c r="D56" s="15"/>
      <c r="E56" s="15"/>
      <c r="F56" s="15"/>
      <c r="G56" s="15"/>
      <c r="H56" s="15"/>
      <c r="I56" s="45"/>
    </row>
    <row r="57" s="1" customFormat="1" ht="35" customHeight="1" spans="1:9">
      <c r="A57" s="34" t="str" cm="1">
        <f ca="1" t="array" ref="A57">IF((INDIRECT("'"&amp;INDIRECT("Main!B9")&amp;"'!A71"))=0,"",(INDIRECT("'"&amp;INDIRECT("Main!B9")&amp;"'!A71")))</f>
        <v/>
      </c>
      <c r="B57" s="34" t="str" cm="1">
        <f ca="1" t="array" ref="B57">IF((INDIRECT("'"&amp;INDIRECT("Main!B9")&amp;"'!B71"))=0,"",(INDIRECT("'"&amp;INDIRECT("Main!B9")&amp;"'!B71")))</f>
        <v/>
      </c>
      <c r="C57" s="35">
        <v>0</v>
      </c>
      <c r="D57" s="15"/>
      <c r="E57" s="15"/>
      <c r="F57" s="15"/>
      <c r="G57" s="15"/>
      <c r="H57" s="15"/>
      <c r="I57" s="45"/>
    </row>
    <row r="58" s="1" customFormat="1" ht="35" customHeight="1" spans="1:9">
      <c r="A58" s="34" t="str" cm="1">
        <f ca="1" t="array" ref="A58">IF((INDIRECT("'"&amp;INDIRECT("Main!B9")&amp;"'!A72"))=0,"",(INDIRECT("'"&amp;INDIRECT("Main!B9")&amp;"'!A72")))</f>
        <v/>
      </c>
      <c r="B58" s="34" t="str" cm="1">
        <f ca="1" t="array" ref="B58">IF((INDIRECT("'"&amp;INDIRECT("Main!B9")&amp;"'!B72"))=0,"",(INDIRECT("'"&amp;INDIRECT("Main!B9")&amp;"'!B72")))</f>
        <v/>
      </c>
      <c r="C58" s="35">
        <v>0</v>
      </c>
      <c r="D58" s="15"/>
      <c r="E58" s="15"/>
      <c r="F58" s="15"/>
      <c r="G58" s="15"/>
      <c r="H58" s="15"/>
      <c r="I58" s="45"/>
    </row>
    <row r="59" s="1" customFormat="1" ht="35" customHeight="1" spans="1:9">
      <c r="A59" s="34" t="str" cm="1">
        <f ca="1" t="array" ref="A59">IF((INDIRECT("'"&amp;INDIRECT("Main!B9")&amp;"'!A73"))=0,"",(INDIRECT("'"&amp;INDIRECT("Main!B9")&amp;"'!A73")))</f>
        <v/>
      </c>
      <c r="B59" s="34" t="str" cm="1">
        <f ca="1" t="array" ref="B59">IF((INDIRECT("'"&amp;INDIRECT("Main!B9")&amp;"'!B73"))=0,"",(INDIRECT("'"&amp;INDIRECT("Main!B9")&amp;"'!B73")))</f>
        <v/>
      </c>
      <c r="C59" s="35">
        <v>0</v>
      </c>
      <c r="D59" s="15"/>
      <c r="E59" s="15"/>
      <c r="F59" s="15"/>
      <c r="G59" s="15"/>
      <c r="H59" s="15"/>
      <c r="I59" s="45"/>
    </row>
    <row r="60" s="1" customFormat="1" ht="35" customHeight="1" spans="1:9">
      <c r="A60" s="34" t="str" cm="1">
        <f ca="1" t="array" ref="A60">IF((INDIRECT("'"&amp;INDIRECT("Main!B9")&amp;"'!A74"))=0,"",(INDIRECT("'"&amp;INDIRECT("Main!B9")&amp;"'!A74")))</f>
        <v/>
      </c>
      <c r="B60" s="34" t="str" cm="1">
        <f ca="1" t="array" ref="B60">IF((INDIRECT("'"&amp;INDIRECT("Main!B9")&amp;"'!B74"))=0,"",(INDIRECT("'"&amp;INDIRECT("Main!B9")&amp;"'!B74")))</f>
        <v/>
      </c>
      <c r="C60" s="35">
        <v>0</v>
      </c>
      <c r="D60" s="15"/>
      <c r="E60" s="15"/>
      <c r="F60" s="15"/>
      <c r="G60" s="15"/>
      <c r="H60" s="15"/>
      <c r="I60" s="45"/>
    </row>
    <row r="61" s="1" customFormat="1" ht="35" customHeight="1" spans="1:9">
      <c r="A61" s="34" t="str" cm="1">
        <f ca="1" t="array" ref="A61">IF((INDIRECT("'"&amp;INDIRECT("Main!B9")&amp;"'!A75"))=0,"",(INDIRECT("'"&amp;INDIRECT("Main!B9")&amp;"'!A75")))</f>
        <v/>
      </c>
      <c r="B61" s="34" t="str" cm="1">
        <f ca="1" t="array" ref="B61">IF((INDIRECT("'"&amp;INDIRECT("Main!B9")&amp;"'!B75"))=0,"",(INDIRECT("'"&amp;INDIRECT("Main!B9")&amp;"'!B75")))</f>
        <v/>
      </c>
      <c r="C61" s="35">
        <v>0</v>
      </c>
      <c r="D61" s="15"/>
      <c r="E61" s="15"/>
      <c r="F61" s="15"/>
      <c r="G61" s="15"/>
      <c r="H61" s="15"/>
      <c r="I61" s="45"/>
    </row>
    <row r="62" s="1" customFormat="1" ht="35" customHeight="1" spans="1:9">
      <c r="A62" s="34" t="str" cm="1">
        <f ca="1" t="array" ref="A62">IF((INDIRECT("'"&amp;INDIRECT("Main!B9")&amp;"'!A76"))=0,"",(INDIRECT("'"&amp;INDIRECT("Main!B9")&amp;"'!A76")))</f>
        <v/>
      </c>
      <c r="B62" s="34" t="str" cm="1">
        <f ca="1" t="array" ref="B62">IF((INDIRECT("'"&amp;INDIRECT("Main!B9")&amp;"'!B76"))=0,"",(INDIRECT("'"&amp;INDIRECT("Main!B9")&amp;"'!B76")))</f>
        <v/>
      </c>
      <c r="C62" s="35">
        <v>0</v>
      </c>
      <c r="D62" s="15"/>
      <c r="E62" s="15"/>
      <c r="F62" s="15"/>
      <c r="G62" s="15"/>
      <c r="H62" s="15"/>
      <c r="I62" s="45"/>
    </row>
    <row r="63" s="1" customFormat="1" ht="35" customHeight="1" spans="1:9">
      <c r="A63" s="34" t="str" cm="1">
        <f ca="1" t="array" ref="A63">IF((INDIRECT("'"&amp;INDIRECT("Main!B9")&amp;"'!A77"))=0,"",(INDIRECT("'"&amp;INDIRECT("Main!B9")&amp;"'!A77")))</f>
        <v/>
      </c>
      <c r="B63" s="34" t="str" cm="1">
        <f ca="1" t="array" ref="B63">IF((INDIRECT("'"&amp;INDIRECT("Main!B9")&amp;"'!B77"))=0,"",(INDIRECT("'"&amp;INDIRECT("Main!B9")&amp;"'!B77")))</f>
        <v/>
      </c>
      <c r="C63" s="35">
        <v>0</v>
      </c>
      <c r="D63" s="15"/>
      <c r="E63" s="15"/>
      <c r="F63" s="15"/>
      <c r="G63" s="15"/>
      <c r="H63" s="15"/>
      <c r="I63" s="45"/>
    </row>
    <row r="64" s="1" customFormat="1" ht="35" customHeight="1" spans="1:9">
      <c r="A64" s="34" t="str" cm="1">
        <f ca="1" t="array" ref="A64">IF((INDIRECT("'"&amp;INDIRECT("Main!B9")&amp;"'!A78"))=0,"",(INDIRECT("'"&amp;INDIRECT("Main!B9")&amp;"'!A78")))</f>
        <v/>
      </c>
      <c r="B64" s="34" t="str" cm="1">
        <f ca="1" t="array" ref="B64">IF((INDIRECT("'"&amp;INDIRECT("Main!B9")&amp;"'!B78"))=0,"",(INDIRECT("'"&amp;INDIRECT("Main!B9")&amp;"'!B78")))</f>
        <v/>
      </c>
      <c r="C64" s="35">
        <v>0</v>
      </c>
      <c r="D64" s="15"/>
      <c r="E64" s="15"/>
      <c r="F64" s="15"/>
      <c r="G64" s="15"/>
      <c r="H64" s="15"/>
      <c r="I64" s="45"/>
    </row>
    <row r="65" s="1" customFormat="1" ht="35" customHeight="1" spans="1:9">
      <c r="A65" s="34" t="str" cm="1">
        <f ca="1" t="array" ref="A65">IF((INDIRECT("'"&amp;INDIRECT("Main!B9")&amp;"'!A79"))=0,"",(INDIRECT("'"&amp;INDIRECT("Main!B9")&amp;"'!A79")))</f>
        <v/>
      </c>
      <c r="B65" s="34" t="str" cm="1">
        <f ca="1" t="array" ref="B65">IF((INDIRECT("'"&amp;INDIRECT("Main!B9")&amp;"'!B79"))=0,"",(INDIRECT("'"&amp;INDIRECT("Main!B9")&amp;"'!B79")))</f>
        <v/>
      </c>
      <c r="C65" s="35">
        <v>0</v>
      </c>
      <c r="D65" s="15"/>
      <c r="E65" s="15"/>
      <c r="F65" s="15"/>
      <c r="G65" s="15"/>
      <c r="H65" s="15"/>
      <c r="I65" s="45"/>
    </row>
    <row r="66" s="1" customFormat="1" ht="35" customHeight="1" spans="1:9">
      <c r="A66" s="46"/>
      <c r="B66" s="37" t="s">
        <v>48</v>
      </c>
      <c r="C66" s="35">
        <f>SUM(C57:C65)</f>
        <v>0</v>
      </c>
      <c r="D66" s="15"/>
      <c r="E66" s="15"/>
      <c r="F66" s="15"/>
      <c r="G66" s="15"/>
      <c r="H66" s="15"/>
      <c r="I66" s="45"/>
    </row>
    <row r="67" s="1" customFormat="1" ht="35" customHeight="1" spans="1:9">
      <c r="A67" s="83" t="s">
        <v>50</v>
      </c>
      <c r="B67" s="84"/>
      <c r="C67" s="85"/>
      <c r="D67" s="15"/>
      <c r="E67" s="15"/>
      <c r="F67" s="15"/>
      <c r="G67" s="15"/>
      <c r="H67" s="15"/>
      <c r="I67" s="45"/>
    </row>
    <row r="68" s="1" customFormat="1" ht="35" customHeight="1" spans="1:9">
      <c r="A68" s="47" t="str" cm="1">
        <f ca="1" t="array" ref="A68">IF((INDIRECT("'"&amp;INDIRECT("Main!B9")&amp;"'!A82"))=0,"",(INDIRECT("'"&amp;INDIRECT("Main!B9")&amp;"'!A82")))</f>
        <v/>
      </c>
      <c r="B68" s="47" t="str" cm="1">
        <f ca="1" t="array" ref="B68">IF((INDIRECT("'"&amp;INDIRECT("Main!B9")&amp;"'!B82"))=0,"",(INDIRECT("'"&amp;INDIRECT("Main!B9")&amp;"'!B82")))</f>
        <v/>
      </c>
      <c r="C68" s="35">
        <v>0</v>
      </c>
      <c r="D68" s="15"/>
      <c r="E68" s="15"/>
      <c r="F68" s="15"/>
      <c r="G68" s="15"/>
      <c r="H68" s="15"/>
      <c r="I68" s="45"/>
    </row>
    <row r="69" s="1" customFormat="1" ht="35" customHeight="1" spans="1:9">
      <c r="A69" s="47" t="str" cm="1">
        <f ca="1" t="array" ref="A69">IF((INDIRECT("'"&amp;INDIRECT("Main!B9")&amp;"'!A83"))=0,"",(INDIRECT("'"&amp;INDIRECT("Main!B9")&amp;"'!A83")))</f>
        <v/>
      </c>
      <c r="B69" s="47" t="str" cm="1">
        <f ca="1" t="array" ref="B69">IF((INDIRECT("'"&amp;INDIRECT("Main!B9")&amp;"'!B83"))=0,"",(INDIRECT("'"&amp;INDIRECT("Main!B9")&amp;"'!B83")))</f>
        <v/>
      </c>
      <c r="C69" s="35">
        <v>0</v>
      </c>
      <c r="D69" s="15"/>
      <c r="E69" s="15"/>
      <c r="F69" s="15"/>
      <c r="G69" s="15"/>
      <c r="H69" s="15"/>
      <c r="I69" s="45"/>
    </row>
    <row r="70" s="1" customFormat="1" ht="35" customHeight="1" spans="1:9">
      <c r="A70" s="47" t="str" cm="1">
        <f ca="1" t="array" ref="A70">IF((INDIRECT("'"&amp;INDIRECT("Main!B9")&amp;"'!A84"))=0,"",(INDIRECT("'"&amp;INDIRECT("Main!B9")&amp;"'!A84")))</f>
        <v/>
      </c>
      <c r="B70" s="47" t="str" cm="1">
        <f ca="1" t="array" ref="B70">IF((INDIRECT("'"&amp;INDIRECT("Main!B9")&amp;"'!B84"))=0,"",(INDIRECT("'"&amp;INDIRECT("Main!B9")&amp;"'!B84")))</f>
        <v/>
      </c>
      <c r="C70" s="35">
        <v>0</v>
      </c>
      <c r="D70" s="15"/>
      <c r="E70" s="15"/>
      <c r="F70" s="15"/>
      <c r="G70" s="15"/>
      <c r="H70" s="15"/>
      <c r="I70" s="45"/>
    </row>
    <row r="71" s="1" customFormat="1" ht="35" customHeight="1" spans="1:9">
      <c r="A71" s="47" t="str" cm="1">
        <f ca="1" t="array" ref="A71">IF((INDIRECT("'"&amp;INDIRECT("Main!B9")&amp;"'!A85"))=0,"",(INDIRECT("'"&amp;INDIRECT("Main!B9")&amp;"'!A85")))</f>
        <v/>
      </c>
      <c r="B71" s="47" t="str" cm="1">
        <f ca="1" t="array" ref="B71">IF((INDIRECT("'"&amp;INDIRECT("Main!B9")&amp;"'!B85"))=0,"",(INDIRECT("'"&amp;INDIRECT("Main!B9")&amp;"'!B85")))</f>
        <v/>
      </c>
      <c r="C71" s="35">
        <v>0</v>
      </c>
      <c r="D71" s="15"/>
      <c r="E71" s="15"/>
      <c r="F71" s="15"/>
      <c r="G71" s="15"/>
      <c r="H71" s="15"/>
      <c r="I71" s="45"/>
    </row>
    <row r="72" s="1" customFormat="1" ht="35" customHeight="1" spans="1:9">
      <c r="A72" s="47" t="str" cm="1">
        <f ca="1" t="array" ref="A72">IF((INDIRECT("'"&amp;INDIRECT("Main!B9")&amp;"'!A86"))=0,"",(INDIRECT("'"&amp;INDIRECT("Main!B9")&amp;"'!A86")))</f>
        <v/>
      </c>
      <c r="B72" s="47" t="str" cm="1">
        <f ca="1" t="array" ref="B72">IF((INDIRECT("'"&amp;INDIRECT("Main!B9")&amp;"'!B86"))=0,"",(INDIRECT("'"&amp;INDIRECT("Main!B9")&amp;"'!B86")))</f>
        <v/>
      </c>
      <c r="C72" s="35">
        <v>0</v>
      </c>
      <c r="D72" s="15"/>
      <c r="E72" s="15"/>
      <c r="F72" s="15"/>
      <c r="G72" s="15"/>
      <c r="H72" s="15"/>
      <c r="I72" s="45"/>
    </row>
    <row r="73" s="1" customFormat="1" ht="35" customHeight="1" spans="1:9">
      <c r="A73" s="47" t="str" cm="1">
        <f ca="1" t="array" ref="A73">IF((INDIRECT("'"&amp;INDIRECT("Main!B9")&amp;"'!A87"))=0,"",(INDIRECT("'"&amp;INDIRECT("Main!B9")&amp;"'!A87")))</f>
        <v/>
      </c>
      <c r="B73" s="47" t="str" cm="1">
        <f ca="1" t="array" ref="B73">IF((INDIRECT("'"&amp;INDIRECT("Main!B9")&amp;"'!B87"))=0,"",(INDIRECT("'"&amp;INDIRECT("Main!B9")&amp;"'!B87")))</f>
        <v/>
      </c>
      <c r="C73" s="35">
        <v>0</v>
      </c>
      <c r="D73" s="15"/>
      <c r="E73" s="15"/>
      <c r="F73" s="15"/>
      <c r="G73" s="15"/>
      <c r="H73" s="15"/>
      <c r="I73" s="45"/>
    </row>
    <row r="74" s="1" customFormat="1" ht="35" customHeight="1" spans="1:9">
      <c r="A74" s="47" t="str" cm="1">
        <f ca="1" t="array" ref="A74">IF((INDIRECT("'"&amp;INDIRECT("Main!B9")&amp;"'!A88"))=0,"",(INDIRECT("'"&amp;INDIRECT("Main!B9")&amp;"'!A88")))</f>
        <v/>
      </c>
      <c r="B74" s="47" t="str" cm="1">
        <f ca="1" t="array" ref="B74">IF((INDIRECT("'"&amp;INDIRECT("Main!B9")&amp;"'!B88"))=0,"",(INDIRECT("'"&amp;INDIRECT("Main!B9")&amp;"'!B88")))</f>
        <v/>
      </c>
      <c r="C74" s="35">
        <v>0</v>
      </c>
      <c r="D74" s="15"/>
      <c r="E74" s="15"/>
      <c r="F74" s="15"/>
      <c r="G74" s="15"/>
      <c r="H74" s="15"/>
      <c r="I74" s="45"/>
    </row>
    <row r="75" s="1" customFormat="1" ht="35" customHeight="1" spans="1:9">
      <c r="A75" s="46"/>
      <c r="B75" s="37" t="s">
        <v>48</v>
      </c>
      <c r="C75" s="35">
        <f>SUM(C68:C74)</f>
        <v>0</v>
      </c>
      <c r="D75" s="15"/>
      <c r="E75" s="15"/>
      <c r="F75" s="15"/>
      <c r="G75" s="15"/>
      <c r="H75" s="15"/>
      <c r="I75" s="45"/>
    </row>
    <row r="76" s="1" customFormat="1" ht="35" customHeight="1" spans="1:9">
      <c r="A76" s="83" t="s">
        <v>51</v>
      </c>
      <c r="B76" s="84"/>
      <c r="C76" s="85"/>
      <c r="D76" s="15"/>
      <c r="E76" s="15"/>
      <c r="F76" s="15"/>
      <c r="G76" s="15"/>
      <c r="H76" s="15"/>
      <c r="I76" s="45"/>
    </row>
    <row r="77" s="1" customFormat="1" ht="35" customHeight="1" spans="1:9">
      <c r="A77" s="34" t="str" cm="1">
        <f ca="1" t="array" ref="A77">IF((INDIRECT("'"&amp;INDIRECT("Main!B9")&amp;"'!A91"))=0,"",(INDIRECT("'"&amp;INDIRECT("Main!B9")&amp;"'!A91")))</f>
        <v/>
      </c>
      <c r="B77" s="34" t="str" cm="1">
        <f ca="1" t="array" ref="B77">IF((INDIRECT("'"&amp;INDIRECT("Main!B9")&amp;"'!B91"))=0,"",(INDIRECT("'"&amp;INDIRECT("Main!B9")&amp;"'!B91")))</f>
        <v/>
      </c>
      <c r="C77" s="35">
        <v>0</v>
      </c>
      <c r="D77" s="15"/>
      <c r="E77" s="15"/>
      <c r="F77" s="15"/>
      <c r="G77" s="15"/>
      <c r="H77" s="15"/>
      <c r="I77" s="45"/>
    </row>
    <row r="78" s="1" customFormat="1" ht="35" customHeight="1" spans="1:9">
      <c r="A78" s="34" t="str" cm="1">
        <f ca="1" t="array" ref="A78">IF((INDIRECT("'"&amp;INDIRECT("Main!B9")&amp;"'!A92"))=0,"",(INDIRECT("'"&amp;INDIRECT("Main!B9")&amp;"'!A92")))</f>
        <v/>
      </c>
      <c r="B78" s="34" t="str" cm="1">
        <f ca="1" t="array" ref="B78">IF((INDIRECT("'"&amp;INDIRECT("Main!B9")&amp;"'!B92"))=0,"",(INDIRECT("'"&amp;INDIRECT("Main!B9")&amp;"'!B92")))</f>
        <v/>
      </c>
      <c r="C78" s="35">
        <v>0</v>
      </c>
      <c r="D78" s="15"/>
      <c r="E78" s="15"/>
      <c r="F78" s="15"/>
      <c r="G78" s="15"/>
      <c r="H78" s="15"/>
      <c r="I78" s="45"/>
    </row>
    <row r="79" s="1" customFormat="1" ht="35" customHeight="1" spans="1:9">
      <c r="A79" s="34" t="str" cm="1">
        <f ca="1" t="array" ref="A79">IF((INDIRECT("'"&amp;INDIRECT("Main!B9")&amp;"'!A93"))=0,"",(INDIRECT("'"&amp;INDIRECT("Main!B9")&amp;"'!A93")))</f>
        <v/>
      </c>
      <c r="B79" s="34" t="str" cm="1">
        <f ca="1" t="array" ref="B79">IF((INDIRECT("'"&amp;INDIRECT("Main!B9")&amp;"'!B93"))=0,"",(INDIRECT("'"&amp;INDIRECT("Main!B9")&amp;"'!B93")))</f>
        <v/>
      </c>
      <c r="C79" s="35">
        <v>0</v>
      </c>
      <c r="D79" s="15"/>
      <c r="E79" s="15"/>
      <c r="F79" s="15"/>
      <c r="G79" s="15"/>
      <c r="H79" s="15"/>
      <c r="I79" s="45"/>
    </row>
    <row r="80" s="1" customFormat="1" ht="35" customHeight="1" spans="1:9">
      <c r="A80" s="34" t="str" cm="1">
        <f ca="1" t="array" ref="A80">IF((INDIRECT("'"&amp;INDIRECT("Main!B9")&amp;"'!A94"))=0,"",(INDIRECT("'"&amp;INDIRECT("Main!B9")&amp;"'!A94")))</f>
        <v/>
      </c>
      <c r="B80" s="34" t="str" cm="1">
        <f ca="1" t="array" ref="B80">IF((INDIRECT("'"&amp;INDIRECT("Main!B9")&amp;"'!B94"))=0,"",(INDIRECT("'"&amp;INDIRECT("Main!B9")&amp;"'!B94")))</f>
        <v/>
      </c>
      <c r="C80" s="35">
        <v>0</v>
      </c>
      <c r="D80" s="15"/>
      <c r="E80" s="15"/>
      <c r="F80" s="15"/>
      <c r="G80" s="15"/>
      <c r="H80" s="15"/>
      <c r="I80" s="45"/>
    </row>
    <row r="81" s="1" customFormat="1" ht="35" customHeight="1" spans="1:9">
      <c r="A81" s="34" t="str" cm="1">
        <f ca="1" t="array" ref="A81">IF((INDIRECT("'"&amp;INDIRECT("Main!B9")&amp;"'!A95"))=0,"",(INDIRECT("'"&amp;INDIRECT("Main!B9")&amp;"'!A95")))</f>
        <v/>
      </c>
      <c r="B81" s="34" t="str" cm="1">
        <f ca="1" t="array" ref="B81">IF((INDIRECT("'"&amp;INDIRECT("Main!B9")&amp;"'!B95"))=0,"",(INDIRECT("'"&amp;INDIRECT("Main!B9")&amp;"'!B95")))</f>
        <v/>
      </c>
      <c r="C81" s="35">
        <v>0</v>
      </c>
      <c r="D81" s="15"/>
      <c r="E81" s="15"/>
      <c r="F81" s="15"/>
      <c r="G81" s="15"/>
      <c r="H81" s="15"/>
      <c r="I81" s="45"/>
    </row>
    <row r="82" s="1" customFormat="1" ht="35" customHeight="1" spans="1:9">
      <c r="A82" s="34" t="str" cm="1">
        <f ca="1" t="array" ref="A82">IF((INDIRECT("'"&amp;INDIRECT("Main!B9")&amp;"'!A96"))=0,"",(INDIRECT("'"&amp;INDIRECT("Main!B9")&amp;"'!A96")))</f>
        <v/>
      </c>
      <c r="B82" s="34" t="str" cm="1">
        <f ca="1" t="array" ref="B82">IF((INDIRECT("'"&amp;INDIRECT("Main!B9")&amp;"'!B96"))=0,"",(INDIRECT("'"&amp;INDIRECT("Main!B9")&amp;"'!B96")))</f>
        <v/>
      </c>
      <c r="C82" s="35">
        <v>0</v>
      </c>
      <c r="D82" s="15"/>
      <c r="E82" s="15"/>
      <c r="F82" s="15"/>
      <c r="G82" s="15"/>
      <c r="H82" s="15"/>
      <c r="I82" s="45"/>
    </row>
    <row r="83" s="1" customFormat="1" ht="35" customHeight="1" spans="1:9">
      <c r="A83" s="34" t="str" cm="1">
        <f ca="1" t="array" ref="A83">IF((INDIRECT("'"&amp;INDIRECT("Main!B9")&amp;"'!A97"))=0,"",(INDIRECT("'"&amp;INDIRECT("Main!B9")&amp;"'!A97")))</f>
        <v/>
      </c>
      <c r="B83" s="34" t="str" cm="1">
        <f ca="1" t="array" ref="B83">IF((INDIRECT("'"&amp;INDIRECT("Main!B9")&amp;"'!B97"))=0,"",(INDIRECT("'"&amp;INDIRECT("Main!B9")&amp;"'!B97")))</f>
        <v/>
      </c>
      <c r="C83" s="35">
        <v>0</v>
      </c>
      <c r="D83" s="15"/>
      <c r="E83" s="15"/>
      <c r="F83" s="15"/>
      <c r="G83" s="15"/>
      <c r="H83" s="15"/>
      <c r="I83" s="45"/>
    </row>
    <row r="84" s="1" customFormat="1" ht="35" customHeight="1" spans="1:9">
      <c r="A84" s="34" t="str" cm="1">
        <f ca="1" t="array" ref="A84">IF((INDIRECT("'"&amp;INDIRECT("Main!B9")&amp;"'!A98"))=0,"",(INDIRECT("'"&amp;INDIRECT("Main!B9")&amp;"'!A98")))</f>
        <v/>
      </c>
      <c r="B84" s="34" t="str" cm="1">
        <f ca="1" t="array" ref="B84">IF((INDIRECT("'"&amp;INDIRECT("Main!B9")&amp;"'!B98"))=0,"",(INDIRECT("'"&amp;INDIRECT("Main!B9")&amp;"'!B98")))</f>
        <v/>
      </c>
      <c r="C84" s="35">
        <v>0</v>
      </c>
      <c r="D84" s="15"/>
      <c r="E84" s="15"/>
      <c r="F84" s="15"/>
      <c r="G84" s="15"/>
      <c r="H84" s="15"/>
      <c r="I84" s="45"/>
    </row>
    <row r="85" s="1" customFormat="1" ht="35" customHeight="1" spans="1:9">
      <c r="A85" s="46"/>
      <c r="B85" s="37" t="s">
        <v>48</v>
      </c>
      <c r="C85" s="35">
        <f>SUM(C77:C84)</f>
        <v>0</v>
      </c>
      <c r="D85" s="15"/>
      <c r="E85" s="15"/>
      <c r="F85" s="15"/>
      <c r="G85" s="15"/>
      <c r="H85" s="15"/>
      <c r="I85" s="45"/>
    </row>
    <row r="86" s="1" customFormat="1" ht="35" customHeight="1" spans="1:9">
      <c r="A86" s="83" t="s">
        <v>52</v>
      </c>
      <c r="B86" s="84"/>
      <c r="C86" s="85"/>
      <c r="D86" s="15"/>
      <c r="E86" s="15"/>
      <c r="F86" s="15"/>
      <c r="G86" s="15"/>
      <c r="H86" s="15"/>
      <c r="I86" s="45"/>
    </row>
    <row r="87" s="1" customFormat="1" ht="35" customHeight="1" spans="1:9">
      <c r="A87" s="34" t="str" cm="1">
        <f ca="1" t="array" ref="A87">IF((INDIRECT("'"&amp;INDIRECT("Main!B9")&amp;"'!A101"))=0,"",(INDIRECT("'"&amp;INDIRECT("Main!B9")&amp;"'!A101")))</f>
        <v/>
      </c>
      <c r="B87" s="34" t="str" cm="1">
        <f ca="1" t="array" ref="B87">IF((INDIRECT("'"&amp;INDIRECT("Main!B9")&amp;"'!B101"))=0,"",(INDIRECT("'"&amp;INDIRECT("Main!B9")&amp;"'!B101")))</f>
        <v/>
      </c>
      <c r="C87" s="35">
        <v>0</v>
      </c>
      <c r="D87" s="15"/>
      <c r="E87" s="15"/>
      <c r="F87" s="15"/>
      <c r="G87" s="15"/>
      <c r="H87" s="15"/>
      <c r="I87" s="45"/>
    </row>
    <row r="88" s="1" customFormat="1" ht="35" customHeight="1" spans="1:9">
      <c r="A88" s="34" t="str" cm="1">
        <f ca="1" t="array" ref="A88">IF((INDIRECT("'"&amp;INDIRECT("Main!B9")&amp;"'!A102"))=0,"",(INDIRECT("'"&amp;INDIRECT("Main!B9")&amp;"'!A102")))</f>
        <v/>
      </c>
      <c r="B88" s="34" t="str" cm="1">
        <f ca="1" t="array" ref="B88">IF((INDIRECT("'"&amp;INDIRECT("Main!B9")&amp;"'!B102"))=0,"",(INDIRECT("'"&amp;INDIRECT("Main!B9")&amp;"'!B102")))</f>
        <v/>
      </c>
      <c r="C88" s="35">
        <v>0</v>
      </c>
      <c r="D88" s="15"/>
      <c r="E88" s="15"/>
      <c r="F88" s="15"/>
      <c r="G88" s="15"/>
      <c r="H88" s="15"/>
      <c r="I88" s="45"/>
    </row>
    <row r="89" s="1" customFormat="1" ht="35" customHeight="1" spans="1:9">
      <c r="A89" s="34" t="str" cm="1">
        <f ca="1" t="array" ref="A89">IF((INDIRECT("'"&amp;INDIRECT("Main!B9")&amp;"'!A103"))=0,"",(INDIRECT("'"&amp;INDIRECT("Main!B9")&amp;"'!A103")))</f>
        <v/>
      </c>
      <c r="B89" s="34" t="str" cm="1">
        <f ca="1" t="array" ref="B89">IF((INDIRECT("'"&amp;INDIRECT("Main!B9")&amp;"'!B103"))=0,"",(INDIRECT("'"&amp;INDIRECT("Main!B9")&amp;"'!B103")))</f>
        <v/>
      </c>
      <c r="C89" s="35">
        <v>0</v>
      </c>
      <c r="D89" s="15"/>
      <c r="E89" s="15"/>
      <c r="F89" s="15"/>
      <c r="G89" s="15"/>
      <c r="H89" s="15"/>
      <c r="I89" s="45"/>
    </row>
    <row r="90" s="1" customFormat="1" ht="35" customHeight="1" spans="1:9">
      <c r="A90" s="34" t="str" cm="1">
        <f ca="1" t="array" ref="A90">IF((INDIRECT("'"&amp;INDIRECT("Main!B9")&amp;"'!A104"))=0,"",(INDIRECT("'"&amp;INDIRECT("Main!B9")&amp;"'!A104")))</f>
        <v/>
      </c>
      <c r="B90" s="34" t="str" cm="1">
        <f ca="1" t="array" ref="B90">IF((INDIRECT("'"&amp;INDIRECT("Main!B9")&amp;"'!B104"))=0,"",(INDIRECT("'"&amp;INDIRECT("Main!B9")&amp;"'!B104")))</f>
        <v/>
      </c>
      <c r="C90" s="35">
        <v>0</v>
      </c>
      <c r="D90" s="15"/>
      <c r="E90" s="62"/>
      <c r="F90" s="15"/>
      <c r="G90" s="15"/>
      <c r="H90" s="15"/>
      <c r="I90" s="45"/>
    </row>
    <row r="91" s="1" customFormat="1" ht="35" customHeight="1" spans="1:9">
      <c r="A91" s="34" t="str" cm="1">
        <f ca="1" t="array" ref="A91">IF((INDIRECT("'"&amp;INDIRECT("Main!B9")&amp;"'!A105"))=0,"",(INDIRECT("'"&amp;INDIRECT("Main!B9")&amp;"'!A105")))</f>
        <v/>
      </c>
      <c r="B91" s="34" t="str" cm="1">
        <f ca="1" t="array" ref="B91">IF((INDIRECT("'"&amp;INDIRECT("Main!B9")&amp;"'!B105"))=0,"",(INDIRECT("'"&amp;INDIRECT("Main!B9")&amp;"'!B105")))</f>
        <v/>
      </c>
      <c r="C91" s="35">
        <v>0</v>
      </c>
      <c r="D91" s="15"/>
      <c r="E91" s="15"/>
      <c r="F91" s="15"/>
      <c r="G91" s="15"/>
      <c r="H91" s="15"/>
      <c r="I91" s="45"/>
    </row>
    <row r="92" s="1" customFormat="1" ht="35" customHeight="1" spans="1:9">
      <c r="A92" s="34" t="str" cm="1">
        <f ca="1" t="array" ref="A92">IF((INDIRECT("'"&amp;INDIRECT("Main!B9")&amp;"'!A106"))=0,"",(INDIRECT("'"&amp;INDIRECT("Main!B9")&amp;"'!A106")))</f>
        <v/>
      </c>
      <c r="B92" s="34" t="str" cm="1">
        <f ca="1" t="array" ref="B92">IF((INDIRECT("'"&amp;INDIRECT("Main!B9")&amp;"'!B106"))=0,"",(INDIRECT("'"&amp;INDIRECT("Main!B9")&amp;"'!B106")))</f>
        <v/>
      </c>
      <c r="C92" s="35">
        <v>0</v>
      </c>
      <c r="D92" s="15"/>
      <c r="E92" s="15"/>
      <c r="F92" s="15"/>
      <c r="G92" s="15"/>
      <c r="H92" s="15"/>
      <c r="I92" s="45"/>
    </row>
    <row r="93" s="1" customFormat="1" ht="35" customHeight="1" spans="1:9">
      <c r="A93" s="34" t="str" cm="1">
        <f ca="1" t="array" ref="A93">IF((INDIRECT("'"&amp;INDIRECT("Main!B9")&amp;"'!A107"))=0,"",(INDIRECT("'"&amp;INDIRECT("Main!B9")&amp;"'!A107")))</f>
        <v/>
      </c>
      <c r="B93" s="34" t="str" cm="1">
        <f ca="1" t="array" ref="B93">IF((INDIRECT("'"&amp;INDIRECT("Main!B9")&amp;"'!B107"))=0,"",(INDIRECT("'"&amp;INDIRECT("Main!B9")&amp;"'!B107")))</f>
        <v/>
      </c>
      <c r="C93" s="35">
        <v>0</v>
      </c>
      <c r="D93" s="15"/>
      <c r="E93" s="15"/>
      <c r="F93" s="15"/>
      <c r="G93" s="15"/>
      <c r="H93" s="15"/>
      <c r="I93" s="45"/>
    </row>
    <row r="94" s="1" customFormat="1" ht="35" customHeight="1" spans="1:9">
      <c r="A94" s="34" t="str" cm="1">
        <f ca="1" t="array" ref="A94">IF((INDIRECT("'"&amp;INDIRECT("Main!B9")&amp;"'!A108"))=0,"",(INDIRECT("'"&amp;INDIRECT("Main!B9")&amp;"'!A108")))</f>
        <v/>
      </c>
      <c r="B94" s="34" t="str" cm="1">
        <f ca="1" t="array" ref="B94">IF((INDIRECT("'"&amp;INDIRECT("Main!B9")&amp;"'!B108"))=0,"",(INDIRECT("'"&amp;INDIRECT("Main!B9")&amp;"'!B108")))</f>
        <v/>
      </c>
      <c r="C94" s="35">
        <v>0</v>
      </c>
      <c r="D94" s="15"/>
      <c r="E94" s="15"/>
      <c r="F94" s="15"/>
      <c r="G94" s="15"/>
      <c r="H94" s="15"/>
      <c r="I94" s="45"/>
    </row>
    <row r="95" s="1" customFormat="1" ht="35" customHeight="1" spans="1:9">
      <c r="A95" s="47"/>
      <c r="B95" s="37" t="s">
        <v>48</v>
      </c>
      <c r="C95" s="35">
        <f>SUM(C87:C94)</f>
        <v>0</v>
      </c>
      <c r="D95" s="15"/>
      <c r="E95" s="15"/>
      <c r="F95" s="15"/>
      <c r="G95" s="15"/>
      <c r="H95" s="15"/>
      <c r="I95" s="45"/>
    </row>
    <row r="96" s="1" customFormat="1" ht="35" customHeight="1" spans="1:9">
      <c r="A96" s="46"/>
      <c r="B96" s="37" t="s">
        <v>53</v>
      </c>
      <c r="C96" s="35">
        <f>C55+C66+C75+C85+C95</f>
        <v>0</v>
      </c>
      <c r="D96" s="15"/>
      <c r="E96" s="15"/>
      <c r="F96" s="15"/>
      <c r="G96" s="15"/>
      <c r="H96" s="15"/>
      <c r="I96" s="45"/>
    </row>
    <row r="97" s="1" customFormat="1" ht="35" customHeight="1" spans="1:9">
      <c r="A97" s="83" t="s">
        <v>54</v>
      </c>
      <c r="B97" s="84"/>
      <c r="C97" s="85"/>
      <c r="D97" s="15"/>
      <c r="E97" s="15"/>
      <c r="F97" s="15"/>
      <c r="G97" s="15"/>
      <c r="H97" s="15"/>
      <c r="I97" s="45"/>
    </row>
    <row r="98" s="1" customFormat="1" ht="35" customHeight="1" spans="1:9">
      <c r="A98" s="34" t="str" cm="1">
        <f ca="1" t="array" ref="A98">IF((INDIRECT("'"&amp;INDIRECT("Main!B9")&amp;"'!A112"))=0,"",(INDIRECT("'"&amp;INDIRECT("Main!B9")&amp;"'!A112")))</f>
        <v/>
      </c>
      <c r="B98" s="34" t="str" cm="1">
        <f ca="1" t="array" ref="B98">IF((INDIRECT("'"&amp;INDIRECT("Main!B9")&amp;"'!B112"))=0,"",(INDIRECT("'"&amp;INDIRECT("Main!B9")&amp;"'!B112")))</f>
        <v/>
      </c>
      <c r="C98" s="35" cm="1">
        <f ca="1" t="array" ref="C98">INDIRECT("'"&amp;INDIRECT("Main!B18")&amp;"'!C98")+SUM(E118+E145+E172)</f>
        <v>0</v>
      </c>
      <c r="D98" s="15"/>
      <c r="E98" s="15"/>
      <c r="F98" s="15"/>
      <c r="G98" s="15"/>
      <c r="H98" s="15"/>
      <c r="I98" s="45"/>
    </row>
    <row r="99" s="1" customFormat="1" ht="35" customHeight="1" spans="1:9">
      <c r="A99" s="34" t="str" cm="1">
        <f ca="1" t="array" ref="A99">IF((INDIRECT("'"&amp;INDIRECT("Main!B9")&amp;"'!A113"))=0,"",(INDIRECT("'"&amp;INDIRECT("Main!B9")&amp;"'!A113")))</f>
        <v/>
      </c>
      <c r="B99" s="34" t="str" cm="1">
        <f ca="1" t="array" ref="B99">IF((INDIRECT("'"&amp;INDIRECT("Main!B9")&amp;"'!B113"))=0,"",(INDIRECT("'"&amp;INDIRECT("Main!B9")&amp;"'!B113")))</f>
        <v/>
      </c>
      <c r="C99" s="35" cm="1">
        <f ca="1" t="array" ref="C99">INDIRECT("'"&amp;INDIRECT("Main!B18")&amp;"'!C99")+SUM(E119+E146+E173)</f>
        <v>0</v>
      </c>
      <c r="D99" s="15"/>
      <c r="E99" s="15"/>
      <c r="F99" s="15"/>
      <c r="G99" s="15"/>
      <c r="H99" s="15"/>
      <c r="I99" s="45"/>
    </row>
    <row r="100" s="1" customFormat="1" ht="35" customHeight="1" spans="1:9">
      <c r="A100" s="34" t="str" cm="1">
        <f ca="1" t="array" ref="A100">IF((INDIRECT("'"&amp;INDIRECT("Main!B9")&amp;"'!A114"))=0,"",(INDIRECT("'"&amp;INDIRECT("Main!B9")&amp;"'!A114")))</f>
        <v/>
      </c>
      <c r="B100" s="34" t="str" cm="1">
        <f ca="1" t="array" ref="B100">IF((INDIRECT("'"&amp;INDIRECT("Main!B9")&amp;"'!B114"))=0,"",(INDIRECT("'"&amp;INDIRECT("Main!B9")&amp;"'!B114")))</f>
        <v/>
      </c>
      <c r="C100" s="35" cm="1">
        <f ca="1" t="array" ref="C100">INDIRECT("'"&amp;INDIRECT("Main!B18")&amp;"'!C100")+SUM(E120+E147+E174)</f>
        <v>0</v>
      </c>
      <c r="D100" s="15"/>
      <c r="E100" s="15"/>
      <c r="F100" s="15"/>
      <c r="G100" s="15"/>
      <c r="H100" s="15"/>
      <c r="I100" s="45"/>
    </row>
    <row r="101" s="1" customFormat="1" ht="35" customHeight="1" spans="1:9">
      <c r="A101" s="34" t="str" cm="1">
        <f ca="1" t="array" ref="A101">IF((INDIRECT("'"&amp;INDIRECT("Main!B9")&amp;"'!A115"))=0,"",(INDIRECT("'"&amp;INDIRECT("Main!B9")&amp;"'!A115")))</f>
        <v/>
      </c>
      <c r="B101" s="34" t="str" cm="1">
        <f ca="1" t="array" ref="B101">IF((INDIRECT("'"&amp;INDIRECT("Main!B9")&amp;"'!B115"))=0,"",(INDIRECT("'"&amp;INDIRECT("Main!B9")&amp;"'!B115")))</f>
        <v/>
      </c>
      <c r="C101" s="35" cm="1">
        <f ca="1" t="array" ref="C101">INDIRECT("'"&amp;INDIRECT("Main!B18")&amp;"'!C101")+SUM(E121+E148+E175)</f>
        <v>0</v>
      </c>
      <c r="D101" s="15"/>
      <c r="E101" s="15"/>
      <c r="F101" s="15"/>
      <c r="G101" s="15"/>
      <c r="H101" s="15"/>
      <c r="I101" s="45"/>
    </row>
    <row r="102" s="1" customFormat="1" ht="35" customHeight="1" spans="1:9">
      <c r="A102" s="34" t="str" cm="1">
        <f ca="1" t="array" ref="A102">IF((INDIRECT("'"&amp;INDIRECT("Main!B9")&amp;"'!A116"))=0,"",(INDIRECT("'"&amp;INDIRECT("Main!B9")&amp;"'!A116")))</f>
        <v/>
      </c>
      <c r="B102" s="34" t="str" cm="1">
        <f ca="1" t="array" ref="B102">IF((INDIRECT("'"&amp;INDIRECT("Main!B9")&amp;"'!B116"))=0,"",(INDIRECT("'"&amp;INDIRECT("Main!B9")&amp;"'!B116")))</f>
        <v/>
      </c>
      <c r="C102" s="35" cm="1">
        <f ca="1" t="array" ref="C102">INDIRECT("'"&amp;INDIRECT("Main!B18")&amp;"'!C102")+SUM(E122+E149+E176)</f>
        <v>0</v>
      </c>
      <c r="D102" s="15"/>
      <c r="E102" s="15"/>
      <c r="F102" s="15"/>
      <c r="G102" s="15"/>
      <c r="H102" s="15"/>
      <c r="I102" s="45"/>
    </row>
    <row r="103" s="1" customFormat="1" ht="35" customHeight="1" spans="1:9">
      <c r="A103" s="34" t="str" cm="1">
        <f ca="1" t="array" ref="A103">IF((INDIRECT("'"&amp;INDIRECT("Main!B9")&amp;"'!A117"))=0,"",(INDIRECT("'"&amp;INDIRECT("Main!B9")&amp;"'!A117")))</f>
        <v/>
      </c>
      <c r="B103" s="34" t="str" cm="1">
        <f ca="1" t="array" ref="B103">IF((INDIRECT("'"&amp;INDIRECT("Main!B9")&amp;"'!B117"))=0,"",(INDIRECT("'"&amp;INDIRECT("Main!B9")&amp;"'!B117")))</f>
        <v/>
      </c>
      <c r="C103" s="35" cm="1">
        <f ca="1" t="array" ref="C103">INDIRECT("'"&amp;INDIRECT("Main!B18")&amp;"'!C103")+SUM(E123+E150+E177)</f>
        <v>0</v>
      </c>
      <c r="D103" s="15"/>
      <c r="E103" s="15"/>
      <c r="F103" s="15"/>
      <c r="G103" s="15"/>
      <c r="H103" s="15"/>
      <c r="I103" s="45"/>
    </row>
    <row r="104" s="1" customFormat="1" ht="35" customHeight="1" spans="1:9">
      <c r="A104" s="34" t="str" cm="1">
        <f ca="1" t="array" ref="A104">IF((INDIRECT("'"&amp;INDIRECT("Main!B9")&amp;"'!A118"))=0,"",(INDIRECT("'"&amp;INDIRECT("Main!B9")&amp;"'!A118")))</f>
        <v/>
      </c>
      <c r="B104" s="34" t="str" cm="1">
        <f ca="1" t="array" ref="B104">IF((INDIRECT("'"&amp;INDIRECT("Main!B9")&amp;"'!B118"))=0,"",(INDIRECT("'"&amp;INDIRECT("Main!B9")&amp;"'!B118")))</f>
        <v/>
      </c>
      <c r="C104" s="35" cm="1">
        <f ca="1" t="array" ref="C104">INDIRECT("'"&amp;INDIRECT("Main!B18")&amp;"'!C104")+SUM(E124+E151+E178)</f>
        <v>0</v>
      </c>
      <c r="D104" s="15"/>
      <c r="E104" s="15"/>
      <c r="F104" s="15"/>
      <c r="G104" s="15"/>
      <c r="H104" s="15"/>
      <c r="I104" s="45"/>
    </row>
    <row r="105" s="1" customFormat="1" ht="35" customHeight="1" spans="1:9">
      <c r="A105" s="34" t="str" cm="1">
        <f ca="1" t="array" ref="A105">IF((INDIRECT("'"&amp;INDIRECT("Main!B9")&amp;"'!A119"))=0,"",(INDIRECT("'"&amp;INDIRECT("Main!B9")&amp;"'!A119")))</f>
        <v/>
      </c>
      <c r="B105" s="34" t="str" cm="1">
        <f ca="1" t="array" ref="B105">IF((INDIRECT("'"&amp;INDIRECT("Main!B9")&amp;"'!B119"))=0,"",(INDIRECT("'"&amp;INDIRECT("Main!B9")&amp;"'!B119")))</f>
        <v/>
      </c>
      <c r="C105" s="35" cm="1">
        <f ca="1" t="array" ref="C105">INDIRECT("'"&amp;INDIRECT("Main!B18")&amp;"'!C105")+SUM(E125+E152+E179)</f>
        <v>0</v>
      </c>
      <c r="D105" s="15"/>
      <c r="E105" s="15"/>
      <c r="F105" s="15"/>
      <c r="G105" s="15"/>
      <c r="H105" s="15"/>
      <c r="I105" s="45"/>
    </row>
    <row r="106" s="1" customFormat="1" ht="35" customHeight="1" spans="1:9">
      <c r="A106" s="34" t="str" cm="1">
        <f ca="1" t="array" ref="A106">IF((INDIRECT("'"&amp;INDIRECT("Main!B9")&amp;"'!A120"))=0,"",(INDIRECT("'"&amp;INDIRECT("Main!B9")&amp;"'!A120")))</f>
        <v/>
      </c>
      <c r="B106" s="34" t="str" cm="1">
        <f ca="1" t="array" ref="B106">IF((INDIRECT("'"&amp;INDIRECT("Main!B9")&amp;"'!B120"))=0,"",(INDIRECT("'"&amp;INDIRECT("Main!B9")&amp;"'!B120")))</f>
        <v/>
      </c>
      <c r="C106" s="35" cm="1">
        <f ca="1" t="array" ref="C106">INDIRECT("'"&amp;INDIRECT("Main!B18")&amp;"'!C106")+SUM(E126+E153+E180)</f>
        <v>0</v>
      </c>
      <c r="D106" s="15"/>
      <c r="E106" s="15"/>
      <c r="F106" s="15"/>
      <c r="G106" s="15"/>
      <c r="H106" s="15"/>
      <c r="I106" s="45"/>
    </row>
    <row r="107" s="1" customFormat="1" ht="35" customHeight="1" spans="1:9">
      <c r="A107" s="34" t="str" cm="1">
        <f ca="1" t="array" ref="A107">IF((INDIRECT("'"&amp;INDIRECT("Main!B9")&amp;"'!A121"))=0,"",(INDIRECT("'"&amp;INDIRECT("Main!B9")&amp;"'!A121")))</f>
        <v/>
      </c>
      <c r="B107" s="34" t="str" cm="1">
        <f ca="1" t="array" ref="B107">IF((INDIRECT("'"&amp;INDIRECT("Main!B9")&amp;"'!B121"))=0,"",(INDIRECT("'"&amp;INDIRECT("Main!B9")&amp;"'!B121")))</f>
        <v/>
      </c>
      <c r="C107" s="35" cm="1">
        <f ca="1" t="array" ref="C107">INDIRECT("'"&amp;INDIRECT("Main!B18")&amp;"'!C107")+SUM(E127+E154+E181)</f>
        <v>0</v>
      </c>
      <c r="D107" s="15"/>
      <c r="E107" s="15"/>
      <c r="F107" s="15"/>
      <c r="G107" s="15"/>
      <c r="H107" s="15"/>
      <c r="I107" s="45"/>
    </row>
    <row r="108" s="1" customFormat="1" ht="35" customHeight="1" spans="1:9">
      <c r="A108" s="46"/>
      <c r="B108" s="37" t="s">
        <v>55</v>
      </c>
      <c r="C108" s="35">
        <f ca="1">SUM(C98:C107)</f>
        <v>0</v>
      </c>
      <c r="D108" s="15"/>
      <c r="E108" s="15"/>
      <c r="F108" s="15"/>
      <c r="G108" s="15"/>
      <c r="H108" s="15"/>
      <c r="I108" s="45"/>
    </row>
    <row r="109" s="1" customFormat="1" ht="35" customHeight="1" spans="1:9">
      <c r="A109" s="46"/>
      <c r="B109" s="37" t="s">
        <v>56</v>
      </c>
      <c r="C109" s="35">
        <f ca="1">C108-C96</f>
        <v>0</v>
      </c>
      <c r="D109" s="15"/>
      <c r="E109" s="15"/>
      <c r="F109" s="15"/>
      <c r="G109" s="15"/>
      <c r="H109" s="15"/>
      <c r="I109" s="45"/>
    </row>
    <row r="110" s="1" customFormat="1" ht="35" customHeight="1" spans="1:9">
      <c r="A110" s="15"/>
      <c r="B110" s="15"/>
      <c r="C110" s="15"/>
      <c r="D110" s="15"/>
      <c r="E110" s="15"/>
      <c r="F110" s="15"/>
      <c r="G110" s="15"/>
      <c r="H110" s="15"/>
      <c r="I110" s="45"/>
    </row>
    <row r="111" s="1" customFormat="1" ht="35" customHeight="1" spans="1:9">
      <c r="A111" s="15"/>
      <c r="B111" s="15"/>
      <c r="C111" s="15"/>
      <c r="D111" s="15"/>
      <c r="E111" s="15"/>
      <c r="F111" s="15"/>
      <c r="G111" s="15"/>
      <c r="H111" s="15"/>
      <c r="I111" s="45"/>
    </row>
    <row r="112" s="1" customFormat="1" ht="35" customHeight="1" spans="1:9">
      <c r="A112" s="15"/>
      <c r="B112" s="15"/>
      <c r="C112" s="15"/>
      <c r="D112" s="15"/>
      <c r="E112" s="15"/>
      <c r="F112" s="15"/>
      <c r="G112" s="15"/>
      <c r="H112" s="15"/>
      <c r="I112" s="45"/>
    </row>
    <row r="113" s="1" customFormat="1" ht="35" customHeight="1" spans="1:9">
      <c r="A113" s="15"/>
      <c r="B113" s="15"/>
      <c r="C113" s="15"/>
      <c r="D113" s="15"/>
      <c r="E113" s="15"/>
      <c r="F113" s="15"/>
      <c r="G113" s="15"/>
      <c r="H113" s="15"/>
      <c r="I113" s="45"/>
    </row>
    <row r="114" s="1" customFormat="1" ht="35" customHeight="1" spans="1:9">
      <c r="A114" s="48" t="str">
        <f>"Debts Or Credits For the Comming "&amp;IF(Main!B2,TEXT(EDATE(Main!B3,12),"mmmm dd yyyy"),TEXT(Main!B3+((Main!B5-Main!B3)*12+12),"mmmm dd yyyy"))&amp;" to "&amp;IF(Main!B2,TEXT(EDATE(Main!B3,13)-1,"mmmm dd yyyy"),TEXT(Main!B3+((Main!B5-Main!B3)*13+12),"mmmm dd yyyy"))</f>
        <v>Debts Or Credits For the Comming May 01 2026 to May 31 2026</v>
      </c>
      <c r="B114" s="49"/>
      <c r="C114" s="49"/>
      <c r="D114" s="49"/>
      <c r="E114" s="50"/>
      <c r="F114" s="15"/>
      <c r="G114" s="15"/>
      <c r="H114" s="15"/>
      <c r="I114" s="45"/>
    </row>
    <row r="115" s="1" customFormat="1" ht="35" customHeight="1" spans="1:9">
      <c r="A115" s="48" t="s">
        <v>57</v>
      </c>
      <c r="B115" s="50"/>
      <c r="C115" s="48" t="s">
        <v>44</v>
      </c>
      <c r="D115" s="50"/>
      <c r="E115" s="64" t="s">
        <v>45</v>
      </c>
      <c r="F115" s="15"/>
      <c r="G115" s="15"/>
      <c r="H115" s="15"/>
      <c r="I115" s="45"/>
    </row>
    <row r="116" s="1" customFormat="1" ht="35" customHeight="1" spans="1:9">
      <c r="A116" s="51" t="str">
        <f>"Balance Brought Forward From "&amp;IF(Main!B2,TEXT(EDATE(Main!B3,12)-1,"mmmm yyyy"),TEXT(Main!B3+((Main!B5-Main!B3)*12+11),"mmmm yyyy"))</f>
        <v>Balance Brought Forward From April 2026</v>
      </c>
      <c r="B116" s="52"/>
      <c r="C116" s="53"/>
      <c r="D116" s="53"/>
      <c r="E116" s="65" cm="1">
        <f ca="1" t="array" ref="E116">INDIRECT("'"&amp;INDIRECT("Main!B18")&amp;"'!E190")</f>
        <v>0</v>
      </c>
      <c r="F116" s="15"/>
      <c r="G116" s="15"/>
      <c r="H116" s="15"/>
      <c r="I116" s="45"/>
    </row>
    <row r="117" s="1" customFormat="1" ht="35" customHeight="1" spans="1:9">
      <c r="A117" s="54" t="s">
        <v>52</v>
      </c>
      <c r="B117" s="55"/>
      <c r="C117" s="56" t="s">
        <v>58</v>
      </c>
      <c r="D117" s="57"/>
      <c r="E117" s="66"/>
      <c r="F117" s="15"/>
      <c r="G117" s="15"/>
      <c r="H117" s="15"/>
      <c r="I117" s="45"/>
    </row>
    <row r="118" s="1" customFormat="1" ht="35" customHeight="1" spans="1:9">
      <c r="A118" s="58"/>
      <c r="B118" s="59"/>
      <c r="C118" s="60"/>
      <c r="D118" s="61"/>
      <c r="E118" s="35">
        <v>0</v>
      </c>
      <c r="F118" s="15"/>
      <c r="G118" s="15"/>
      <c r="H118" s="15"/>
      <c r="I118" s="45"/>
    </row>
    <row r="119" s="1" customFormat="1" ht="35" customHeight="1" spans="1:9">
      <c r="A119" s="58"/>
      <c r="B119" s="59"/>
      <c r="C119" s="60"/>
      <c r="D119" s="61"/>
      <c r="E119" s="35">
        <v>0</v>
      </c>
      <c r="F119" s="15"/>
      <c r="G119" s="15"/>
      <c r="H119" s="15"/>
      <c r="I119" s="45"/>
    </row>
    <row r="120" s="1" customFormat="1" ht="35" customHeight="1" spans="1:9">
      <c r="A120" s="58"/>
      <c r="B120" s="59"/>
      <c r="C120" s="60"/>
      <c r="D120" s="61"/>
      <c r="E120" s="35">
        <v>0</v>
      </c>
      <c r="F120" s="15"/>
      <c r="G120" s="15"/>
      <c r="H120" s="15"/>
      <c r="I120" s="45"/>
    </row>
    <row r="121" s="1" customFormat="1" ht="35" customHeight="1" spans="1:9">
      <c r="A121" s="58"/>
      <c r="B121" s="59"/>
      <c r="C121" s="60"/>
      <c r="D121" s="61"/>
      <c r="E121" s="35">
        <v>0</v>
      </c>
      <c r="F121" s="15"/>
      <c r="G121" s="15"/>
      <c r="H121" s="15"/>
      <c r="I121" s="45"/>
    </row>
    <row r="122" s="1" customFormat="1" ht="35" customHeight="1" spans="1:9">
      <c r="A122" s="58"/>
      <c r="B122" s="59"/>
      <c r="C122" s="60"/>
      <c r="D122" s="61"/>
      <c r="E122" s="35">
        <v>0</v>
      </c>
      <c r="F122" s="15"/>
      <c r="G122" s="15"/>
      <c r="H122" s="15"/>
      <c r="I122" s="45"/>
    </row>
    <row r="123" s="1" customFormat="1" ht="35" customHeight="1" spans="1:9">
      <c r="A123" s="58"/>
      <c r="B123" s="59"/>
      <c r="C123" s="60"/>
      <c r="D123" s="61"/>
      <c r="E123" s="35">
        <v>0</v>
      </c>
      <c r="F123" s="15"/>
      <c r="G123" s="15"/>
      <c r="H123" s="15"/>
      <c r="I123" s="45"/>
    </row>
    <row r="124" s="1" customFormat="1" ht="35" customHeight="1" spans="1:9">
      <c r="A124" s="58"/>
      <c r="B124" s="59"/>
      <c r="C124" s="60"/>
      <c r="D124" s="61"/>
      <c r="E124" s="35">
        <v>0</v>
      </c>
      <c r="F124" s="15"/>
      <c r="G124" s="15"/>
      <c r="H124" s="15"/>
      <c r="I124" s="45"/>
    </row>
    <row r="125" s="1" customFormat="1" ht="35" customHeight="1" spans="1:9">
      <c r="A125" s="58"/>
      <c r="B125" s="59"/>
      <c r="C125" s="60"/>
      <c r="D125" s="61"/>
      <c r="E125" s="35">
        <v>0</v>
      </c>
      <c r="F125" s="15"/>
      <c r="G125" s="15"/>
      <c r="H125" s="15"/>
      <c r="I125" s="45"/>
    </row>
    <row r="126" s="1" customFormat="1" ht="35" customHeight="1" spans="1:9">
      <c r="A126" s="58"/>
      <c r="B126" s="59"/>
      <c r="C126" s="60"/>
      <c r="D126" s="61"/>
      <c r="E126" s="35">
        <v>0</v>
      </c>
      <c r="F126" s="15"/>
      <c r="G126" s="15"/>
      <c r="H126" s="15"/>
      <c r="I126" s="45"/>
    </row>
    <row r="127" s="1" customFormat="1" ht="35" customHeight="1" spans="1:9">
      <c r="A127" s="58"/>
      <c r="B127" s="59"/>
      <c r="C127" s="60"/>
      <c r="D127" s="61"/>
      <c r="E127" s="35">
        <v>0</v>
      </c>
      <c r="F127" s="15"/>
      <c r="G127" s="15"/>
      <c r="H127" s="15"/>
      <c r="I127" s="45"/>
    </row>
    <row r="128" s="1" customFormat="1" ht="35" customHeight="1" spans="1:9">
      <c r="A128" s="58"/>
      <c r="B128" s="59"/>
      <c r="C128" s="56" t="s">
        <v>59</v>
      </c>
      <c r="D128" s="57"/>
      <c r="E128" s="66"/>
      <c r="F128" s="15"/>
      <c r="G128" s="15"/>
      <c r="H128" s="15"/>
      <c r="I128" s="45"/>
    </row>
    <row r="129" s="1" customFormat="1" ht="35" customHeight="1" spans="1:9">
      <c r="A129" s="58"/>
      <c r="B129" s="59"/>
      <c r="C129" s="60"/>
      <c r="D129" s="61"/>
      <c r="E129" s="78">
        <v>0</v>
      </c>
      <c r="F129" s="15"/>
      <c r="G129" s="15"/>
      <c r="H129" s="15"/>
      <c r="I129" s="45"/>
    </row>
    <row r="130" s="1" customFormat="1" ht="35" customHeight="1" spans="1:9">
      <c r="A130" s="58"/>
      <c r="B130" s="59"/>
      <c r="C130" s="60"/>
      <c r="D130" s="61"/>
      <c r="E130" s="78">
        <v>0</v>
      </c>
      <c r="F130" s="15"/>
      <c r="G130" s="15"/>
      <c r="H130" s="15"/>
      <c r="I130" s="45"/>
    </row>
    <row r="131" s="1" customFormat="1" ht="35" customHeight="1" spans="1:9">
      <c r="A131" s="58"/>
      <c r="B131" s="59"/>
      <c r="C131" s="60"/>
      <c r="D131" s="61"/>
      <c r="E131" s="78">
        <v>0</v>
      </c>
      <c r="F131" s="15"/>
      <c r="G131" s="15"/>
      <c r="H131" s="15"/>
      <c r="I131" s="45"/>
    </row>
    <row r="132" s="1" customFormat="1" ht="35" customHeight="1" spans="1:9">
      <c r="A132" s="58"/>
      <c r="B132" s="59"/>
      <c r="C132" s="60"/>
      <c r="D132" s="61"/>
      <c r="E132" s="78">
        <v>0</v>
      </c>
      <c r="F132" s="15"/>
      <c r="G132" s="15"/>
      <c r="H132" s="15"/>
      <c r="I132" s="45"/>
    </row>
    <row r="133" s="1" customFormat="1" ht="35" customHeight="1" spans="1:9">
      <c r="A133" s="58"/>
      <c r="B133" s="59"/>
      <c r="C133" s="60"/>
      <c r="D133" s="61"/>
      <c r="E133" s="78">
        <v>0</v>
      </c>
      <c r="F133" s="15"/>
      <c r="G133" s="15"/>
      <c r="H133" s="15"/>
      <c r="I133" s="45"/>
    </row>
    <row r="134" s="1" customFormat="1" ht="35" customHeight="1" spans="1:9">
      <c r="A134" s="67"/>
      <c r="B134" s="68"/>
      <c r="C134" s="60"/>
      <c r="D134" s="61"/>
      <c r="E134" s="78">
        <v>0</v>
      </c>
      <c r="F134" s="15"/>
      <c r="G134" s="15"/>
      <c r="H134" s="15"/>
      <c r="I134" s="45"/>
    </row>
    <row r="135" s="1" customFormat="1" ht="35" customHeight="1" spans="1:9">
      <c r="A135" s="51" t="s">
        <v>60</v>
      </c>
      <c r="B135" s="69"/>
      <c r="C135" s="70"/>
      <c r="D135" s="71"/>
      <c r="E135" s="78">
        <f>C96</f>
        <v>0</v>
      </c>
      <c r="F135" s="15"/>
      <c r="G135" s="15"/>
      <c r="H135" s="15"/>
      <c r="I135" s="45"/>
    </row>
    <row r="136" s="1" customFormat="1" ht="35" customHeight="1" spans="1:9">
      <c r="A136" s="72"/>
      <c r="B136" s="73"/>
      <c r="C136" s="37" t="s">
        <v>61</v>
      </c>
      <c r="D136" s="37"/>
      <c r="E136" s="79">
        <f ca="1">(F16+E116)-(SUM(E118:E127)+SUM(E129:E135))</f>
        <v>0</v>
      </c>
      <c r="F136" s="15"/>
      <c r="G136" s="15"/>
      <c r="H136" s="15"/>
      <c r="I136" s="45"/>
    </row>
    <row r="137" s="1" customFormat="1" ht="35" customHeight="1" spans="1:9">
      <c r="A137" s="15"/>
      <c r="B137" s="15"/>
      <c r="C137" s="15"/>
      <c r="D137" s="15"/>
      <c r="E137" s="15"/>
      <c r="F137" s="15"/>
      <c r="G137" s="15"/>
      <c r="H137" s="15"/>
      <c r="I137" s="45"/>
    </row>
    <row r="138" s="1" customFormat="1" ht="35" customHeight="1" spans="1:9">
      <c r="A138" s="15"/>
      <c r="B138" s="15"/>
      <c r="C138" s="15"/>
      <c r="D138" s="15"/>
      <c r="E138" s="15"/>
      <c r="F138" s="15"/>
      <c r="G138" s="15"/>
      <c r="H138" s="15"/>
      <c r="I138" s="45"/>
    </row>
    <row r="139" s="1" customFormat="1" ht="35" customHeight="1" spans="1:9">
      <c r="A139" s="15"/>
      <c r="B139" s="15"/>
      <c r="C139" s="15"/>
      <c r="D139" s="15"/>
      <c r="E139" s="15"/>
      <c r="F139" s="15"/>
      <c r="G139" s="15"/>
      <c r="H139" s="15"/>
      <c r="I139" s="45"/>
    </row>
    <row r="140" s="1" customFormat="1" ht="35" customHeight="1" spans="1:9">
      <c r="A140" s="15"/>
      <c r="B140" s="15"/>
      <c r="C140" s="15"/>
      <c r="D140" s="15"/>
      <c r="E140" s="15"/>
      <c r="F140" s="15"/>
      <c r="G140" s="15"/>
      <c r="H140" s="15"/>
      <c r="I140" s="45"/>
    </row>
    <row r="141" s="1" customFormat="1" ht="35" customHeight="1" spans="1:9">
      <c r="A141" s="48" t="str">
        <f>"Debts Or Credits For the Comming "&amp;IF(Main!B2,TEXT(EDATE(Main!B3,13),"mmmm dd yyyy"),TEXT(Main!B3+((Main!B5-Main!B3)*13+13),"dd mmmm yyyy"))&amp;" to "&amp;IF(Main!B2,TEXT(EDATE(Main!B3,14)-1,"mmmm dd yyyy"),TEXT(Main!B3+((Main!B5-Main!B3)*14+13),"mmmm dd yyyy"))</f>
        <v>Debts Or Credits For the Comming June 01 2026 to June 30 2026</v>
      </c>
      <c r="B141" s="49"/>
      <c r="C141" s="49"/>
      <c r="D141" s="49"/>
      <c r="E141" s="50"/>
      <c r="F141" s="15"/>
      <c r="G141" s="15"/>
      <c r="H141" s="15"/>
      <c r="I141" s="45"/>
    </row>
    <row r="142" s="1" customFormat="1" ht="35" customHeight="1" spans="1:9">
      <c r="A142" s="48" t="s">
        <v>57</v>
      </c>
      <c r="B142" s="50"/>
      <c r="C142" s="74" t="s">
        <v>44</v>
      </c>
      <c r="D142" s="75"/>
      <c r="E142" s="80" t="s">
        <v>45</v>
      </c>
      <c r="F142" s="15"/>
      <c r="G142" s="15"/>
      <c r="H142" s="15"/>
      <c r="I142" s="45"/>
    </row>
    <row r="143" s="1" customFormat="1" ht="35" customHeight="1" spans="1:9">
      <c r="A143" s="51" t="str">
        <f>"Balance Brought Forward From "&amp;IF(Main!B2,TEXT(EDATE(Main!B3,13)-1,"mmmm yyyy"),TEXT(Main!B3+((Main!B5-Main!B3)*13+12),"mmmm yyyy"))</f>
        <v>Balance Brought Forward From May 2026</v>
      </c>
      <c r="B143" s="52"/>
      <c r="C143" s="53"/>
      <c r="D143" s="53"/>
      <c r="E143" s="79">
        <f ca="1">E136</f>
        <v>0</v>
      </c>
      <c r="F143" s="15"/>
      <c r="G143" s="15"/>
      <c r="H143" s="15"/>
      <c r="I143" s="45"/>
    </row>
    <row r="144" s="1" customFormat="1" ht="35" customHeight="1" spans="1:9">
      <c r="A144" s="54" t="s">
        <v>52</v>
      </c>
      <c r="B144" s="55"/>
      <c r="C144" s="76" t="s">
        <v>58</v>
      </c>
      <c r="D144" s="77"/>
      <c r="E144" s="81"/>
      <c r="F144" s="15"/>
      <c r="G144" s="15"/>
      <c r="H144" s="15"/>
      <c r="I144" s="45"/>
    </row>
    <row r="145" s="1" customFormat="1" ht="35" customHeight="1" spans="1:9">
      <c r="A145" s="58"/>
      <c r="B145" s="59"/>
      <c r="C145" s="60"/>
      <c r="D145" s="61"/>
      <c r="E145" s="35">
        <v>0</v>
      </c>
      <c r="F145" s="15"/>
      <c r="G145" s="15"/>
      <c r="H145" s="15"/>
      <c r="I145" s="45"/>
    </row>
    <row r="146" s="1" customFormat="1" ht="35" customHeight="1" spans="1:9">
      <c r="A146" s="58"/>
      <c r="B146" s="59"/>
      <c r="C146" s="60"/>
      <c r="D146" s="61"/>
      <c r="E146" s="35">
        <v>0</v>
      </c>
      <c r="F146" s="15"/>
      <c r="G146" s="15"/>
      <c r="H146" s="15"/>
      <c r="I146" s="45"/>
    </row>
    <row r="147" s="1" customFormat="1" ht="35" customHeight="1" spans="1:9">
      <c r="A147" s="58"/>
      <c r="B147" s="59"/>
      <c r="C147" s="60"/>
      <c r="D147" s="61"/>
      <c r="E147" s="35">
        <v>0</v>
      </c>
      <c r="F147" s="15"/>
      <c r="G147" s="15"/>
      <c r="H147" s="15"/>
      <c r="I147" s="45"/>
    </row>
    <row r="148" s="1" customFormat="1" ht="35" customHeight="1" spans="1:9">
      <c r="A148" s="58"/>
      <c r="B148" s="59"/>
      <c r="C148" s="60"/>
      <c r="D148" s="61"/>
      <c r="E148" s="35">
        <v>0</v>
      </c>
      <c r="F148" s="15"/>
      <c r="G148" s="15"/>
      <c r="H148" s="15"/>
      <c r="I148" s="45"/>
    </row>
    <row r="149" s="1" customFormat="1" ht="35" customHeight="1" spans="1:9">
      <c r="A149" s="58"/>
      <c r="B149" s="59"/>
      <c r="C149" s="60"/>
      <c r="D149" s="61"/>
      <c r="E149" s="35">
        <v>0</v>
      </c>
      <c r="F149" s="15"/>
      <c r="G149" s="15"/>
      <c r="H149" s="15"/>
      <c r="I149" s="45"/>
    </row>
    <row r="150" s="1" customFormat="1" ht="35" customHeight="1" spans="1:9">
      <c r="A150" s="58"/>
      <c r="B150" s="59"/>
      <c r="C150" s="60"/>
      <c r="D150" s="61"/>
      <c r="E150" s="35">
        <v>0</v>
      </c>
      <c r="F150" s="15"/>
      <c r="G150" s="15"/>
      <c r="H150" s="15"/>
      <c r="I150" s="45"/>
    </row>
    <row r="151" s="1" customFormat="1" ht="35" customHeight="1" spans="1:9">
      <c r="A151" s="58"/>
      <c r="B151" s="59"/>
      <c r="C151" s="60"/>
      <c r="D151" s="61"/>
      <c r="E151" s="35">
        <v>0</v>
      </c>
      <c r="F151" s="15"/>
      <c r="G151" s="15"/>
      <c r="H151" s="15"/>
      <c r="I151" s="45"/>
    </row>
    <row r="152" s="1" customFormat="1" ht="35" customHeight="1" spans="1:9">
      <c r="A152" s="58"/>
      <c r="B152" s="59"/>
      <c r="C152" s="60"/>
      <c r="D152" s="61"/>
      <c r="E152" s="35">
        <v>0</v>
      </c>
      <c r="F152" s="15"/>
      <c r="G152" s="15"/>
      <c r="H152" s="15"/>
      <c r="I152" s="45"/>
    </row>
    <row r="153" s="1" customFormat="1" ht="35" customHeight="1" spans="1:9">
      <c r="A153" s="58"/>
      <c r="B153" s="59"/>
      <c r="C153" s="60"/>
      <c r="D153" s="61"/>
      <c r="E153" s="35">
        <v>0</v>
      </c>
      <c r="F153" s="15"/>
      <c r="G153" s="15"/>
      <c r="H153" s="15"/>
      <c r="I153" s="45"/>
    </row>
    <row r="154" s="1" customFormat="1" ht="35" customHeight="1" spans="1:9">
      <c r="A154" s="58"/>
      <c r="B154" s="59"/>
      <c r="C154" s="60"/>
      <c r="D154" s="61"/>
      <c r="E154" s="35">
        <v>0</v>
      </c>
      <c r="F154" s="15"/>
      <c r="G154" s="15"/>
      <c r="H154" s="15"/>
      <c r="I154" s="45"/>
    </row>
    <row r="155" s="1" customFormat="1" ht="35" customHeight="1" spans="1:9">
      <c r="A155" s="58"/>
      <c r="B155" s="59"/>
      <c r="C155" s="56" t="s">
        <v>59</v>
      </c>
      <c r="D155" s="57"/>
      <c r="E155" s="66"/>
      <c r="F155" s="15"/>
      <c r="G155" s="15"/>
      <c r="H155" s="15"/>
      <c r="I155" s="45"/>
    </row>
    <row r="156" s="1" customFormat="1" ht="35" customHeight="1" spans="1:9">
      <c r="A156" s="58"/>
      <c r="B156" s="59"/>
      <c r="C156" s="60"/>
      <c r="D156" s="61"/>
      <c r="E156" s="78">
        <v>0</v>
      </c>
      <c r="F156" s="15"/>
      <c r="G156" s="15"/>
      <c r="H156" s="15"/>
      <c r="I156" s="45"/>
    </row>
    <row r="157" s="1" customFormat="1" ht="35" customHeight="1" spans="1:9">
      <c r="A157" s="58"/>
      <c r="B157" s="59"/>
      <c r="C157" s="60"/>
      <c r="D157" s="61"/>
      <c r="E157" s="78">
        <v>0</v>
      </c>
      <c r="F157" s="15"/>
      <c r="G157" s="15"/>
      <c r="H157" s="15"/>
      <c r="I157" s="45"/>
    </row>
    <row r="158" s="1" customFormat="1" ht="35" customHeight="1" spans="1:9">
      <c r="A158" s="58"/>
      <c r="B158" s="59"/>
      <c r="C158" s="60"/>
      <c r="D158" s="61"/>
      <c r="E158" s="78">
        <v>0</v>
      </c>
      <c r="F158" s="15"/>
      <c r="G158" s="15"/>
      <c r="H158" s="15"/>
      <c r="I158" s="45"/>
    </row>
    <row r="159" s="1" customFormat="1" ht="35" customHeight="1" spans="1:9">
      <c r="A159" s="58"/>
      <c r="B159" s="59"/>
      <c r="C159" s="60"/>
      <c r="D159" s="61"/>
      <c r="E159" s="78">
        <v>0</v>
      </c>
      <c r="F159" s="15"/>
      <c r="G159" s="15"/>
      <c r="H159" s="15"/>
      <c r="I159" s="45"/>
    </row>
    <row r="160" s="1" customFormat="1" ht="35" customHeight="1" spans="1:9">
      <c r="A160" s="58"/>
      <c r="B160" s="59"/>
      <c r="C160" s="60"/>
      <c r="D160" s="61"/>
      <c r="E160" s="78">
        <v>0</v>
      </c>
      <c r="F160" s="15"/>
      <c r="G160" s="15"/>
      <c r="H160" s="15"/>
      <c r="I160" s="45"/>
    </row>
    <row r="161" s="1" customFormat="1" ht="35" customHeight="1" spans="1:9">
      <c r="A161" s="67"/>
      <c r="B161" s="68"/>
      <c r="C161" s="60"/>
      <c r="D161" s="61"/>
      <c r="E161" s="78">
        <v>0</v>
      </c>
      <c r="F161" s="15"/>
      <c r="G161" s="15"/>
      <c r="H161" s="15"/>
      <c r="I161" s="45"/>
    </row>
    <row r="162" s="1" customFormat="1" ht="35" customHeight="1" spans="1:9">
      <c r="A162" s="51" t="s">
        <v>60</v>
      </c>
      <c r="B162" s="69"/>
      <c r="C162" s="70"/>
      <c r="D162" s="71"/>
      <c r="E162" s="78">
        <f>C96</f>
        <v>0</v>
      </c>
      <c r="F162" s="15"/>
      <c r="G162" s="15"/>
      <c r="H162" s="15"/>
      <c r="I162" s="45"/>
    </row>
    <row r="163" s="1" customFormat="1" ht="35" customHeight="1" spans="1:9">
      <c r="A163" s="72"/>
      <c r="B163" s="73"/>
      <c r="C163" s="37" t="s">
        <v>61</v>
      </c>
      <c r="D163" s="37"/>
      <c r="E163" s="65">
        <f ca="1">(F28+E143)-(SUM(E145:E154)+SUM(E156:E162))</f>
        <v>0</v>
      </c>
      <c r="F163" s="15"/>
      <c r="G163" s="15"/>
      <c r="H163" s="15"/>
      <c r="I163" s="45"/>
    </row>
    <row r="164" s="1" customFormat="1" ht="35" customHeight="1" spans="1:9">
      <c r="A164" s="15"/>
      <c r="B164" s="15"/>
      <c r="C164" s="15"/>
      <c r="D164" s="15"/>
      <c r="E164" s="15"/>
      <c r="F164" s="15"/>
      <c r="G164" s="15"/>
      <c r="H164" s="15"/>
      <c r="I164" s="45"/>
    </row>
    <row r="165" s="1" customFormat="1" ht="35" customHeight="1" spans="1:9">
      <c r="A165" s="15"/>
      <c r="B165" s="15"/>
      <c r="C165" s="15"/>
      <c r="D165" s="15"/>
      <c r="E165" s="15"/>
      <c r="F165" s="15"/>
      <c r="G165" s="15"/>
      <c r="H165" s="15"/>
      <c r="I165" s="45"/>
    </row>
    <row r="166" s="1" customFormat="1" ht="35" customHeight="1" spans="1:9">
      <c r="A166" s="15"/>
      <c r="B166" s="15"/>
      <c r="C166" s="15"/>
      <c r="D166" s="15"/>
      <c r="E166" s="15"/>
      <c r="F166" s="15"/>
      <c r="G166" s="15"/>
      <c r="H166" s="15"/>
      <c r="I166" s="45"/>
    </row>
    <row r="167" s="1" customFormat="1" ht="35" customHeight="1" spans="1:9">
      <c r="A167" s="15"/>
      <c r="B167" s="15"/>
      <c r="C167" s="15"/>
      <c r="D167" s="15"/>
      <c r="E167" s="15"/>
      <c r="F167" s="15"/>
      <c r="G167" s="15"/>
      <c r="H167" s="15"/>
      <c r="I167" s="45"/>
    </row>
    <row r="168" s="1" customFormat="1" ht="35" customHeight="1" spans="1:9">
      <c r="A168" s="48" t="str">
        <f>"Debts Or Credits For the Comming "&amp;IF(Main!B2,TEXT(EDATE(Main!B3,14),"mmmm dd yyyy"),TEXT(Main!B3+((Main!B5-Main!B3)*14+14),"mmmm dd yyyy"))&amp;" to "&amp;IF(Main!B2,TEXT(EDATE(Main!B3,15)-1,"mmmm dd yyyy"),TEXT(Main!B3+((Main!B5-Main!B3)*15+14),"mmmm dd yyyy"))</f>
        <v>Debts Or Credits For the Comming July 01 2026 to July 31 2026</v>
      </c>
      <c r="B168" s="49"/>
      <c r="C168" s="49"/>
      <c r="D168" s="49"/>
      <c r="E168" s="50"/>
      <c r="F168" s="15"/>
      <c r="G168" s="15"/>
      <c r="H168" s="15"/>
      <c r="I168" s="45"/>
    </row>
    <row r="169" s="1" customFormat="1" ht="35" customHeight="1" spans="1:9">
      <c r="A169" s="48" t="s">
        <v>57</v>
      </c>
      <c r="B169" s="50"/>
      <c r="C169" s="74" t="s">
        <v>44</v>
      </c>
      <c r="D169" s="75"/>
      <c r="E169" s="80" t="s">
        <v>45</v>
      </c>
      <c r="F169" s="15"/>
      <c r="G169" s="15"/>
      <c r="H169" s="15"/>
      <c r="I169" s="45"/>
    </row>
    <row r="170" s="1" customFormat="1" ht="35" customHeight="1" spans="1:9">
      <c r="A170" s="51" t="str">
        <f>"Balance Brought Forward From "&amp;IF(Main!B2,TEXT(EDATE(Main!B3,14)-1,"mmmm yyyy"),TEXT(Main!B3+((Main!B5-Main!B3)*14+13),"mmmm yyyy"))</f>
        <v>Balance Brought Forward From June 2026</v>
      </c>
      <c r="B170" s="52"/>
      <c r="C170" s="53"/>
      <c r="D170" s="53"/>
      <c r="E170" s="65">
        <f ca="1">E163</f>
        <v>0</v>
      </c>
      <c r="F170" s="15"/>
      <c r="G170" s="15"/>
      <c r="H170" s="15"/>
      <c r="I170" s="45"/>
    </row>
    <row r="171" s="1" customFormat="1" ht="35" customHeight="1" spans="1:9">
      <c r="A171" s="54" t="s">
        <v>52</v>
      </c>
      <c r="B171" s="55"/>
      <c r="C171" s="76" t="s">
        <v>58</v>
      </c>
      <c r="D171" s="77"/>
      <c r="E171" s="81"/>
      <c r="F171" s="15"/>
      <c r="G171" s="15"/>
      <c r="H171" s="15"/>
      <c r="I171" s="45"/>
    </row>
    <row r="172" s="1" customFormat="1" ht="35" customHeight="1" spans="1:9">
      <c r="A172" s="58"/>
      <c r="B172" s="59"/>
      <c r="C172" s="60"/>
      <c r="D172" s="61"/>
      <c r="E172" s="35">
        <v>0</v>
      </c>
      <c r="F172" s="15"/>
      <c r="G172" s="15"/>
      <c r="H172" s="15"/>
      <c r="I172" s="45"/>
    </row>
    <row r="173" s="1" customFormat="1" ht="35" customHeight="1" spans="1:9">
      <c r="A173" s="58"/>
      <c r="B173" s="59"/>
      <c r="C173" s="60"/>
      <c r="D173" s="61"/>
      <c r="E173" s="35">
        <v>0</v>
      </c>
      <c r="F173" s="15"/>
      <c r="G173" s="15"/>
      <c r="H173" s="15"/>
      <c r="I173" s="45"/>
    </row>
    <row r="174" s="1" customFormat="1" ht="35" customHeight="1" spans="1:9">
      <c r="A174" s="58"/>
      <c r="B174" s="59"/>
      <c r="C174" s="60"/>
      <c r="D174" s="61"/>
      <c r="E174" s="35">
        <v>0</v>
      </c>
      <c r="F174" s="15"/>
      <c r="G174" s="15"/>
      <c r="H174" s="15"/>
      <c r="I174" s="45"/>
    </row>
    <row r="175" s="1" customFormat="1" ht="35" customHeight="1" spans="1:9">
      <c r="A175" s="58"/>
      <c r="B175" s="59"/>
      <c r="C175" s="60"/>
      <c r="D175" s="61"/>
      <c r="E175" s="35">
        <v>0</v>
      </c>
      <c r="F175" s="15"/>
      <c r="G175" s="15"/>
      <c r="H175" s="15"/>
      <c r="I175" s="45"/>
    </row>
    <row r="176" s="1" customFormat="1" ht="35" customHeight="1" spans="1:9">
      <c r="A176" s="58"/>
      <c r="B176" s="59"/>
      <c r="C176" s="60"/>
      <c r="D176" s="61"/>
      <c r="E176" s="35">
        <v>0</v>
      </c>
      <c r="F176" s="15"/>
      <c r="G176" s="15"/>
      <c r="H176" s="15"/>
      <c r="I176" s="45"/>
    </row>
    <row r="177" s="1" customFormat="1" ht="35" customHeight="1" spans="1:9">
      <c r="A177" s="58"/>
      <c r="B177" s="59"/>
      <c r="C177" s="60"/>
      <c r="D177" s="61"/>
      <c r="E177" s="35">
        <v>0</v>
      </c>
      <c r="F177" s="15"/>
      <c r="G177" s="15"/>
      <c r="H177" s="15"/>
      <c r="I177" s="45"/>
    </row>
    <row r="178" s="1" customFormat="1" ht="35" customHeight="1" spans="1:9">
      <c r="A178" s="58"/>
      <c r="B178" s="59"/>
      <c r="C178" s="60"/>
      <c r="D178" s="61"/>
      <c r="E178" s="35">
        <v>0</v>
      </c>
      <c r="F178" s="15"/>
      <c r="G178" s="15"/>
      <c r="H178" s="15"/>
      <c r="I178" s="45"/>
    </row>
    <row r="179" s="1" customFormat="1" ht="35" customHeight="1" spans="1:9">
      <c r="A179" s="58"/>
      <c r="B179" s="59"/>
      <c r="C179" s="60"/>
      <c r="D179" s="61"/>
      <c r="E179" s="35">
        <v>0</v>
      </c>
      <c r="F179" s="15"/>
      <c r="G179" s="15"/>
      <c r="H179" s="15"/>
      <c r="I179" s="45"/>
    </row>
    <row r="180" s="1" customFormat="1" ht="35" customHeight="1" spans="1:9">
      <c r="A180" s="58"/>
      <c r="B180" s="59"/>
      <c r="C180" s="60"/>
      <c r="D180" s="61"/>
      <c r="E180" s="35">
        <v>0</v>
      </c>
      <c r="F180" s="15"/>
      <c r="G180" s="15"/>
      <c r="H180" s="15"/>
      <c r="I180" s="45"/>
    </row>
    <row r="181" s="1" customFormat="1" ht="35" customHeight="1" spans="1:9">
      <c r="A181" s="58"/>
      <c r="B181" s="59"/>
      <c r="C181" s="60"/>
      <c r="D181" s="61"/>
      <c r="E181" s="35">
        <v>0</v>
      </c>
      <c r="F181" s="15"/>
      <c r="G181" s="15"/>
      <c r="H181" s="15"/>
      <c r="I181" s="45"/>
    </row>
    <row r="182" s="1" customFormat="1" ht="35" customHeight="1" spans="1:9">
      <c r="A182" s="58"/>
      <c r="B182" s="59"/>
      <c r="C182" s="56" t="s">
        <v>59</v>
      </c>
      <c r="D182" s="57"/>
      <c r="E182" s="66"/>
      <c r="F182" s="15"/>
      <c r="G182" s="15"/>
      <c r="H182" s="15"/>
      <c r="I182" s="45"/>
    </row>
    <row r="183" s="1" customFormat="1" ht="35" customHeight="1" spans="1:9">
      <c r="A183" s="58"/>
      <c r="B183" s="59"/>
      <c r="C183" s="60"/>
      <c r="D183" s="61"/>
      <c r="E183" s="78">
        <v>0</v>
      </c>
      <c r="F183" s="15"/>
      <c r="G183" s="15"/>
      <c r="H183" s="15"/>
      <c r="I183" s="45"/>
    </row>
    <row r="184" s="1" customFormat="1" ht="35" customHeight="1" spans="1:9">
      <c r="A184" s="58"/>
      <c r="B184" s="59"/>
      <c r="C184" s="60"/>
      <c r="D184" s="61"/>
      <c r="E184" s="78">
        <v>0</v>
      </c>
      <c r="F184" s="15"/>
      <c r="G184" s="15"/>
      <c r="H184" s="15"/>
      <c r="I184" s="45"/>
    </row>
    <row r="185" s="1" customFormat="1" ht="35" customHeight="1" spans="1:9">
      <c r="A185" s="58"/>
      <c r="B185" s="59"/>
      <c r="C185" s="60"/>
      <c r="D185" s="61"/>
      <c r="E185" s="78">
        <v>0</v>
      </c>
      <c r="F185" s="15"/>
      <c r="G185" s="15"/>
      <c r="H185" s="15"/>
      <c r="I185" s="45"/>
    </row>
    <row r="186" s="1" customFormat="1" ht="35" customHeight="1" spans="1:9">
      <c r="A186" s="58"/>
      <c r="B186" s="59"/>
      <c r="C186" s="60"/>
      <c r="D186" s="61"/>
      <c r="E186" s="78">
        <v>0</v>
      </c>
      <c r="F186" s="15"/>
      <c r="G186" s="15"/>
      <c r="H186" s="15"/>
      <c r="I186" s="45"/>
    </row>
    <row r="187" s="1" customFormat="1" ht="35" customHeight="1" spans="1:9">
      <c r="A187" s="58"/>
      <c r="B187" s="59"/>
      <c r="C187" s="60"/>
      <c r="D187" s="61"/>
      <c r="E187" s="78">
        <v>0</v>
      </c>
      <c r="F187" s="15"/>
      <c r="G187" s="15"/>
      <c r="H187" s="15"/>
      <c r="I187" s="45"/>
    </row>
    <row r="188" s="1" customFormat="1" ht="35" customHeight="1" spans="1:9">
      <c r="A188" s="67"/>
      <c r="B188" s="68"/>
      <c r="C188" s="60"/>
      <c r="D188" s="61"/>
      <c r="E188" s="78">
        <v>0</v>
      </c>
      <c r="F188" s="15"/>
      <c r="G188" s="15"/>
      <c r="H188" s="15"/>
      <c r="I188" s="45"/>
    </row>
    <row r="189" s="1" customFormat="1" ht="35" customHeight="1" spans="1:9">
      <c r="A189" s="51" t="s">
        <v>60</v>
      </c>
      <c r="B189" s="69"/>
      <c r="C189" s="70"/>
      <c r="D189" s="71"/>
      <c r="E189" s="78">
        <f>C96</f>
        <v>0</v>
      </c>
      <c r="F189" s="15"/>
      <c r="G189" s="15"/>
      <c r="H189" s="15"/>
      <c r="I189" s="45"/>
    </row>
    <row r="190" s="1" customFormat="1" ht="35" customHeight="1" spans="1:9">
      <c r="A190" s="72"/>
      <c r="B190" s="73"/>
      <c r="C190" s="37" t="s">
        <v>61</v>
      </c>
      <c r="D190" s="37"/>
      <c r="E190" s="65">
        <f ca="1">(F40+E170)-(SUM(E172:E181)+SUM(E183:E189))</f>
        <v>0</v>
      </c>
      <c r="F190" s="15"/>
      <c r="G190" s="15"/>
      <c r="H190" s="15"/>
      <c r="I190" s="45"/>
    </row>
    <row r="191" s="1" customFormat="1" ht="35" customHeight="1" spans="1:9">
      <c r="A191" s="15"/>
      <c r="B191" s="15"/>
      <c r="C191" s="15"/>
      <c r="D191" s="15"/>
      <c r="E191" s="15"/>
      <c r="F191" s="15"/>
      <c r="G191" s="15"/>
      <c r="H191" s="15"/>
      <c r="I191" s="45"/>
    </row>
    <row r="192" ht="35" customHeight="1" spans="1:9">
      <c r="A192" s="82"/>
      <c r="B192" s="82"/>
      <c r="C192" s="82"/>
      <c r="D192" s="82"/>
      <c r="E192" s="82"/>
      <c r="F192" s="82"/>
      <c r="G192" s="82"/>
      <c r="H192" s="82"/>
      <c r="I192" s="82"/>
    </row>
    <row r="193" spans="1:9">
      <c r="A193" s="82"/>
      <c r="B193" s="82"/>
      <c r="C193" s="82"/>
      <c r="D193" s="82"/>
      <c r="E193" s="82"/>
      <c r="F193" s="82"/>
      <c r="G193" s="82"/>
      <c r="H193" s="82"/>
      <c r="I193" s="82"/>
    </row>
  </sheetData>
  <sheetProtection sheet="1" formatCells="0" formatColumns="0" formatRows="0" objects="1"/>
  <protectedRanges>
    <protectedRange sqref="A10:G15" name="R1"/>
    <protectedRange sqref="A22:G27" name="R2"/>
    <protectedRange sqref="A34:G39" name="R3"/>
    <protectedRange sqref="A46:C46 C47:C54" name="F1"/>
    <protectedRange sqref="C56:C65" name="F2"/>
    <protectedRange sqref="C67:C74" name="F3"/>
    <protectedRange sqref="C76:C84" name="F4"/>
    <protectedRange sqref="C86:C94" name="F5"/>
    <protectedRange sqref="C117:E134" name="E1"/>
    <protectedRange sqref="C144:E161" name="E2"/>
    <protectedRange sqref="C171:E188" name="E3"/>
    <protectedRange sqref="A56:B56" name="F2_1"/>
    <protectedRange sqref="A67:B67" name="F3_1"/>
    <protectedRange sqref="A76:B76" name="F4_1"/>
    <protectedRange sqref="A86:B86" name="F5_1"/>
  </protectedRanges>
  <mergeCells count="174">
    <mergeCell ref="A1:G1"/>
    <mergeCell ref="C2:G2"/>
    <mergeCell ref="C3:G3"/>
    <mergeCell ref="A4:B4"/>
    <mergeCell ref="C4:G4"/>
    <mergeCell ref="A5:B5"/>
    <mergeCell ref="C5:G5"/>
    <mergeCell ref="A8:G8"/>
    <mergeCell ref="B9:C9"/>
    <mergeCell ref="D9:E9"/>
    <mergeCell ref="F9:G9"/>
    <mergeCell ref="B10:C10"/>
    <mergeCell ref="D10:E10"/>
    <mergeCell ref="F10:G10"/>
    <mergeCell ref="B11:C11"/>
    <mergeCell ref="D11:E11"/>
    <mergeCell ref="F11:G11"/>
    <mergeCell ref="B12:C12"/>
    <mergeCell ref="D12:E12"/>
    <mergeCell ref="F12:G12"/>
    <mergeCell ref="B13:C13"/>
    <mergeCell ref="D13:E13"/>
    <mergeCell ref="F13:G13"/>
    <mergeCell ref="B14:C14"/>
    <mergeCell ref="D14:E14"/>
    <mergeCell ref="F14:G14"/>
    <mergeCell ref="B15:C15"/>
    <mergeCell ref="D15:E15"/>
    <mergeCell ref="F15:G15"/>
    <mergeCell ref="B16:C16"/>
    <mergeCell ref="D16:E16"/>
    <mergeCell ref="F16:G16"/>
    <mergeCell ref="A20:G20"/>
    <mergeCell ref="B21:C21"/>
    <mergeCell ref="D21:E21"/>
    <mergeCell ref="F21:G21"/>
    <mergeCell ref="B22:C22"/>
    <mergeCell ref="D22:E22"/>
    <mergeCell ref="F22:G22"/>
    <mergeCell ref="B23:C23"/>
    <mergeCell ref="D23:E23"/>
    <mergeCell ref="F23:G23"/>
    <mergeCell ref="B24:C24"/>
    <mergeCell ref="D24:E24"/>
    <mergeCell ref="F24:G24"/>
    <mergeCell ref="B25:C25"/>
    <mergeCell ref="D25:E25"/>
    <mergeCell ref="F25:G25"/>
    <mergeCell ref="B26:C26"/>
    <mergeCell ref="D26:E26"/>
    <mergeCell ref="F26:G26"/>
    <mergeCell ref="B27:C27"/>
    <mergeCell ref="D27:E27"/>
    <mergeCell ref="F27:G27"/>
    <mergeCell ref="B28:C28"/>
    <mergeCell ref="D28:E28"/>
    <mergeCell ref="F28:G28"/>
    <mergeCell ref="A32:G32"/>
    <mergeCell ref="B33:C33"/>
    <mergeCell ref="D33:E33"/>
    <mergeCell ref="F33:G33"/>
    <mergeCell ref="B34:C34"/>
    <mergeCell ref="D34:E34"/>
    <mergeCell ref="F34:G34"/>
    <mergeCell ref="B35:C35"/>
    <mergeCell ref="D35:E35"/>
    <mergeCell ref="F35:G35"/>
    <mergeCell ref="B36:C36"/>
    <mergeCell ref="D36:E36"/>
    <mergeCell ref="F36:G36"/>
    <mergeCell ref="B37:C37"/>
    <mergeCell ref="D37:E37"/>
    <mergeCell ref="F37:G37"/>
    <mergeCell ref="B38:C38"/>
    <mergeCell ref="D38:E38"/>
    <mergeCell ref="F38:G38"/>
    <mergeCell ref="B39:C39"/>
    <mergeCell ref="D39:E39"/>
    <mergeCell ref="F39:G39"/>
    <mergeCell ref="B40:C40"/>
    <mergeCell ref="D40:E40"/>
    <mergeCell ref="F40:G40"/>
    <mergeCell ref="A44:C44"/>
    <mergeCell ref="A46:C46"/>
    <mergeCell ref="A56:C56"/>
    <mergeCell ref="A67:C67"/>
    <mergeCell ref="A76:C76"/>
    <mergeCell ref="A86:C86"/>
    <mergeCell ref="A97:C97"/>
    <mergeCell ref="A114:E114"/>
    <mergeCell ref="A115:B115"/>
    <mergeCell ref="C115:D115"/>
    <mergeCell ref="A116:B116"/>
    <mergeCell ref="C116:D116"/>
    <mergeCell ref="C117:D117"/>
    <mergeCell ref="C118:D118"/>
    <mergeCell ref="C119:D119"/>
    <mergeCell ref="C120:D120"/>
    <mergeCell ref="C121:D121"/>
    <mergeCell ref="C122:D122"/>
    <mergeCell ref="C123:D123"/>
    <mergeCell ref="C124:D124"/>
    <mergeCell ref="C125:D125"/>
    <mergeCell ref="C126:D126"/>
    <mergeCell ref="C127:D127"/>
    <mergeCell ref="C128:D128"/>
    <mergeCell ref="C129:D129"/>
    <mergeCell ref="C130:D130"/>
    <mergeCell ref="C131:D131"/>
    <mergeCell ref="C132:D132"/>
    <mergeCell ref="C133:D133"/>
    <mergeCell ref="C134:D134"/>
    <mergeCell ref="A135:B135"/>
    <mergeCell ref="C135:D135"/>
    <mergeCell ref="A136:B136"/>
    <mergeCell ref="C136:D136"/>
    <mergeCell ref="A141:E141"/>
    <mergeCell ref="A142:B142"/>
    <mergeCell ref="C142:D142"/>
    <mergeCell ref="A143:B143"/>
    <mergeCell ref="C143:D143"/>
    <mergeCell ref="C144:D144"/>
    <mergeCell ref="C145:D145"/>
    <mergeCell ref="C146:D146"/>
    <mergeCell ref="C147:D147"/>
    <mergeCell ref="C148:D148"/>
    <mergeCell ref="C149:D149"/>
    <mergeCell ref="C150:D150"/>
    <mergeCell ref="C151:D151"/>
    <mergeCell ref="C152:D152"/>
    <mergeCell ref="C153:D153"/>
    <mergeCell ref="C154:D154"/>
    <mergeCell ref="C155:D155"/>
    <mergeCell ref="C156:D156"/>
    <mergeCell ref="C157:D157"/>
    <mergeCell ref="C158:D158"/>
    <mergeCell ref="C159:D159"/>
    <mergeCell ref="C160:D160"/>
    <mergeCell ref="C161:D161"/>
    <mergeCell ref="A162:B162"/>
    <mergeCell ref="C162:D162"/>
    <mergeCell ref="A163:B163"/>
    <mergeCell ref="C163:D163"/>
    <mergeCell ref="A168:E168"/>
    <mergeCell ref="A169:B169"/>
    <mergeCell ref="C169:D169"/>
    <mergeCell ref="A170:B170"/>
    <mergeCell ref="C170:D170"/>
    <mergeCell ref="C171:D171"/>
    <mergeCell ref="C172:D172"/>
    <mergeCell ref="C173:D173"/>
    <mergeCell ref="C174:D174"/>
    <mergeCell ref="C175:D175"/>
    <mergeCell ref="C176:D176"/>
    <mergeCell ref="C177:D177"/>
    <mergeCell ref="C178:D178"/>
    <mergeCell ref="C179:D179"/>
    <mergeCell ref="C180:D180"/>
    <mergeCell ref="C181:D181"/>
    <mergeCell ref="C182:D182"/>
    <mergeCell ref="C183:D183"/>
    <mergeCell ref="C184:D184"/>
    <mergeCell ref="C185:D185"/>
    <mergeCell ref="C186:D186"/>
    <mergeCell ref="C187:D187"/>
    <mergeCell ref="C188:D188"/>
    <mergeCell ref="A189:B189"/>
    <mergeCell ref="C189:D189"/>
    <mergeCell ref="A190:B190"/>
    <mergeCell ref="C190:D190"/>
    <mergeCell ref="A2:A3"/>
    <mergeCell ref="A117:B134"/>
    <mergeCell ref="A144:B161"/>
    <mergeCell ref="A171:B188"/>
  </mergeCells>
  <conditionalFormatting sqref="C5">
    <cfRule type="cellIs" dxfId="0" priority="6" operator="greaterThanOrEqual">
      <formula>0</formula>
    </cfRule>
    <cfRule type="cellIs" dxfId="1" priority="5" operator="lessThan">
      <formula>0</formula>
    </cfRule>
  </conditionalFormatting>
  <conditionalFormatting sqref="C75">
    <cfRule type="cellIs" dxfId="0" priority="51" operator="equal">
      <formula>0</formula>
    </cfRule>
    <cfRule type="cellIs" dxfId="1" priority="50" operator="greaterThan">
      <formula>0</formula>
    </cfRule>
  </conditionalFormatting>
  <conditionalFormatting sqref="C77">
    <cfRule type="cellIs" dxfId="0" priority="49" operator="equal">
      <formula>0</formula>
    </cfRule>
    <cfRule type="cellIs" dxfId="1" priority="48" operator="greaterThan">
      <formula>0</formula>
    </cfRule>
  </conditionalFormatting>
  <conditionalFormatting sqref="C108">
    <cfRule type="cellIs" dxfId="0" priority="4" operator="greaterThanOrEqual">
      <formula>0</formula>
    </cfRule>
    <cfRule type="cellIs" dxfId="1" priority="3" operator="lessThan">
      <formula>0</formula>
    </cfRule>
  </conditionalFormatting>
  <conditionalFormatting sqref="C109">
    <cfRule type="cellIs" dxfId="0" priority="2" operator="greaterThanOrEqual">
      <formula>0</formula>
    </cfRule>
    <cfRule type="cellIs" dxfId="1" priority="1" operator="lessThan">
      <formula>0</formula>
    </cfRule>
  </conditionalFormatting>
  <conditionalFormatting sqref="E116">
    <cfRule type="cellIs" dxfId="3" priority="12" operator="greaterThanOrEqual">
      <formula>0</formula>
    </cfRule>
    <cfRule type="cellIs" dxfId="4" priority="11" operator="lessThan">
      <formula>0</formula>
    </cfRule>
  </conditionalFormatting>
  <conditionalFormatting sqref="E136">
    <cfRule type="cellIs" dxfId="3" priority="43" operator="greaterThanOrEqual">
      <formula>0</formula>
    </cfRule>
    <cfRule type="cellIs" dxfId="4" priority="42" operator="lessThan">
      <formula>0</formula>
    </cfRule>
  </conditionalFormatting>
  <conditionalFormatting sqref="E143">
    <cfRule type="cellIs" dxfId="3" priority="30" operator="greaterThanOrEqual">
      <formula>0</formula>
    </cfRule>
    <cfRule type="cellIs" dxfId="4" priority="29" operator="lessThan">
      <formula>0</formula>
    </cfRule>
  </conditionalFormatting>
  <conditionalFormatting sqref="E163">
    <cfRule type="cellIs" dxfId="3" priority="32" operator="greaterThanOrEqual">
      <formula>0</formula>
    </cfRule>
    <cfRule type="cellIs" dxfId="4" priority="31" operator="lessThan">
      <formula>0</formula>
    </cfRule>
  </conditionalFormatting>
  <conditionalFormatting sqref="E170">
    <cfRule type="cellIs" dxfId="3" priority="24" operator="greaterThanOrEqual">
      <formula>0</formula>
    </cfRule>
    <cfRule type="cellIs" dxfId="4" priority="23" operator="lessThan">
      <formula>0</formula>
    </cfRule>
  </conditionalFormatting>
  <conditionalFormatting sqref="E190">
    <cfRule type="cellIs" dxfId="3" priority="26" operator="greaterThanOrEqual">
      <formula>0</formula>
    </cfRule>
    <cfRule type="cellIs" dxfId="4" priority="25" operator="lessThan">
      <formula>0</formula>
    </cfRule>
  </conditionalFormatting>
  <conditionalFormatting sqref="C57:C66">
    <cfRule type="cellIs" dxfId="0" priority="55" operator="equal">
      <formula>0</formula>
    </cfRule>
    <cfRule type="cellIs" dxfId="1" priority="54" operator="greaterThan">
      <formula>0</formula>
    </cfRule>
  </conditionalFormatting>
  <conditionalFormatting sqref="C68:C69">
    <cfRule type="cellIs" dxfId="0" priority="53" operator="equal">
      <formula>0</formula>
    </cfRule>
    <cfRule type="cellIs" dxfId="1" priority="52" operator="greaterThan">
      <formula>0</formula>
    </cfRule>
  </conditionalFormatting>
  <conditionalFormatting sqref="C70:C74">
    <cfRule type="cellIs" dxfId="0" priority="41" operator="equal">
      <formula>0</formula>
    </cfRule>
    <cfRule type="cellIs" dxfId="1" priority="40" operator="greaterThan">
      <formula>0</formula>
    </cfRule>
  </conditionalFormatting>
  <conditionalFormatting sqref="C78:C79">
    <cfRule type="cellIs" dxfId="0" priority="10" operator="equal">
      <formula>0</formula>
    </cfRule>
    <cfRule type="cellIs" dxfId="1" priority="9" operator="greaterThan">
      <formula>0</formula>
    </cfRule>
  </conditionalFormatting>
  <conditionalFormatting sqref="C80:C84">
    <cfRule type="cellIs" dxfId="0" priority="39" operator="equal">
      <formula>0</formula>
    </cfRule>
    <cfRule type="cellIs" dxfId="1" priority="38" operator="greaterThan">
      <formula>0</formula>
    </cfRule>
  </conditionalFormatting>
  <conditionalFormatting sqref="C87:C89">
    <cfRule type="cellIs" dxfId="0" priority="47" operator="equal">
      <formula>0</formula>
    </cfRule>
    <cfRule type="cellIs" dxfId="1" priority="46" operator="greaterThan">
      <formula>0</formula>
    </cfRule>
  </conditionalFormatting>
  <conditionalFormatting sqref="C90:C91">
    <cfRule type="cellIs" dxfId="0" priority="8" operator="equal">
      <formula>0</formula>
    </cfRule>
    <cfRule type="cellIs" dxfId="1" priority="7" operator="greaterThan">
      <formula>0</formula>
    </cfRule>
  </conditionalFormatting>
  <conditionalFormatting sqref="C92:C94">
    <cfRule type="cellIs" dxfId="0" priority="37" operator="equal">
      <formula>0</formula>
    </cfRule>
    <cfRule type="cellIs" dxfId="1" priority="36" operator="greaterThan">
      <formula>0</formula>
    </cfRule>
  </conditionalFormatting>
  <conditionalFormatting sqref="C98:C107">
    <cfRule type="cellIs" dxfId="1" priority="20" operator="lessThan">
      <formula>0</formula>
    </cfRule>
    <cfRule type="cellIs" dxfId="2" priority="19" operator="greaterThanOrEqual">
      <formula>0</formula>
    </cfRule>
  </conditionalFormatting>
  <conditionalFormatting sqref="E118:E127">
    <cfRule type="cellIs" dxfId="0" priority="18" operator="equal">
      <formula>0</formula>
    </cfRule>
    <cfRule type="cellIs" dxfId="1" priority="17" operator="greaterThan">
      <formula>0</formula>
    </cfRule>
  </conditionalFormatting>
  <conditionalFormatting sqref="E145:E154">
    <cfRule type="cellIs" dxfId="0" priority="16" operator="equal">
      <formula>0</formula>
    </cfRule>
    <cfRule type="cellIs" dxfId="1" priority="15" operator="greaterThan">
      <formula>0</formula>
    </cfRule>
  </conditionalFormatting>
  <conditionalFormatting sqref="E172:E181">
    <cfRule type="cellIs" dxfId="0" priority="14" operator="equal">
      <formula>0</formula>
    </cfRule>
    <cfRule type="cellIs" dxfId="1" priority="13" operator="greaterThan">
      <formula>0</formula>
    </cfRule>
  </conditionalFormatting>
  <conditionalFormatting sqref="C47:C55 C85 C95:C96">
    <cfRule type="cellIs" dxfId="0" priority="57" operator="equal">
      <formula>0</formula>
    </cfRule>
  </conditionalFormatting>
  <conditionalFormatting sqref="C47:C55 C85 C95:C96 E144 E155:E162">
    <cfRule type="cellIs" dxfId="1" priority="56" operator="greaterThan">
      <formula>0</formula>
    </cfRule>
  </conditionalFormatting>
  <conditionalFormatting sqref="E117 E128:E135">
    <cfRule type="cellIs" dxfId="0" priority="45" operator="equal">
      <formula>0</formula>
    </cfRule>
    <cfRule type="cellIs" dxfId="1" priority="44" operator="greaterThan">
      <formula>0</formula>
    </cfRule>
  </conditionalFormatting>
  <conditionalFormatting sqref="E144 E155:E162">
    <cfRule type="cellIs" dxfId="2" priority="33" operator="equal">
      <formula>0</formula>
    </cfRule>
  </conditionalFormatting>
  <conditionalFormatting sqref="E171 E182:E189">
    <cfRule type="cellIs" dxfId="2" priority="28" operator="equal">
      <formula>0</formula>
    </cfRule>
    <cfRule type="cellIs" dxfId="1" priority="27" operator="greaterThan">
      <formula>0</formula>
    </cfRule>
  </conditionalFormatting>
  <pageMargins left="0.7" right="0.7" top="0.75" bottom="0.75" header="0.3" footer="0.3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93"/>
  <sheetViews>
    <sheetView topLeftCell="A37" workbookViewId="0">
      <selection activeCell="D45" sqref="D45"/>
    </sheetView>
  </sheetViews>
  <sheetFormatPr defaultColWidth="9" defaultRowHeight="17.6"/>
  <cols>
    <col min="1" max="7" width="25.6111111111111" customWidth="1"/>
    <col min="8" max="8" width="20.625" customWidth="1"/>
  </cols>
  <sheetData>
    <row r="1" s="1" customFormat="1" ht="35" customHeight="1" spans="1:9">
      <c r="A1" s="2" t="str">
        <f>"Forecasts For the Year "&amp;IF(Main!B2,TEXT(EDATE(Main!B3,15),"mmmm yyyy"),TEXT(Main!B3+((Main!B5-Main!B3)*15+15),"mmmm yyyy"))&amp;" to "&amp;IF(Main!B2,TEXT(EDATE(Main!B3,18)-1,"mmmm yyyy"),TEXT(Main!B3+((Main!B5-Main!B3)*18+17),"mmmm yyyy"))</f>
        <v>Forecasts For the Year August 2026 to October 2026</v>
      </c>
      <c r="B1" s="2"/>
      <c r="C1" s="2"/>
      <c r="D1" s="2"/>
      <c r="E1" s="2"/>
      <c r="F1" s="2"/>
      <c r="G1" s="2"/>
      <c r="H1" s="38"/>
      <c r="I1" s="38"/>
    </row>
    <row r="2" s="1" customFormat="1" ht="35" customHeight="1" spans="1:9">
      <c r="A2" s="3" t="s">
        <v>33</v>
      </c>
      <c r="B2" s="4" t="s">
        <v>62</v>
      </c>
      <c r="C2" s="5" cm="1">
        <f ca="1" t="array" ref="C2">INDIRECT("'"&amp;Main!B9&amp;"'!$C$16")</f>
        <v>0</v>
      </c>
      <c r="D2" s="5"/>
      <c r="E2" s="5"/>
      <c r="F2" s="5"/>
      <c r="G2" s="5"/>
      <c r="H2" s="38"/>
      <c r="I2" s="38"/>
    </row>
    <row r="3" s="1" customFormat="1" ht="35" customHeight="1" spans="1:9">
      <c r="A3" s="6"/>
      <c r="B3" s="7" t="s">
        <v>63</v>
      </c>
      <c r="C3" s="8">
        <f ca="1">E190</f>
        <v>0</v>
      </c>
      <c r="D3" s="8"/>
      <c r="E3" s="8"/>
      <c r="F3" s="8"/>
      <c r="G3" s="8"/>
      <c r="H3" s="38"/>
      <c r="I3" s="38"/>
    </row>
    <row r="4" s="1" customFormat="1" ht="35" customHeight="1" spans="1:9">
      <c r="A4" s="9" t="s">
        <v>42</v>
      </c>
      <c r="B4" s="10"/>
      <c r="C4" s="11">
        <f ca="1">SUM(C2:G3)</f>
        <v>0</v>
      </c>
      <c r="D4" s="11"/>
      <c r="E4" s="11"/>
      <c r="F4" s="11"/>
      <c r="G4" s="11"/>
      <c r="H4" s="15"/>
      <c r="I4" s="45"/>
    </row>
    <row r="5" s="1" customFormat="1" ht="35" customHeight="1" spans="1:9">
      <c r="A5" s="12" t="s">
        <v>64</v>
      </c>
      <c r="B5" s="12"/>
      <c r="C5" s="13">
        <f ca="1">C108</f>
        <v>0</v>
      </c>
      <c r="D5" s="14"/>
      <c r="E5" s="14"/>
      <c r="F5" s="14"/>
      <c r="G5" s="14"/>
      <c r="H5" s="15"/>
      <c r="I5" s="45"/>
    </row>
    <row r="6" s="1" customFormat="1" ht="35" customHeight="1" spans="1:9">
      <c r="A6" s="15"/>
      <c r="B6" s="15"/>
      <c r="C6" s="15"/>
      <c r="D6" s="15"/>
      <c r="E6" s="15"/>
      <c r="F6" s="15"/>
      <c r="G6" s="15"/>
      <c r="H6" s="15"/>
      <c r="I6" s="45"/>
    </row>
    <row r="7" s="1" customFormat="1" ht="35" customHeight="1" spans="1:9">
      <c r="A7" s="15"/>
      <c r="B7" s="15"/>
      <c r="C7" s="15"/>
      <c r="D7" s="15"/>
      <c r="E7" s="15"/>
      <c r="F7" s="15"/>
      <c r="G7" s="15"/>
      <c r="H7" s="15"/>
      <c r="I7" s="45"/>
    </row>
    <row r="8" s="1" customFormat="1" ht="35" customHeight="1" spans="1:9">
      <c r="A8" s="16" t="str">
        <f>IF(Main!B2,TEXT(EDATE(Main!B3,15),"dd mmmm yyyy"),TEXT(Main!B3+((Main!B5-Main!B3)*15+15),"dd mmmm yyyy"))&amp;" - "&amp;IF(Main!B2,TEXT(EDATE(Main!B3,16)-1,"dd mmmm yyyy"),TEXT(Main!B3+((Main!B5-Main!B3)*16+15),"dd mmmm yyyy"))&amp;" / "&amp;" (Revenue / Deferred Debts Or Expenses)"</f>
        <v>01 August 2026 - 31 August 2026 /  (Revenue / Deferred Debts Or Expenses)</v>
      </c>
      <c r="B8" s="17"/>
      <c r="C8" s="17"/>
      <c r="D8" s="17"/>
      <c r="E8" s="17"/>
      <c r="F8" s="17"/>
      <c r="G8" s="17"/>
      <c r="H8" s="15"/>
      <c r="I8" s="45"/>
    </row>
    <row r="9" s="1" customFormat="1" ht="35" customHeight="1" spans="1:9">
      <c r="A9" s="18" t="s">
        <v>29</v>
      </c>
      <c r="B9" s="18" t="s">
        <v>43</v>
      </c>
      <c r="C9" s="18"/>
      <c r="D9" s="18" t="s">
        <v>44</v>
      </c>
      <c r="E9" s="18"/>
      <c r="F9" s="18" t="s">
        <v>45</v>
      </c>
      <c r="G9" s="18"/>
      <c r="H9" s="15"/>
      <c r="I9" s="45"/>
    </row>
    <row r="10" s="1" customFormat="1" ht="35" customHeight="1" spans="1:9">
      <c r="A10" s="19"/>
      <c r="B10" s="20"/>
      <c r="C10" s="20"/>
      <c r="D10" s="20"/>
      <c r="E10" s="20"/>
      <c r="F10" s="39">
        <v>0</v>
      </c>
      <c r="G10" s="40"/>
      <c r="H10" s="15"/>
      <c r="I10" s="45"/>
    </row>
    <row r="11" s="1" customFormat="1" ht="35" customHeight="1" spans="1:9">
      <c r="A11" s="19"/>
      <c r="B11" s="21"/>
      <c r="C11" s="22"/>
      <c r="D11" s="23"/>
      <c r="E11" s="41"/>
      <c r="F11" s="39">
        <v>0</v>
      </c>
      <c r="G11" s="40"/>
      <c r="H11" s="15"/>
      <c r="I11" s="45"/>
    </row>
    <row r="12" s="1" customFormat="1" ht="35" customHeight="1" spans="1:9">
      <c r="A12" s="19"/>
      <c r="B12" s="21"/>
      <c r="C12" s="22"/>
      <c r="D12" s="23"/>
      <c r="E12" s="41"/>
      <c r="F12" s="39">
        <v>0</v>
      </c>
      <c r="G12" s="40"/>
      <c r="H12" s="15"/>
      <c r="I12" s="45"/>
    </row>
    <row r="13" s="1" customFormat="1" ht="35" customHeight="1" spans="1:9">
      <c r="A13" s="19"/>
      <c r="B13" s="21"/>
      <c r="C13" s="22"/>
      <c r="D13" s="23"/>
      <c r="E13" s="41"/>
      <c r="F13" s="39">
        <v>0</v>
      </c>
      <c r="G13" s="40"/>
      <c r="H13" s="15"/>
      <c r="I13" s="45"/>
    </row>
    <row r="14" s="1" customFormat="1" ht="35" customHeight="1" spans="1:9">
      <c r="A14" s="19"/>
      <c r="B14" s="21"/>
      <c r="C14" s="22"/>
      <c r="D14" s="23"/>
      <c r="E14" s="41"/>
      <c r="F14" s="39">
        <v>0</v>
      </c>
      <c r="G14" s="40"/>
      <c r="H14" s="15"/>
      <c r="I14" s="45"/>
    </row>
    <row r="15" s="1" customFormat="1" ht="35" customHeight="1" spans="1:9">
      <c r="A15" s="19"/>
      <c r="B15" s="21"/>
      <c r="C15" s="22"/>
      <c r="D15" s="23"/>
      <c r="E15" s="41"/>
      <c r="F15" s="39">
        <v>0</v>
      </c>
      <c r="G15" s="40"/>
      <c r="H15" s="15"/>
      <c r="I15" s="45"/>
    </row>
    <row r="16" s="1" customFormat="1" ht="35" customHeight="1" spans="1:9">
      <c r="A16" s="24"/>
      <c r="B16" s="25"/>
      <c r="C16" s="26"/>
      <c r="D16" s="27" t="s">
        <v>46</v>
      </c>
      <c r="E16" s="42"/>
      <c r="F16" s="43">
        <f>SUM(F10:G15)</f>
        <v>0</v>
      </c>
      <c r="G16" s="44"/>
      <c r="H16" s="15"/>
      <c r="I16" s="45"/>
    </row>
    <row r="17" s="1" customFormat="1" ht="35" customHeight="1" spans="1:9">
      <c r="A17" s="15"/>
      <c r="B17" s="15"/>
      <c r="C17" s="15"/>
      <c r="D17" s="15"/>
      <c r="E17" s="15"/>
      <c r="F17" s="15"/>
      <c r="G17" s="15"/>
      <c r="H17" s="15"/>
      <c r="I17" s="45"/>
    </row>
    <row r="18" s="1" customFormat="1" ht="35" customHeight="1" spans="1:9">
      <c r="A18" s="15"/>
      <c r="B18" s="15"/>
      <c r="C18" s="15"/>
      <c r="D18" s="15"/>
      <c r="E18" s="15"/>
      <c r="F18" s="15"/>
      <c r="G18" s="15"/>
      <c r="H18" s="15"/>
      <c r="I18" s="45"/>
    </row>
    <row r="19" s="1" customFormat="1" ht="35" customHeight="1" spans="1:9">
      <c r="A19" s="15"/>
      <c r="B19" s="15"/>
      <c r="C19" s="15"/>
      <c r="D19" s="15"/>
      <c r="E19" s="15"/>
      <c r="F19" s="15"/>
      <c r="G19" s="15"/>
      <c r="H19" s="15"/>
      <c r="I19" s="45"/>
    </row>
    <row r="20" s="1" customFormat="1" ht="35" customHeight="1" spans="1:9">
      <c r="A20" s="16" t="str">
        <f>IF(Main!B2,TEXT(EDATE(Main!B3,16),"dd mmmm yyyy"),TEXT(Main!B3+((Main!B5-Main!B3)*16+16),"dd mmmm yyyy"))&amp;" - "&amp;IF(Main!B2,TEXT(EDATE(Main!B3,17)-1,"dd mmmm yyyy"),TEXT(Main!B3+((Main!B5-Main!B3)*17+16),"dd mmmm yyyy"))&amp;" / "&amp;" (Revenue / Deferred Debts Or Expenses)"</f>
        <v>01 September 2026 - 30 September 2026 /  (Revenue / Deferred Debts Or Expenses)</v>
      </c>
      <c r="B20" s="17"/>
      <c r="C20" s="17"/>
      <c r="D20" s="17"/>
      <c r="E20" s="17"/>
      <c r="F20" s="17"/>
      <c r="G20" s="17"/>
      <c r="H20" s="15"/>
      <c r="I20" s="45"/>
    </row>
    <row r="21" s="1" customFormat="1" ht="35" customHeight="1" spans="1:9">
      <c r="A21" s="18" t="s">
        <v>29</v>
      </c>
      <c r="B21" s="18" t="s">
        <v>43</v>
      </c>
      <c r="C21" s="18"/>
      <c r="D21" s="18" t="s">
        <v>44</v>
      </c>
      <c r="E21" s="18"/>
      <c r="F21" s="18" t="s">
        <v>45</v>
      </c>
      <c r="G21" s="18"/>
      <c r="H21" s="15"/>
      <c r="I21" s="45"/>
    </row>
    <row r="22" s="1" customFormat="1" ht="35" customHeight="1" spans="1:9">
      <c r="A22" s="19"/>
      <c r="B22" s="20"/>
      <c r="C22" s="20"/>
      <c r="D22" s="20"/>
      <c r="E22" s="20"/>
      <c r="F22" s="39">
        <v>0</v>
      </c>
      <c r="G22" s="40"/>
      <c r="H22" s="15"/>
      <c r="I22" s="45"/>
    </row>
    <row r="23" s="1" customFormat="1" ht="35" customHeight="1" spans="1:9">
      <c r="A23" s="19"/>
      <c r="B23" s="21"/>
      <c r="C23" s="22"/>
      <c r="D23" s="23"/>
      <c r="E23" s="41"/>
      <c r="F23" s="39">
        <v>0</v>
      </c>
      <c r="G23" s="40"/>
      <c r="H23" s="15"/>
      <c r="I23" s="45"/>
    </row>
    <row r="24" s="1" customFormat="1" ht="35" customHeight="1" spans="1:9">
      <c r="A24" s="19"/>
      <c r="B24" s="21"/>
      <c r="C24" s="22"/>
      <c r="D24" s="23"/>
      <c r="E24" s="41"/>
      <c r="F24" s="39">
        <v>0</v>
      </c>
      <c r="G24" s="40"/>
      <c r="H24" s="15"/>
      <c r="I24" s="45"/>
    </row>
    <row r="25" s="1" customFormat="1" ht="35" customHeight="1" spans="1:9">
      <c r="A25" s="19"/>
      <c r="B25" s="21"/>
      <c r="C25" s="22"/>
      <c r="D25" s="23"/>
      <c r="E25" s="41"/>
      <c r="F25" s="39">
        <v>0</v>
      </c>
      <c r="G25" s="40"/>
      <c r="H25" s="15"/>
      <c r="I25" s="45"/>
    </row>
    <row r="26" s="1" customFormat="1" ht="35" customHeight="1" spans="1:9">
      <c r="A26" s="19"/>
      <c r="B26" s="21"/>
      <c r="C26" s="22"/>
      <c r="D26" s="23"/>
      <c r="E26" s="41"/>
      <c r="F26" s="39">
        <v>0</v>
      </c>
      <c r="G26" s="40"/>
      <c r="H26" s="15"/>
      <c r="I26" s="45"/>
    </row>
    <row r="27" s="1" customFormat="1" ht="35" customHeight="1" spans="1:9">
      <c r="A27" s="19"/>
      <c r="B27" s="21"/>
      <c r="C27" s="22"/>
      <c r="D27" s="23"/>
      <c r="E27" s="41"/>
      <c r="F27" s="39">
        <v>0</v>
      </c>
      <c r="G27" s="40"/>
      <c r="H27" s="15"/>
      <c r="I27" s="45"/>
    </row>
    <row r="28" s="1" customFormat="1" ht="35" customHeight="1" spans="1:9">
      <c r="A28" s="24"/>
      <c r="B28" s="25"/>
      <c r="C28" s="26"/>
      <c r="D28" s="27" t="s">
        <v>46</v>
      </c>
      <c r="E28" s="42"/>
      <c r="F28" s="43">
        <f>SUM(F22:G27)</f>
        <v>0</v>
      </c>
      <c r="G28" s="44"/>
      <c r="H28" s="15"/>
      <c r="I28" s="45"/>
    </row>
    <row r="29" s="1" customFormat="1" ht="35" customHeight="1" spans="1:9">
      <c r="A29" s="15"/>
      <c r="B29" s="15"/>
      <c r="C29" s="15"/>
      <c r="D29" s="15"/>
      <c r="E29" s="15"/>
      <c r="F29" s="15"/>
      <c r="G29" s="15"/>
      <c r="H29" s="15"/>
      <c r="I29" s="45"/>
    </row>
    <row r="30" s="1" customFormat="1" ht="35" customHeight="1" spans="1:9">
      <c r="A30" s="15"/>
      <c r="B30" s="15"/>
      <c r="C30" s="15"/>
      <c r="D30" s="15"/>
      <c r="E30" s="15"/>
      <c r="F30" s="15"/>
      <c r="G30" s="15"/>
      <c r="H30" s="15"/>
      <c r="I30" s="45"/>
    </row>
    <row r="31" s="1" customFormat="1" ht="35" customHeight="1" spans="1:9">
      <c r="A31" s="15"/>
      <c r="B31" s="15"/>
      <c r="C31" s="15"/>
      <c r="D31" s="15"/>
      <c r="E31" s="15"/>
      <c r="F31" s="15"/>
      <c r="G31" s="15"/>
      <c r="H31" s="15"/>
      <c r="I31" s="45"/>
    </row>
    <row r="32" s="1" customFormat="1" ht="35" customHeight="1" spans="1:9">
      <c r="A32" s="16" t="str">
        <f>IF(Main!B2,TEXT(EDATE(Main!B3,17),"dd mmmm yyyy"),TEXT(Main!B3+((Main!B5-Main!B3)*17+17),"dd mmmm yyyy"))&amp;" - "&amp;IF(Main!B2,TEXT(EDATE(Main!B3,18)-1,"dd mmmm yyyy"),TEXT(Main!B3+((Main!B5-Main!B3)*18+17),"dd mmmm yyyy"))&amp;" / "&amp;" (Revenue / Deferred Debts Or Expenses)"</f>
        <v>01 October 2026 - 31 October 2026 /  (Revenue / Deferred Debts Or Expenses)</v>
      </c>
      <c r="B32" s="17"/>
      <c r="C32" s="17"/>
      <c r="D32" s="17"/>
      <c r="E32" s="17"/>
      <c r="F32" s="17"/>
      <c r="G32" s="17"/>
      <c r="H32" s="15"/>
      <c r="I32" s="45"/>
    </row>
    <row r="33" s="1" customFormat="1" ht="35" customHeight="1" spans="1:9">
      <c r="A33" s="18" t="s">
        <v>29</v>
      </c>
      <c r="B33" s="18" t="s">
        <v>43</v>
      </c>
      <c r="C33" s="18"/>
      <c r="D33" s="18" t="s">
        <v>44</v>
      </c>
      <c r="E33" s="18"/>
      <c r="F33" s="18" t="s">
        <v>45</v>
      </c>
      <c r="G33" s="18"/>
      <c r="H33" s="15"/>
      <c r="I33" s="45"/>
    </row>
    <row r="34" s="1" customFormat="1" ht="35" customHeight="1" spans="1:9">
      <c r="A34" s="19"/>
      <c r="B34" s="20"/>
      <c r="C34" s="20"/>
      <c r="D34" s="20"/>
      <c r="E34" s="20"/>
      <c r="F34" s="39">
        <v>0</v>
      </c>
      <c r="G34" s="40"/>
      <c r="H34" s="15"/>
      <c r="I34" s="45"/>
    </row>
    <row r="35" s="1" customFormat="1" ht="35" customHeight="1" spans="1:9">
      <c r="A35" s="19"/>
      <c r="B35" s="21"/>
      <c r="C35" s="22"/>
      <c r="D35" s="23"/>
      <c r="E35" s="41"/>
      <c r="F35" s="39">
        <v>0</v>
      </c>
      <c r="G35" s="40"/>
      <c r="H35" s="15"/>
      <c r="I35" s="45"/>
    </row>
    <row r="36" s="1" customFormat="1" ht="35" customHeight="1" spans="1:9">
      <c r="A36" s="19"/>
      <c r="B36" s="21"/>
      <c r="C36" s="22"/>
      <c r="D36" s="23"/>
      <c r="E36" s="41"/>
      <c r="F36" s="39">
        <v>0</v>
      </c>
      <c r="G36" s="40"/>
      <c r="H36" s="15"/>
      <c r="I36" s="45"/>
    </row>
    <row r="37" s="1" customFormat="1" ht="35" customHeight="1" spans="1:9">
      <c r="A37" s="19"/>
      <c r="B37" s="21"/>
      <c r="C37" s="22"/>
      <c r="D37" s="23"/>
      <c r="E37" s="41"/>
      <c r="F37" s="39">
        <v>0</v>
      </c>
      <c r="G37" s="40"/>
      <c r="H37" s="15"/>
      <c r="I37" s="45"/>
    </row>
    <row r="38" s="1" customFormat="1" ht="35" customHeight="1" spans="1:9">
      <c r="A38" s="19"/>
      <c r="B38" s="21"/>
      <c r="C38" s="22"/>
      <c r="D38" s="23"/>
      <c r="E38" s="41"/>
      <c r="F38" s="39">
        <v>0</v>
      </c>
      <c r="G38" s="40"/>
      <c r="H38" s="15"/>
      <c r="I38" s="45"/>
    </row>
    <row r="39" s="1" customFormat="1" ht="35" customHeight="1" spans="1:9">
      <c r="A39" s="19"/>
      <c r="B39" s="21"/>
      <c r="C39" s="22"/>
      <c r="D39" s="23"/>
      <c r="E39" s="41"/>
      <c r="F39" s="39">
        <v>0</v>
      </c>
      <c r="G39" s="40"/>
      <c r="H39" s="15"/>
      <c r="I39" s="45"/>
    </row>
    <row r="40" s="1" customFormat="1" ht="35" customHeight="1" spans="1:9">
      <c r="A40" s="24"/>
      <c r="B40" s="25"/>
      <c r="C40" s="26"/>
      <c r="D40" s="27" t="s">
        <v>46</v>
      </c>
      <c r="E40" s="42"/>
      <c r="F40" s="43">
        <f>SUM(F34:G39)</f>
        <v>0</v>
      </c>
      <c r="G40" s="44"/>
      <c r="H40" s="15"/>
      <c r="I40" s="45"/>
    </row>
    <row r="41" s="1" customFormat="1" ht="35" customHeight="1" spans="1:9">
      <c r="A41" s="15"/>
      <c r="B41" s="15"/>
      <c r="C41" s="15"/>
      <c r="D41" s="15"/>
      <c r="E41" s="15"/>
      <c r="F41" s="15"/>
      <c r="G41" s="15"/>
      <c r="H41" s="15"/>
      <c r="I41" s="45"/>
    </row>
    <row r="42" s="1" customFormat="1" ht="35" customHeight="1" spans="1:9">
      <c r="A42" s="15"/>
      <c r="B42" s="15"/>
      <c r="C42" s="15"/>
      <c r="D42" s="15"/>
      <c r="E42" s="15"/>
      <c r="F42" s="15"/>
      <c r="G42" s="15"/>
      <c r="H42" s="15"/>
      <c r="I42" s="45"/>
    </row>
    <row r="43" s="1" customFormat="1" ht="35" customHeight="1" spans="1:9">
      <c r="A43" s="15"/>
      <c r="B43" s="15"/>
      <c r="C43" s="15"/>
      <c r="D43" s="15"/>
      <c r="E43" s="15"/>
      <c r="F43" s="15"/>
      <c r="G43" s="15"/>
      <c r="H43" s="15"/>
      <c r="I43" s="45"/>
    </row>
    <row r="44" s="1" customFormat="1" ht="35" customHeight="1" spans="1:9">
      <c r="A44" s="28" t="str">
        <f>"Fixed Expense For the Year "&amp;IF(Main!B2,TEXT(EDATE(Main!B3,15),"mmmm yyyy"),TEXT(Main!B3+((Main!B5-Main!B3)*15+15),"mmmm yyyy"))&amp;" to "&amp;IF(Main!B2,TEXT(EDATE(Main!B3,18)-1,"mmmm yyyy"),TEXT(Main!B3+((Main!B5-Main!B3)*18+17),"mmmm yyyy"))</f>
        <v>Fixed Expense For the Year August 2026 to October 2026</v>
      </c>
      <c r="B44" s="29"/>
      <c r="C44" s="30"/>
      <c r="D44" s="15"/>
      <c r="E44" s="15"/>
      <c r="F44" s="15"/>
      <c r="G44" s="15"/>
      <c r="H44" s="15"/>
      <c r="I44" s="45"/>
    </row>
    <row r="45" s="1" customFormat="1" ht="35" customHeight="1" spans="1:9">
      <c r="A45" s="2" t="s">
        <v>43</v>
      </c>
      <c r="B45" s="2" t="s">
        <v>44</v>
      </c>
      <c r="C45" s="2" t="s">
        <v>45</v>
      </c>
      <c r="D45" s="15"/>
      <c r="E45" s="15"/>
      <c r="F45" s="15"/>
      <c r="G45" s="15"/>
      <c r="H45" s="15"/>
      <c r="I45" s="45"/>
    </row>
    <row r="46" s="1" customFormat="1" ht="35" customHeight="1" spans="1:9">
      <c r="A46" s="31" t="s">
        <v>47</v>
      </c>
      <c r="B46" s="32"/>
      <c r="C46" s="33"/>
      <c r="D46" s="15"/>
      <c r="E46" s="15"/>
      <c r="F46" s="15"/>
      <c r="G46" s="15"/>
      <c r="H46" s="15"/>
      <c r="I46" s="45"/>
    </row>
    <row r="47" s="1" customFormat="1" ht="35" customHeight="1" spans="1:9">
      <c r="A47" s="34" t="str" cm="1">
        <f ca="1" t="array" ref="A47">IF((INDIRECT("'"&amp;INDIRECT("Main!B9")&amp;"'!A61"))=0,"",(INDIRECT("'"&amp;INDIRECT("Main!B9")&amp;"'!A61")))</f>
        <v/>
      </c>
      <c r="B47" s="34" t="str" cm="1">
        <f ca="1" t="array" ref="B47">IF((INDIRECT("'"&amp;INDIRECT("Main!B9")&amp;"'!B61"))=0,"",(INDIRECT("'"&amp;INDIRECT("Main!B9")&amp;"'!B61")))</f>
        <v/>
      </c>
      <c r="C47" s="35">
        <v>0</v>
      </c>
      <c r="D47" s="15"/>
      <c r="E47" s="15"/>
      <c r="F47" s="15"/>
      <c r="G47" s="15"/>
      <c r="H47" s="15"/>
      <c r="I47" s="45"/>
    </row>
    <row r="48" s="1" customFormat="1" ht="35" customHeight="1" spans="1:9">
      <c r="A48" s="34" t="str" cm="1">
        <f ca="1" t="array" ref="A48">IF((INDIRECT("'"&amp;INDIRECT("Main!B9")&amp;"'!A62"))=0,"",(INDIRECT("'"&amp;INDIRECT("Main!B9")&amp;"'!A62")))</f>
        <v/>
      </c>
      <c r="B48" s="34" t="str" cm="1">
        <f ca="1" t="array" ref="B48">IF((INDIRECT("'"&amp;INDIRECT("Main!B9")&amp;"'!B62"))=0,"",(INDIRECT("'"&amp;INDIRECT("Main!B9")&amp;"'!B62")))</f>
        <v/>
      </c>
      <c r="C48" s="35">
        <v>0</v>
      </c>
      <c r="D48" s="15"/>
      <c r="E48" s="15"/>
      <c r="F48" s="15"/>
      <c r="G48" s="15"/>
      <c r="H48" s="15"/>
      <c r="I48" s="45"/>
    </row>
    <row r="49" s="1" customFormat="1" ht="35" customHeight="1" spans="1:9">
      <c r="A49" s="34" t="str" cm="1">
        <f ca="1" t="array" ref="A49">IF((INDIRECT("'"&amp;INDIRECT("Main!B9")&amp;"'!A63"))=0,"",(INDIRECT("'"&amp;INDIRECT("Main!B9")&amp;"'!A63")))</f>
        <v/>
      </c>
      <c r="B49" s="34" t="str" cm="1">
        <f ca="1" t="array" ref="B49">IF((INDIRECT("'"&amp;INDIRECT("Main!B9")&amp;"'!B63"))=0,"",(INDIRECT("'"&amp;INDIRECT("Main!B9")&amp;"'!B63")))</f>
        <v/>
      </c>
      <c r="C49" s="35">
        <v>0</v>
      </c>
      <c r="D49" s="15"/>
      <c r="E49" s="15"/>
      <c r="F49" s="15"/>
      <c r="G49" s="15"/>
      <c r="H49" s="15"/>
      <c r="I49" s="45"/>
    </row>
    <row r="50" s="1" customFormat="1" ht="35" customHeight="1" spans="1:9">
      <c r="A50" s="34" t="str" cm="1">
        <f ca="1" t="array" ref="A50">IF((INDIRECT("'"&amp;INDIRECT("Main!B9")&amp;"'!A64"))=0,"",(INDIRECT("'"&amp;INDIRECT("Main!B9")&amp;"'!A64")))</f>
        <v/>
      </c>
      <c r="B50" s="34" t="str" cm="1">
        <f ca="1" t="array" ref="B50">IF((INDIRECT("'"&amp;INDIRECT("Main!B9")&amp;"'!B64"))=0,"",(INDIRECT("'"&amp;INDIRECT("Main!B9")&amp;"'!B64")))</f>
        <v/>
      </c>
      <c r="C50" s="35">
        <v>0</v>
      </c>
      <c r="D50" s="15"/>
      <c r="E50" s="15"/>
      <c r="F50" s="15"/>
      <c r="G50" s="15"/>
      <c r="H50" s="15"/>
      <c r="I50" s="45"/>
    </row>
    <row r="51" s="1" customFormat="1" ht="35" customHeight="1" spans="1:9">
      <c r="A51" s="34" t="str" cm="1">
        <f ca="1" t="array" ref="A51">IF((INDIRECT("'"&amp;INDIRECT("Main!B9")&amp;"'!A65"))=0,"",(INDIRECT("'"&amp;INDIRECT("Main!B9")&amp;"'!A65")))</f>
        <v/>
      </c>
      <c r="B51" s="34" t="str" cm="1">
        <f ca="1" t="array" ref="B51">IF((INDIRECT("'"&amp;INDIRECT("Main!B9")&amp;"'!B65"))=0,"",(INDIRECT("'"&amp;INDIRECT("Main!B9")&amp;"'!B65")))</f>
        <v/>
      </c>
      <c r="C51" s="35">
        <v>0</v>
      </c>
      <c r="D51" s="15"/>
      <c r="E51" s="15"/>
      <c r="F51" s="15"/>
      <c r="G51" s="15"/>
      <c r="H51" s="15"/>
      <c r="I51" s="45"/>
    </row>
    <row r="52" s="1" customFormat="1" ht="35" customHeight="1" spans="1:9">
      <c r="A52" s="34" t="str" cm="1">
        <f ca="1" t="array" ref="A52">IF((INDIRECT("'"&amp;INDIRECT("Main!B9")&amp;"'!A66"))=0,"",(INDIRECT("'"&amp;INDIRECT("Main!B9")&amp;"'!A66")))</f>
        <v/>
      </c>
      <c r="B52" s="34" t="str" cm="1">
        <f ca="1" t="array" ref="B52">IF((INDIRECT("'"&amp;INDIRECT("Main!B9")&amp;"'!B66"))=0,"",(INDIRECT("'"&amp;INDIRECT("Main!B9")&amp;"'!B66")))</f>
        <v/>
      </c>
      <c r="C52" s="35">
        <v>0</v>
      </c>
      <c r="D52" s="15"/>
      <c r="E52" s="15"/>
      <c r="F52" s="15"/>
      <c r="G52" s="15"/>
      <c r="H52" s="15"/>
      <c r="I52" s="45"/>
    </row>
    <row r="53" s="1" customFormat="1" ht="35" customHeight="1" spans="1:9">
      <c r="A53" s="34" t="str" cm="1">
        <f ca="1" t="array" ref="A53">IF((INDIRECT("'"&amp;INDIRECT("Main!B9")&amp;"'!A67"))=0,"",(INDIRECT("'"&amp;INDIRECT("Main!B9")&amp;"'!A67")))</f>
        <v/>
      </c>
      <c r="B53" s="34" t="str" cm="1">
        <f ca="1" t="array" ref="B53">IF((INDIRECT("'"&amp;INDIRECT("Main!B9")&amp;"'!B67"))=0,"",(INDIRECT("'"&amp;INDIRECT("Main!B9")&amp;"'!B67")))</f>
        <v/>
      </c>
      <c r="C53" s="35">
        <v>0</v>
      </c>
      <c r="D53" s="15"/>
      <c r="E53" s="15"/>
      <c r="F53" s="15"/>
      <c r="G53" s="15"/>
      <c r="H53" s="15"/>
      <c r="I53" s="45"/>
    </row>
    <row r="54" s="1" customFormat="1" ht="35" customHeight="1" spans="1:9">
      <c r="A54" s="34" t="str" cm="1">
        <f ca="1" t="array" ref="A54">IF((INDIRECT("'"&amp;INDIRECT("Main!B9")&amp;"'!A68"))=0,"",(INDIRECT("'"&amp;INDIRECT("Main!B9")&amp;"'!A68")))</f>
        <v/>
      </c>
      <c r="B54" s="34" t="str" cm="1">
        <f ca="1" t="array" ref="B54">IF((INDIRECT("'"&amp;INDIRECT("Main!B9")&amp;"'!B68"))=0,"",(INDIRECT("'"&amp;INDIRECT("Main!B9")&amp;"'!B68")))</f>
        <v/>
      </c>
      <c r="C54" s="35">
        <v>0</v>
      </c>
      <c r="D54" s="15"/>
      <c r="E54" s="15"/>
      <c r="F54" s="15"/>
      <c r="G54" s="15"/>
      <c r="H54" s="15"/>
      <c r="I54" s="45"/>
    </row>
    <row r="55" s="1" customFormat="1" ht="35" customHeight="1" spans="1:9">
      <c r="A55" s="36"/>
      <c r="B55" s="37" t="s">
        <v>48</v>
      </c>
      <c r="C55" s="35">
        <f>SUM(C47:C54)</f>
        <v>0</v>
      </c>
      <c r="D55" s="15"/>
      <c r="E55" s="15"/>
      <c r="F55" s="15"/>
      <c r="G55" s="15"/>
      <c r="H55" s="15"/>
      <c r="I55" s="45"/>
    </row>
    <row r="56" s="1" customFormat="1" ht="35" customHeight="1" spans="1:9">
      <c r="A56" s="83" t="s">
        <v>49</v>
      </c>
      <c r="B56" s="84"/>
      <c r="C56" s="85"/>
      <c r="D56" s="15"/>
      <c r="E56" s="15"/>
      <c r="F56" s="15"/>
      <c r="G56" s="15"/>
      <c r="H56" s="15"/>
      <c r="I56" s="45"/>
    </row>
    <row r="57" s="1" customFormat="1" ht="35" customHeight="1" spans="1:9">
      <c r="A57" s="34" t="str" cm="1">
        <f ca="1" t="array" ref="A57">IF((INDIRECT("'"&amp;INDIRECT("Main!B9")&amp;"'!A71"))=0,"",(INDIRECT("'"&amp;INDIRECT("Main!B9")&amp;"'!A71")))</f>
        <v/>
      </c>
      <c r="B57" s="34" t="str" cm="1">
        <f ca="1" t="array" ref="B57">IF((INDIRECT("'"&amp;INDIRECT("Main!B9")&amp;"'!B71"))=0,"",(INDIRECT("'"&amp;INDIRECT("Main!B9")&amp;"'!B71")))</f>
        <v/>
      </c>
      <c r="C57" s="35">
        <v>0</v>
      </c>
      <c r="D57" s="15"/>
      <c r="E57" s="15"/>
      <c r="F57" s="15"/>
      <c r="G57" s="15"/>
      <c r="H57" s="15"/>
      <c r="I57" s="45"/>
    </row>
    <row r="58" s="1" customFormat="1" ht="35" customHeight="1" spans="1:9">
      <c r="A58" s="34" t="str" cm="1">
        <f ca="1" t="array" ref="A58">IF((INDIRECT("'"&amp;INDIRECT("Main!B9")&amp;"'!A72"))=0,"",(INDIRECT("'"&amp;INDIRECT("Main!B9")&amp;"'!A72")))</f>
        <v/>
      </c>
      <c r="B58" s="34" t="str" cm="1">
        <f ca="1" t="array" ref="B58">IF((INDIRECT("'"&amp;INDIRECT("Main!B9")&amp;"'!B72"))=0,"",(INDIRECT("'"&amp;INDIRECT("Main!B9")&amp;"'!B72")))</f>
        <v/>
      </c>
      <c r="C58" s="35">
        <v>0</v>
      </c>
      <c r="D58" s="15"/>
      <c r="E58" s="15"/>
      <c r="F58" s="15"/>
      <c r="G58" s="15"/>
      <c r="H58" s="15"/>
      <c r="I58" s="45"/>
    </row>
    <row r="59" s="1" customFormat="1" ht="35" customHeight="1" spans="1:9">
      <c r="A59" s="34" t="str" cm="1">
        <f ca="1" t="array" ref="A59">IF((INDIRECT("'"&amp;INDIRECT("Main!B9")&amp;"'!A73"))=0,"",(INDIRECT("'"&amp;INDIRECT("Main!B9")&amp;"'!A73")))</f>
        <v/>
      </c>
      <c r="B59" s="34" t="str" cm="1">
        <f ca="1" t="array" ref="B59">IF((INDIRECT("'"&amp;INDIRECT("Main!B9")&amp;"'!B73"))=0,"",(INDIRECT("'"&amp;INDIRECT("Main!B9")&amp;"'!B73")))</f>
        <v/>
      </c>
      <c r="C59" s="35">
        <v>0</v>
      </c>
      <c r="D59" s="15"/>
      <c r="E59" s="15"/>
      <c r="F59" s="15"/>
      <c r="G59" s="15"/>
      <c r="H59" s="15"/>
      <c r="I59" s="45"/>
    </row>
    <row r="60" s="1" customFormat="1" ht="35" customHeight="1" spans="1:9">
      <c r="A60" s="34" t="str" cm="1">
        <f ca="1" t="array" ref="A60">IF((INDIRECT("'"&amp;INDIRECT("Main!B9")&amp;"'!A74"))=0,"",(INDIRECT("'"&amp;INDIRECT("Main!B9")&amp;"'!A74")))</f>
        <v/>
      </c>
      <c r="B60" s="34" t="str" cm="1">
        <f ca="1" t="array" ref="B60">IF((INDIRECT("'"&amp;INDIRECT("Main!B9")&amp;"'!B74"))=0,"",(INDIRECT("'"&amp;INDIRECT("Main!B9")&amp;"'!B74")))</f>
        <v/>
      </c>
      <c r="C60" s="35">
        <v>0</v>
      </c>
      <c r="D60" s="15"/>
      <c r="E60" s="15"/>
      <c r="F60" s="15"/>
      <c r="G60" s="15"/>
      <c r="H60" s="15"/>
      <c r="I60" s="45"/>
    </row>
    <row r="61" s="1" customFormat="1" ht="35" customHeight="1" spans="1:9">
      <c r="A61" s="34" t="str" cm="1">
        <f ca="1" t="array" ref="A61">IF((INDIRECT("'"&amp;INDIRECT("Main!B9")&amp;"'!A75"))=0,"",(INDIRECT("'"&amp;INDIRECT("Main!B9")&amp;"'!A75")))</f>
        <v/>
      </c>
      <c r="B61" s="34" t="str" cm="1">
        <f ca="1" t="array" ref="B61">IF((INDIRECT("'"&amp;INDIRECT("Main!B9")&amp;"'!B75"))=0,"",(INDIRECT("'"&amp;INDIRECT("Main!B9")&amp;"'!B75")))</f>
        <v/>
      </c>
      <c r="C61" s="35">
        <v>0</v>
      </c>
      <c r="D61" s="15"/>
      <c r="E61" s="15"/>
      <c r="F61" s="15"/>
      <c r="G61" s="15"/>
      <c r="H61" s="15"/>
      <c r="I61" s="45"/>
    </row>
    <row r="62" s="1" customFormat="1" ht="35" customHeight="1" spans="1:9">
      <c r="A62" s="34" t="str" cm="1">
        <f ca="1" t="array" ref="A62">IF((INDIRECT("'"&amp;INDIRECT("Main!B9")&amp;"'!A76"))=0,"",(INDIRECT("'"&amp;INDIRECT("Main!B9")&amp;"'!A76")))</f>
        <v/>
      </c>
      <c r="B62" s="34" t="str" cm="1">
        <f ca="1" t="array" ref="B62">IF((INDIRECT("'"&amp;INDIRECT("Main!B9")&amp;"'!B76"))=0,"",(INDIRECT("'"&amp;INDIRECT("Main!B9")&amp;"'!B76")))</f>
        <v/>
      </c>
      <c r="C62" s="35">
        <v>0</v>
      </c>
      <c r="D62" s="15"/>
      <c r="E62" s="15"/>
      <c r="F62" s="15"/>
      <c r="G62" s="15"/>
      <c r="H62" s="15"/>
      <c r="I62" s="45"/>
    </row>
    <row r="63" s="1" customFormat="1" ht="35" customHeight="1" spans="1:9">
      <c r="A63" s="34" t="str" cm="1">
        <f ca="1" t="array" ref="A63">IF((INDIRECT("'"&amp;INDIRECT("Main!B9")&amp;"'!A77"))=0,"",(INDIRECT("'"&amp;INDIRECT("Main!B9")&amp;"'!A77")))</f>
        <v/>
      </c>
      <c r="B63" s="34" t="str" cm="1">
        <f ca="1" t="array" ref="B63">IF((INDIRECT("'"&amp;INDIRECT("Main!B9")&amp;"'!B77"))=0,"",(INDIRECT("'"&amp;INDIRECT("Main!B9")&amp;"'!B77")))</f>
        <v/>
      </c>
      <c r="C63" s="35">
        <v>0</v>
      </c>
      <c r="D63" s="15"/>
      <c r="E63" s="15"/>
      <c r="F63" s="15"/>
      <c r="G63" s="15"/>
      <c r="H63" s="15"/>
      <c r="I63" s="45"/>
    </row>
    <row r="64" s="1" customFormat="1" ht="35" customHeight="1" spans="1:9">
      <c r="A64" s="34" t="str" cm="1">
        <f ca="1" t="array" ref="A64">IF((INDIRECT("'"&amp;INDIRECT("Main!B9")&amp;"'!A78"))=0,"",(INDIRECT("'"&amp;INDIRECT("Main!B9")&amp;"'!A78")))</f>
        <v/>
      </c>
      <c r="B64" s="34" t="str" cm="1">
        <f ca="1" t="array" ref="B64">IF((INDIRECT("'"&amp;INDIRECT("Main!B9")&amp;"'!B78"))=0,"",(INDIRECT("'"&amp;INDIRECT("Main!B9")&amp;"'!B78")))</f>
        <v/>
      </c>
      <c r="C64" s="35">
        <v>0</v>
      </c>
      <c r="D64" s="15"/>
      <c r="E64" s="15"/>
      <c r="F64" s="15"/>
      <c r="G64" s="15"/>
      <c r="H64" s="15"/>
      <c r="I64" s="45"/>
    </row>
    <row r="65" s="1" customFormat="1" ht="35" customHeight="1" spans="1:9">
      <c r="A65" s="34" t="str" cm="1">
        <f ca="1" t="array" ref="A65">IF((INDIRECT("'"&amp;INDIRECT("Main!B9")&amp;"'!A79"))=0,"",(INDIRECT("'"&amp;INDIRECT("Main!B9")&amp;"'!A79")))</f>
        <v/>
      </c>
      <c r="B65" s="34" t="str" cm="1">
        <f ca="1" t="array" ref="B65">IF((INDIRECT("'"&amp;INDIRECT("Main!B9")&amp;"'!B79"))=0,"",(INDIRECT("'"&amp;INDIRECT("Main!B9")&amp;"'!B79")))</f>
        <v/>
      </c>
      <c r="C65" s="35">
        <v>0</v>
      </c>
      <c r="D65" s="15"/>
      <c r="E65" s="15"/>
      <c r="F65" s="15"/>
      <c r="G65" s="15"/>
      <c r="H65" s="15"/>
      <c r="I65" s="45"/>
    </row>
    <row r="66" s="1" customFormat="1" ht="35" customHeight="1" spans="1:9">
      <c r="A66" s="46"/>
      <c r="B66" s="37" t="s">
        <v>48</v>
      </c>
      <c r="C66" s="35">
        <f>SUM(C57:C65)</f>
        <v>0</v>
      </c>
      <c r="D66" s="15"/>
      <c r="E66" s="15"/>
      <c r="F66" s="15"/>
      <c r="G66" s="15"/>
      <c r="H66" s="15"/>
      <c r="I66" s="45"/>
    </row>
    <row r="67" s="1" customFormat="1" ht="35" customHeight="1" spans="1:9">
      <c r="A67" s="83" t="s">
        <v>50</v>
      </c>
      <c r="B67" s="84"/>
      <c r="C67" s="85"/>
      <c r="D67" s="15"/>
      <c r="E67" s="15"/>
      <c r="F67" s="15"/>
      <c r="G67" s="15"/>
      <c r="H67" s="15"/>
      <c r="I67" s="45"/>
    </row>
    <row r="68" s="1" customFormat="1" ht="35" customHeight="1" spans="1:9">
      <c r="A68" s="47" t="str" cm="1">
        <f ca="1" t="array" ref="A68">IF((INDIRECT("'"&amp;INDIRECT("Main!B9")&amp;"'!A82"))=0,"",(INDIRECT("'"&amp;INDIRECT("Main!B9")&amp;"'!A82")))</f>
        <v/>
      </c>
      <c r="B68" s="47" t="str" cm="1">
        <f ca="1" t="array" ref="B68">IF((INDIRECT("'"&amp;INDIRECT("Main!B9")&amp;"'!B82"))=0,"",(INDIRECT("'"&amp;INDIRECT("Main!B9")&amp;"'!B82")))</f>
        <v/>
      </c>
      <c r="C68" s="35">
        <v>0</v>
      </c>
      <c r="D68" s="15"/>
      <c r="E68" s="15"/>
      <c r="F68" s="15"/>
      <c r="G68" s="15"/>
      <c r="H68" s="15"/>
      <c r="I68" s="45"/>
    </row>
    <row r="69" s="1" customFormat="1" ht="35" customHeight="1" spans="1:9">
      <c r="A69" s="47" t="str" cm="1">
        <f ca="1" t="array" ref="A69">IF((INDIRECT("'"&amp;INDIRECT("Main!B9")&amp;"'!A83"))=0,"",(INDIRECT("'"&amp;INDIRECT("Main!B9")&amp;"'!A83")))</f>
        <v/>
      </c>
      <c r="B69" s="47" t="str" cm="1">
        <f ca="1" t="array" ref="B69">IF((INDIRECT("'"&amp;INDIRECT("Main!B9")&amp;"'!B83"))=0,"",(INDIRECT("'"&amp;INDIRECT("Main!B9")&amp;"'!B83")))</f>
        <v/>
      </c>
      <c r="C69" s="35">
        <v>0</v>
      </c>
      <c r="D69" s="15"/>
      <c r="E69" s="15"/>
      <c r="F69" s="15"/>
      <c r="G69" s="15"/>
      <c r="H69" s="15"/>
      <c r="I69" s="45"/>
    </row>
    <row r="70" s="1" customFormat="1" ht="35" customHeight="1" spans="1:9">
      <c r="A70" s="47" t="str" cm="1">
        <f ca="1" t="array" ref="A70">IF((INDIRECT("'"&amp;INDIRECT("Main!B9")&amp;"'!A84"))=0,"",(INDIRECT("'"&amp;INDIRECT("Main!B9")&amp;"'!A84")))</f>
        <v/>
      </c>
      <c r="B70" s="47" t="str" cm="1">
        <f ca="1" t="array" ref="B70">IF((INDIRECT("'"&amp;INDIRECT("Main!B9")&amp;"'!B84"))=0,"",(INDIRECT("'"&amp;INDIRECT("Main!B9")&amp;"'!B84")))</f>
        <v/>
      </c>
      <c r="C70" s="35">
        <v>0</v>
      </c>
      <c r="D70" s="15"/>
      <c r="E70" s="15"/>
      <c r="F70" s="15"/>
      <c r="G70" s="15"/>
      <c r="H70" s="15"/>
      <c r="I70" s="45"/>
    </row>
    <row r="71" s="1" customFormat="1" ht="35" customHeight="1" spans="1:9">
      <c r="A71" s="47" t="str" cm="1">
        <f ca="1" t="array" ref="A71">IF((INDIRECT("'"&amp;INDIRECT("Main!B9")&amp;"'!A85"))=0,"",(INDIRECT("'"&amp;INDIRECT("Main!B9")&amp;"'!A85")))</f>
        <v/>
      </c>
      <c r="B71" s="47" t="str" cm="1">
        <f ca="1" t="array" ref="B71">IF((INDIRECT("'"&amp;INDIRECT("Main!B9")&amp;"'!B85"))=0,"",(INDIRECT("'"&amp;INDIRECT("Main!B9")&amp;"'!B85")))</f>
        <v/>
      </c>
      <c r="C71" s="35">
        <v>0</v>
      </c>
      <c r="D71" s="15"/>
      <c r="E71" s="15"/>
      <c r="F71" s="15"/>
      <c r="G71" s="15"/>
      <c r="H71" s="15"/>
      <c r="I71" s="45"/>
    </row>
    <row r="72" s="1" customFormat="1" ht="35" customHeight="1" spans="1:9">
      <c r="A72" s="47" t="str" cm="1">
        <f ca="1" t="array" ref="A72">IF((INDIRECT("'"&amp;INDIRECT("Main!B9")&amp;"'!A86"))=0,"",(INDIRECT("'"&amp;INDIRECT("Main!B9")&amp;"'!A86")))</f>
        <v/>
      </c>
      <c r="B72" s="47" t="str" cm="1">
        <f ca="1" t="array" ref="B72">IF((INDIRECT("'"&amp;INDIRECT("Main!B9")&amp;"'!B86"))=0,"",(INDIRECT("'"&amp;INDIRECT("Main!B9")&amp;"'!B86")))</f>
        <v/>
      </c>
      <c r="C72" s="35">
        <v>0</v>
      </c>
      <c r="D72" s="15"/>
      <c r="E72" s="15"/>
      <c r="F72" s="15"/>
      <c r="G72" s="15"/>
      <c r="H72" s="15"/>
      <c r="I72" s="45"/>
    </row>
    <row r="73" s="1" customFormat="1" ht="35" customHeight="1" spans="1:9">
      <c r="A73" s="47" t="str" cm="1">
        <f ca="1" t="array" ref="A73">IF((INDIRECT("'"&amp;INDIRECT("Main!B9")&amp;"'!A87"))=0,"",(INDIRECT("'"&amp;INDIRECT("Main!B9")&amp;"'!A87")))</f>
        <v/>
      </c>
      <c r="B73" s="47" t="str" cm="1">
        <f ca="1" t="array" ref="B73">IF((INDIRECT("'"&amp;INDIRECT("Main!B9")&amp;"'!B87"))=0,"",(INDIRECT("'"&amp;INDIRECT("Main!B9")&amp;"'!B87")))</f>
        <v/>
      </c>
      <c r="C73" s="35">
        <v>0</v>
      </c>
      <c r="D73" s="15"/>
      <c r="E73" s="15"/>
      <c r="F73" s="15"/>
      <c r="G73" s="15"/>
      <c r="H73" s="15"/>
      <c r="I73" s="45"/>
    </row>
    <row r="74" s="1" customFormat="1" ht="35" customHeight="1" spans="1:9">
      <c r="A74" s="47" t="str" cm="1">
        <f ca="1" t="array" ref="A74">IF((INDIRECT("'"&amp;INDIRECT("Main!B9")&amp;"'!A88"))=0,"",(INDIRECT("'"&amp;INDIRECT("Main!B9")&amp;"'!A88")))</f>
        <v/>
      </c>
      <c r="B74" s="47" t="str" cm="1">
        <f ca="1" t="array" ref="B74">IF((INDIRECT("'"&amp;INDIRECT("Main!B9")&amp;"'!B88"))=0,"",(INDIRECT("'"&amp;INDIRECT("Main!B9")&amp;"'!B88")))</f>
        <v/>
      </c>
      <c r="C74" s="35">
        <v>0</v>
      </c>
      <c r="D74" s="15"/>
      <c r="E74" s="15"/>
      <c r="F74" s="15"/>
      <c r="G74" s="15"/>
      <c r="H74" s="15"/>
      <c r="I74" s="45"/>
    </row>
    <row r="75" s="1" customFormat="1" ht="35" customHeight="1" spans="1:9">
      <c r="A75" s="46"/>
      <c r="B75" s="37" t="s">
        <v>48</v>
      </c>
      <c r="C75" s="35">
        <f>SUM(C68:C74)</f>
        <v>0</v>
      </c>
      <c r="D75" s="15"/>
      <c r="E75" s="15"/>
      <c r="F75" s="15"/>
      <c r="G75" s="15"/>
      <c r="H75" s="15"/>
      <c r="I75" s="45"/>
    </row>
    <row r="76" s="1" customFormat="1" ht="35" customHeight="1" spans="1:9">
      <c r="A76" s="83" t="s">
        <v>51</v>
      </c>
      <c r="B76" s="84"/>
      <c r="C76" s="85"/>
      <c r="D76" s="15"/>
      <c r="E76" s="15"/>
      <c r="F76" s="15"/>
      <c r="G76" s="15"/>
      <c r="H76" s="15"/>
      <c r="I76" s="45"/>
    </row>
    <row r="77" s="1" customFormat="1" ht="35" customHeight="1" spans="1:9">
      <c r="A77" s="34" t="str" cm="1">
        <f ca="1" t="array" ref="A77">IF((INDIRECT("'"&amp;INDIRECT("Main!B9")&amp;"'!A91"))=0,"",(INDIRECT("'"&amp;INDIRECT("Main!B9")&amp;"'!A91")))</f>
        <v/>
      </c>
      <c r="B77" s="34" t="str" cm="1">
        <f ca="1" t="array" ref="B77">IF((INDIRECT("'"&amp;INDIRECT("Main!B9")&amp;"'!B91"))=0,"",(INDIRECT("'"&amp;INDIRECT("Main!B9")&amp;"'!B91")))</f>
        <v/>
      </c>
      <c r="C77" s="35">
        <v>0</v>
      </c>
      <c r="D77" s="15"/>
      <c r="E77" s="15"/>
      <c r="F77" s="15"/>
      <c r="G77" s="15"/>
      <c r="H77" s="15"/>
      <c r="I77" s="45"/>
    </row>
    <row r="78" s="1" customFormat="1" ht="35" customHeight="1" spans="1:9">
      <c r="A78" s="34" t="str" cm="1">
        <f ca="1" t="array" ref="A78">IF((INDIRECT("'"&amp;INDIRECT("Main!B9")&amp;"'!A92"))=0,"",(INDIRECT("'"&amp;INDIRECT("Main!B9")&amp;"'!A92")))</f>
        <v/>
      </c>
      <c r="B78" s="34" t="str" cm="1">
        <f ca="1" t="array" ref="B78">IF((INDIRECT("'"&amp;INDIRECT("Main!B9")&amp;"'!B92"))=0,"",(INDIRECT("'"&amp;INDIRECT("Main!B9")&amp;"'!B92")))</f>
        <v/>
      </c>
      <c r="C78" s="35">
        <v>0</v>
      </c>
      <c r="D78" s="15"/>
      <c r="E78" s="15"/>
      <c r="F78" s="15"/>
      <c r="G78" s="15"/>
      <c r="H78" s="15"/>
      <c r="I78" s="45"/>
    </row>
    <row r="79" s="1" customFormat="1" ht="35" customHeight="1" spans="1:9">
      <c r="A79" s="34" t="str" cm="1">
        <f ca="1" t="array" ref="A79">IF((INDIRECT("'"&amp;INDIRECT("Main!B9")&amp;"'!A93"))=0,"",(INDIRECT("'"&amp;INDIRECT("Main!B9")&amp;"'!A93")))</f>
        <v/>
      </c>
      <c r="B79" s="34" t="str" cm="1">
        <f ca="1" t="array" ref="B79">IF((INDIRECT("'"&amp;INDIRECT("Main!B9")&amp;"'!B93"))=0,"",(INDIRECT("'"&amp;INDIRECT("Main!B9")&amp;"'!B93")))</f>
        <v/>
      </c>
      <c r="C79" s="35">
        <v>0</v>
      </c>
      <c r="D79" s="15"/>
      <c r="E79" s="15"/>
      <c r="F79" s="15"/>
      <c r="G79" s="15"/>
      <c r="H79" s="15"/>
      <c r="I79" s="45"/>
    </row>
    <row r="80" s="1" customFormat="1" ht="35" customHeight="1" spans="1:9">
      <c r="A80" s="34" t="str" cm="1">
        <f ca="1" t="array" ref="A80">IF((INDIRECT("'"&amp;INDIRECT("Main!B9")&amp;"'!A94"))=0,"",(INDIRECT("'"&amp;INDIRECT("Main!B9")&amp;"'!A94")))</f>
        <v/>
      </c>
      <c r="B80" s="34" t="str" cm="1">
        <f ca="1" t="array" ref="B80">IF((INDIRECT("'"&amp;INDIRECT("Main!B9")&amp;"'!B94"))=0,"",(INDIRECT("'"&amp;INDIRECT("Main!B9")&amp;"'!B94")))</f>
        <v/>
      </c>
      <c r="C80" s="35">
        <v>0</v>
      </c>
      <c r="D80" s="15"/>
      <c r="E80" s="15"/>
      <c r="F80" s="15"/>
      <c r="G80" s="15"/>
      <c r="H80" s="15"/>
      <c r="I80" s="45"/>
    </row>
    <row r="81" s="1" customFormat="1" ht="35" customHeight="1" spans="1:9">
      <c r="A81" s="34" t="str" cm="1">
        <f ca="1" t="array" ref="A81">IF((INDIRECT("'"&amp;INDIRECT("Main!B9")&amp;"'!A95"))=0,"",(INDIRECT("'"&amp;INDIRECT("Main!B9")&amp;"'!A95")))</f>
        <v/>
      </c>
      <c r="B81" s="34" t="str" cm="1">
        <f ca="1" t="array" ref="B81">IF((INDIRECT("'"&amp;INDIRECT("Main!B9")&amp;"'!B95"))=0,"",(INDIRECT("'"&amp;INDIRECT("Main!B9")&amp;"'!B95")))</f>
        <v/>
      </c>
      <c r="C81" s="35">
        <v>0</v>
      </c>
      <c r="D81" s="15"/>
      <c r="E81" s="15"/>
      <c r="F81" s="15"/>
      <c r="G81" s="15"/>
      <c r="H81" s="15"/>
      <c r="I81" s="45"/>
    </row>
    <row r="82" s="1" customFormat="1" ht="35" customHeight="1" spans="1:9">
      <c r="A82" s="34" t="str" cm="1">
        <f ca="1" t="array" ref="A82">IF((INDIRECT("'"&amp;INDIRECT("Main!B9")&amp;"'!A96"))=0,"",(INDIRECT("'"&amp;INDIRECT("Main!B9")&amp;"'!A96")))</f>
        <v/>
      </c>
      <c r="B82" s="34" t="str" cm="1">
        <f ca="1" t="array" ref="B82">IF((INDIRECT("'"&amp;INDIRECT("Main!B9")&amp;"'!B96"))=0,"",(INDIRECT("'"&amp;INDIRECT("Main!B9")&amp;"'!B96")))</f>
        <v/>
      </c>
      <c r="C82" s="35">
        <v>0</v>
      </c>
      <c r="D82" s="15"/>
      <c r="E82" s="15"/>
      <c r="F82" s="15"/>
      <c r="G82" s="15"/>
      <c r="H82" s="15"/>
      <c r="I82" s="45"/>
    </row>
    <row r="83" s="1" customFormat="1" ht="35" customHeight="1" spans="1:9">
      <c r="A83" s="34" t="str" cm="1">
        <f ca="1" t="array" ref="A83">IF((INDIRECT("'"&amp;INDIRECT("Main!B9")&amp;"'!A97"))=0,"",(INDIRECT("'"&amp;INDIRECT("Main!B9")&amp;"'!A97")))</f>
        <v/>
      </c>
      <c r="B83" s="34" t="str" cm="1">
        <f ca="1" t="array" ref="B83">IF((INDIRECT("'"&amp;INDIRECT("Main!B9")&amp;"'!B97"))=0,"",(INDIRECT("'"&amp;INDIRECT("Main!B9")&amp;"'!B97")))</f>
        <v/>
      </c>
      <c r="C83" s="35">
        <v>0</v>
      </c>
      <c r="D83" s="15"/>
      <c r="E83" s="15"/>
      <c r="F83" s="15"/>
      <c r="G83" s="15"/>
      <c r="H83" s="15"/>
      <c r="I83" s="45"/>
    </row>
    <row r="84" s="1" customFormat="1" ht="35" customHeight="1" spans="1:9">
      <c r="A84" s="34" t="str" cm="1">
        <f ca="1" t="array" ref="A84">IF((INDIRECT("'"&amp;INDIRECT("Main!B9")&amp;"'!A98"))=0,"",(INDIRECT("'"&amp;INDIRECT("Main!B9")&amp;"'!A98")))</f>
        <v/>
      </c>
      <c r="B84" s="34" t="str" cm="1">
        <f ca="1" t="array" ref="B84">IF((INDIRECT("'"&amp;INDIRECT("Main!B9")&amp;"'!B98"))=0,"",(INDIRECT("'"&amp;INDIRECT("Main!B9")&amp;"'!B98")))</f>
        <v/>
      </c>
      <c r="C84" s="35">
        <v>0</v>
      </c>
      <c r="D84" s="15"/>
      <c r="E84" s="15"/>
      <c r="F84" s="15"/>
      <c r="G84" s="15"/>
      <c r="H84" s="15"/>
      <c r="I84" s="45"/>
    </row>
    <row r="85" s="1" customFormat="1" ht="35" customHeight="1" spans="1:9">
      <c r="A85" s="46"/>
      <c r="B85" s="37" t="s">
        <v>48</v>
      </c>
      <c r="C85" s="35">
        <f>SUM(C77:C84)</f>
        <v>0</v>
      </c>
      <c r="D85" s="15"/>
      <c r="E85" s="15"/>
      <c r="F85" s="15"/>
      <c r="G85" s="15"/>
      <c r="H85" s="15"/>
      <c r="I85" s="45"/>
    </row>
    <row r="86" s="1" customFormat="1" ht="35" customHeight="1" spans="1:9">
      <c r="A86" s="83" t="s">
        <v>52</v>
      </c>
      <c r="B86" s="84"/>
      <c r="C86" s="85"/>
      <c r="D86" s="15"/>
      <c r="E86" s="15"/>
      <c r="F86" s="15"/>
      <c r="G86" s="15"/>
      <c r="H86" s="15"/>
      <c r="I86" s="45"/>
    </row>
    <row r="87" s="1" customFormat="1" ht="35" customHeight="1" spans="1:9">
      <c r="A87" s="34" t="str" cm="1">
        <f ca="1" t="array" ref="A87">IF((INDIRECT("'"&amp;INDIRECT("Main!B9")&amp;"'!A101"))=0,"",(INDIRECT("'"&amp;INDIRECT("Main!B9")&amp;"'!A101")))</f>
        <v/>
      </c>
      <c r="B87" s="34" t="str" cm="1">
        <f ca="1" t="array" ref="B87">IF((INDIRECT("'"&amp;INDIRECT("Main!B9")&amp;"'!B101"))=0,"",(INDIRECT("'"&amp;INDIRECT("Main!B9")&amp;"'!B101")))</f>
        <v/>
      </c>
      <c r="C87" s="35">
        <v>0</v>
      </c>
      <c r="D87" s="15"/>
      <c r="E87" s="15"/>
      <c r="F87" s="15"/>
      <c r="G87" s="15"/>
      <c r="H87" s="15"/>
      <c r="I87" s="45"/>
    </row>
    <row r="88" s="1" customFormat="1" ht="35" customHeight="1" spans="1:9">
      <c r="A88" s="34" t="str" cm="1">
        <f ca="1" t="array" ref="A88">IF((INDIRECT("'"&amp;INDIRECT("Main!B9")&amp;"'!A102"))=0,"",(INDIRECT("'"&amp;INDIRECT("Main!B9")&amp;"'!A102")))</f>
        <v/>
      </c>
      <c r="B88" s="34" t="str" cm="1">
        <f ca="1" t="array" ref="B88">IF((INDIRECT("'"&amp;INDIRECT("Main!B9")&amp;"'!B102"))=0,"",(INDIRECT("'"&amp;INDIRECT("Main!B9")&amp;"'!B102")))</f>
        <v/>
      </c>
      <c r="C88" s="35">
        <v>0</v>
      </c>
      <c r="D88" s="15"/>
      <c r="E88" s="15"/>
      <c r="F88" s="15"/>
      <c r="G88" s="15"/>
      <c r="H88" s="15"/>
      <c r="I88" s="45"/>
    </row>
    <row r="89" s="1" customFormat="1" ht="35" customHeight="1" spans="1:9">
      <c r="A89" s="34" t="str" cm="1">
        <f ca="1" t="array" ref="A89">IF((INDIRECT("'"&amp;INDIRECT("Main!B9")&amp;"'!A103"))=0,"",(INDIRECT("'"&amp;INDIRECT("Main!B9")&amp;"'!A103")))</f>
        <v/>
      </c>
      <c r="B89" s="34" t="str" cm="1">
        <f ca="1" t="array" ref="B89">IF((INDIRECT("'"&amp;INDIRECT("Main!B9")&amp;"'!B103"))=0,"",(INDIRECT("'"&amp;INDIRECT("Main!B9")&amp;"'!B103")))</f>
        <v/>
      </c>
      <c r="C89" s="35">
        <v>0</v>
      </c>
      <c r="D89" s="15"/>
      <c r="E89" s="15"/>
      <c r="F89" s="15"/>
      <c r="G89" s="15"/>
      <c r="H89" s="15"/>
      <c r="I89" s="45"/>
    </row>
    <row r="90" s="1" customFormat="1" ht="35" customHeight="1" spans="1:9">
      <c r="A90" s="34" t="str" cm="1">
        <f ca="1" t="array" ref="A90">IF((INDIRECT("'"&amp;INDIRECT("Main!B9")&amp;"'!A104"))=0,"",(INDIRECT("'"&amp;INDIRECT("Main!B9")&amp;"'!A104")))</f>
        <v/>
      </c>
      <c r="B90" s="34" t="str" cm="1">
        <f ca="1" t="array" ref="B90">IF((INDIRECT("'"&amp;INDIRECT("Main!B9")&amp;"'!B104"))=0,"",(INDIRECT("'"&amp;INDIRECT("Main!B9")&amp;"'!B104")))</f>
        <v/>
      </c>
      <c r="C90" s="35">
        <v>0</v>
      </c>
      <c r="D90" s="15"/>
      <c r="E90" s="62"/>
      <c r="F90" s="15"/>
      <c r="G90" s="15"/>
      <c r="H90" s="15"/>
      <c r="I90" s="45"/>
    </row>
    <row r="91" s="1" customFormat="1" ht="35" customHeight="1" spans="1:9">
      <c r="A91" s="34" t="str" cm="1">
        <f ca="1" t="array" ref="A91">IF((INDIRECT("'"&amp;INDIRECT("Main!B9")&amp;"'!A105"))=0,"",(INDIRECT("'"&amp;INDIRECT("Main!B9")&amp;"'!A105")))</f>
        <v/>
      </c>
      <c r="B91" s="34" t="str" cm="1">
        <f ca="1" t="array" ref="B91">IF((INDIRECT("'"&amp;INDIRECT("Main!B9")&amp;"'!B105"))=0,"",(INDIRECT("'"&amp;INDIRECT("Main!B9")&amp;"'!B105")))</f>
        <v/>
      </c>
      <c r="C91" s="35">
        <v>0</v>
      </c>
      <c r="D91" s="15"/>
      <c r="E91" s="15"/>
      <c r="F91" s="15"/>
      <c r="G91" s="15"/>
      <c r="H91" s="15"/>
      <c r="I91" s="45"/>
    </row>
    <row r="92" s="1" customFormat="1" ht="35" customHeight="1" spans="1:9">
      <c r="A92" s="34" t="str" cm="1">
        <f ca="1" t="array" ref="A92">IF((INDIRECT("'"&amp;INDIRECT("Main!B9")&amp;"'!A106"))=0,"",(INDIRECT("'"&amp;INDIRECT("Main!B9")&amp;"'!A106")))</f>
        <v/>
      </c>
      <c r="B92" s="34" t="str" cm="1">
        <f ca="1" t="array" ref="B92">IF((INDIRECT("'"&amp;INDIRECT("Main!B9")&amp;"'!B106"))=0,"",(INDIRECT("'"&amp;INDIRECT("Main!B9")&amp;"'!B106")))</f>
        <v/>
      </c>
      <c r="C92" s="35">
        <v>0</v>
      </c>
      <c r="D92" s="15"/>
      <c r="E92" s="15"/>
      <c r="F92" s="15"/>
      <c r="G92" s="15"/>
      <c r="H92" s="15"/>
      <c r="I92" s="45"/>
    </row>
    <row r="93" s="1" customFormat="1" ht="35" customHeight="1" spans="1:9">
      <c r="A93" s="34" t="str" cm="1">
        <f ca="1" t="array" ref="A93">IF((INDIRECT("'"&amp;INDIRECT("Main!B9")&amp;"'!A107"))=0,"",(INDIRECT("'"&amp;INDIRECT("Main!B9")&amp;"'!A107")))</f>
        <v/>
      </c>
      <c r="B93" s="34" t="str" cm="1">
        <f ca="1" t="array" ref="B93">IF((INDIRECT("'"&amp;INDIRECT("Main!B9")&amp;"'!B107"))=0,"",(INDIRECT("'"&amp;INDIRECT("Main!B9")&amp;"'!B107")))</f>
        <v/>
      </c>
      <c r="C93" s="35">
        <v>0</v>
      </c>
      <c r="D93" s="15"/>
      <c r="E93" s="15"/>
      <c r="F93" s="15"/>
      <c r="G93" s="15"/>
      <c r="H93" s="15"/>
      <c r="I93" s="45"/>
    </row>
    <row r="94" s="1" customFormat="1" ht="35" customHeight="1" spans="1:9">
      <c r="A94" s="34" t="str" cm="1">
        <f ca="1" t="array" ref="A94">IF((INDIRECT("'"&amp;INDIRECT("Main!B9")&amp;"'!A108"))=0,"",(INDIRECT("'"&amp;INDIRECT("Main!B9")&amp;"'!A108")))</f>
        <v/>
      </c>
      <c r="B94" s="34" t="str" cm="1">
        <f ca="1" t="array" ref="B94">IF((INDIRECT("'"&amp;INDIRECT("Main!B9")&amp;"'!B108"))=0,"",(INDIRECT("'"&amp;INDIRECT("Main!B9")&amp;"'!B108")))</f>
        <v/>
      </c>
      <c r="C94" s="35">
        <v>0</v>
      </c>
      <c r="D94" s="15"/>
      <c r="E94" s="15"/>
      <c r="F94" s="15"/>
      <c r="G94" s="15"/>
      <c r="H94" s="15"/>
      <c r="I94" s="45"/>
    </row>
    <row r="95" s="1" customFormat="1" ht="35" customHeight="1" spans="1:9">
      <c r="A95" s="47"/>
      <c r="B95" s="37" t="s">
        <v>48</v>
      </c>
      <c r="C95" s="35">
        <f>SUM(C87:C94)</f>
        <v>0</v>
      </c>
      <c r="D95" s="15"/>
      <c r="E95" s="15"/>
      <c r="F95" s="15"/>
      <c r="G95" s="15"/>
      <c r="H95" s="15"/>
      <c r="I95" s="45"/>
    </row>
    <row r="96" s="1" customFormat="1" ht="35" customHeight="1" spans="1:9">
      <c r="A96" s="46"/>
      <c r="B96" s="37" t="s">
        <v>53</v>
      </c>
      <c r="C96" s="35">
        <f>C55+C66+C75+C85+C95</f>
        <v>0</v>
      </c>
      <c r="D96" s="15"/>
      <c r="E96" s="15"/>
      <c r="F96" s="15"/>
      <c r="G96" s="15"/>
      <c r="H96" s="15"/>
      <c r="I96" s="45"/>
    </row>
    <row r="97" s="1" customFormat="1" ht="35" customHeight="1" spans="1:9">
      <c r="A97" s="83" t="s">
        <v>54</v>
      </c>
      <c r="B97" s="84"/>
      <c r="C97" s="85"/>
      <c r="D97" s="15"/>
      <c r="E97" s="15"/>
      <c r="F97" s="15"/>
      <c r="G97" s="15"/>
      <c r="H97" s="15"/>
      <c r="I97" s="45"/>
    </row>
    <row r="98" s="1" customFormat="1" ht="35" customHeight="1" spans="1:9">
      <c r="A98" s="34" t="str" cm="1">
        <f ca="1" t="array" ref="A98">IF((INDIRECT("'"&amp;INDIRECT("Main!B9")&amp;"'!A112"))=0,"",(INDIRECT("'"&amp;INDIRECT("Main!B9")&amp;"'!A112")))</f>
        <v/>
      </c>
      <c r="B98" s="34" t="str" cm="1">
        <f ca="1" t="array" ref="B98">IF((INDIRECT("'"&amp;INDIRECT("Main!B9")&amp;"'!B112"))=0,"",(INDIRECT("'"&amp;INDIRECT("Main!B9")&amp;"'!B112")))</f>
        <v/>
      </c>
      <c r="C98" s="86" cm="1">
        <f ca="1" t="array" ref="C98">INDIRECT("'"&amp;INDIRECT("Main!B21")&amp;"'!C98")+SUM(E118+E145+E172)</f>
        <v>0</v>
      </c>
      <c r="D98" s="15"/>
      <c r="E98" s="15"/>
      <c r="F98" s="15"/>
      <c r="G98" s="15"/>
      <c r="H98" s="15"/>
      <c r="I98" s="45"/>
    </row>
    <row r="99" s="1" customFormat="1" ht="35" customHeight="1" spans="1:9">
      <c r="A99" s="34" t="str" cm="1">
        <f ca="1" t="array" ref="A99">IF((INDIRECT("'"&amp;INDIRECT("Main!B9")&amp;"'!A113"))=0,"",(INDIRECT("'"&amp;INDIRECT("Main!B9")&amp;"'!A113")))</f>
        <v/>
      </c>
      <c r="B99" s="34" t="str" cm="1">
        <f ca="1" t="array" ref="B99">IF((INDIRECT("'"&amp;INDIRECT("Main!B9")&amp;"'!B113"))=0,"",(INDIRECT("'"&amp;INDIRECT("Main!B9")&amp;"'!B113")))</f>
        <v/>
      </c>
      <c r="C99" s="86" cm="1">
        <f ca="1" t="array" ref="C99">INDIRECT("'"&amp;INDIRECT("Main!B21")&amp;"'!C99")+SUM(E119+E146+E173)</f>
        <v>0</v>
      </c>
      <c r="D99" s="15"/>
      <c r="E99" s="15"/>
      <c r="F99" s="15"/>
      <c r="G99" s="15"/>
      <c r="H99" s="15"/>
      <c r="I99" s="45"/>
    </row>
    <row r="100" s="1" customFormat="1" ht="35" customHeight="1" spans="1:9">
      <c r="A100" s="34" t="str" cm="1">
        <f ca="1" t="array" ref="A100">IF((INDIRECT("'"&amp;INDIRECT("Main!B9")&amp;"'!A114"))=0,"",(INDIRECT("'"&amp;INDIRECT("Main!B9")&amp;"'!A114")))</f>
        <v/>
      </c>
      <c r="B100" s="34" t="str" cm="1">
        <f ca="1" t="array" ref="B100">IF((INDIRECT("'"&amp;INDIRECT("Main!B9")&amp;"'!B114"))=0,"",(INDIRECT("'"&amp;INDIRECT("Main!B9")&amp;"'!B114")))</f>
        <v/>
      </c>
      <c r="C100" s="86" cm="1">
        <f ca="1" t="array" ref="C100">INDIRECT("'"&amp;INDIRECT("Main!B21")&amp;"'!C100")+SUM(E120+E147+E174)</f>
        <v>0</v>
      </c>
      <c r="D100" s="15"/>
      <c r="E100" s="15"/>
      <c r="F100" s="15"/>
      <c r="G100" s="15"/>
      <c r="H100" s="15"/>
      <c r="I100" s="45"/>
    </row>
    <row r="101" s="1" customFormat="1" ht="35" customHeight="1" spans="1:9">
      <c r="A101" s="34" t="str" cm="1">
        <f ca="1" t="array" ref="A101">IF((INDIRECT("'"&amp;INDIRECT("Main!B9")&amp;"'!A115"))=0,"",(INDIRECT("'"&amp;INDIRECT("Main!B9")&amp;"'!A115")))</f>
        <v/>
      </c>
      <c r="B101" s="34" t="str" cm="1">
        <f ca="1" t="array" ref="B101">IF((INDIRECT("'"&amp;INDIRECT("Main!B9")&amp;"'!B115"))=0,"",(INDIRECT("'"&amp;INDIRECT("Main!B9")&amp;"'!B115")))</f>
        <v/>
      </c>
      <c r="C101" s="86" cm="1">
        <f ca="1" t="array" ref="C101">INDIRECT("'"&amp;INDIRECT("Main!B21")&amp;"'!C101")+SUM(E121+E148+E175)</f>
        <v>0</v>
      </c>
      <c r="D101" s="15"/>
      <c r="E101" s="15"/>
      <c r="F101" s="15"/>
      <c r="G101" s="15"/>
      <c r="H101" s="15"/>
      <c r="I101" s="45"/>
    </row>
    <row r="102" s="1" customFormat="1" ht="35" customHeight="1" spans="1:9">
      <c r="A102" s="34" t="str" cm="1">
        <f ca="1" t="array" ref="A102">IF((INDIRECT("'"&amp;INDIRECT("Main!B9")&amp;"'!A116"))=0,"",(INDIRECT("'"&amp;INDIRECT("Main!B9")&amp;"'!A116")))</f>
        <v/>
      </c>
      <c r="B102" s="34" t="str" cm="1">
        <f ca="1" t="array" ref="B102">IF((INDIRECT("'"&amp;INDIRECT("Main!B9")&amp;"'!B116"))=0,"",(INDIRECT("'"&amp;INDIRECT("Main!B9")&amp;"'!B116")))</f>
        <v/>
      </c>
      <c r="C102" s="86" cm="1">
        <f ca="1" t="array" ref="C102">INDIRECT("'"&amp;INDIRECT("Main!B21")&amp;"'!C102")+SUM(E122+E149+E176)</f>
        <v>0</v>
      </c>
      <c r="D102" s="15"/>
      <c r="E102" s="15"/>
      <c r="F102" s="15"/>
      <c r="G102" s="15"/>
      <c r="H102" s="15"/>
      <c r="I102" s="45"/>
    </row>
    <row r="103" s="1" customFormat="1" ht="35" customHeight="1" spans="1:9">
      <c r="A103" s="34" t="str" cm="1">
        <f ca="1" t="array" ref="A103">IF((INDIRECT("'"&amp;INDIRECT("Main!B9")&amp;"'!A117"))=0,"",(INDIRECT("'"&amp;INDIRECT("Main!B9")&amp;"'!A117")))</f>
        <v/>
      </c>
      <c r="B103" s="34" t="str" cm="1">
        <f ca="1" t="array" ref="B103">IF((INDIRECT("'"&amp;INDIRECT("Main!B9")&amp;"'!B117"))=0,"",(INDIRECT("'"&amp;INDIRECT("Main!B9")&amp;"'!B117")))</f>
        <v/>
      </c>
      <c r="C103" s="86" cm="1">
        <f ca="1" t="array" ref="C103">INDIRECT("'"&amp;INDIRECT("Main!B21")&amp;"'!C103")+SUM(E123+E150+E177)</f>
        <v>0</v>
      </c>
      <c r="D103" s="15"/>
      <c r="E103" s="15"/>
      <c r="F103" s="15"/>
      <c r="G103" s="15"/>
      <c r="H103" s="15"/>
      <c r="I103" s="45"/>
    </row>
    <row r="104" s="1" customFormat="1" ht="35" customHeight="1" spans="1:9">
      <c r="A104" s="34" t="str" cm="1">
        <f ca="1" t="array" ref="A104">IF((INDIRECT("'"&amp;INDIRECT("Main!B9")&amp;"'!A118"))=0,"",(INDIRECT("'"&amp;INDIRECT("Main!B9")&amp;"'!A118")))</f>
        <v/>
      </c>
      <c r="B104" s="34" t="str" cm="1">
        <f ca="1" t="array" ref="B104">IF((INDIRECT("'"&amp;INDIRECT("Main!B9")&amp;"'!B118"))=0,"",(INDIRECT("'"&amp;INDIRECT("Main!B9")&amp;"'!B118")))</f>
        <v/>
      </c>
      <c r="C104" s="86" cm="1">
        <f ca="1" t="array" ref="C104">INDIRECT("'"&amp;INDIRECT("Main!B21")&amp;"'!C104")+SUM(E124+E151+E178)</f>
        <v>0</v>
      </c>
      <c r="D104" s="15"/>
      <c r="E104" s="15"/>
      <c r="F104" s="15"/>
      <c r="G104" s="15"/>
      <c r="H104" s="15"/>
      <c r="I104" s="45"/>
    </row>
    <row r="105" s="1" customFormat="1" ht="35" customHeight="1" spans="1:9">
      <c r="A105" s="34" t="str" cm="1">
        <f ca="1" t="array" ref="A105">IF((INDIRECT("'"&amp;INDIRECT("Main!B9")&amp;"'!A119"))=0,"",(INDIRECT("'"&amp;INDIRECT("Main!B9")&amp;"'!A119")))</f>
        <v/>
      </c>
      <c r="B105" s="34" t="str" cm="1">
        <f ca="1" t="array" ref="B105">IF((INDIRECT("'"&amp;INDIRECT("Main!B9")&amp;"'!B119"))=0,"",(INDIRECT("'"&amp;INDIRECT("Main!B9")&amp;"'!B119")))</f>
        <v/>
      </c>
      <c r="C105" s="86" cm="1">
        <f ca="1" t="array" ref="C105">INDIRECT("'"&amp;INDIRECT("Main!B21")&amp;"'!C105")+SUM(E125+E152+E179)</f>
        <v>0</v>
      </c>
      <c r="D105" s="15"/>
      <c r="E105" s="15"/>
      <c r="F105" s="15"/>
      <c r="G105" s="15"/>
      <c r="H105" s="15"/>
      <c r="I105" s="45"/>
    </row>
    <row r="106" s="1" customFormat="1" ht="35" customHeight="1" spans="1:9">
      <c r="A106" s="34" t="str" cm="1">
        <f ca="1" t="array" ref="A106">IF((INDIRECT("'"&amp;INDIRECT("Main!B9")&amp;"'!A120"))=0,"",(INDIRECT("'"&amp;INDIRECT("Main!B9")&amp;"'!A120")))</f>
        <v/>
      </c>
      <c r="B106" s="34" t="str" cm="1">
        <f ca="1" t="array" ref="B106">IF((INDIRECT("'"&amp;INDIRECT("Main!B9")&amp;"'!B120"))=0,"",(INDIRECT("'"&amp;INDIRECT("Main!B9")&amp;"'!B120")))</f>
        <v/>
      </c>
      <c r="C106" s="86" cm="1">
        <f ca="1" t="array" ref="C106">INDIRECT("'"&amp;INDIRECT("Main!B21")&amp;"'!C106")+SUM(E126+E153+E180)</f>
        <v>0</v>
      </c>
      <c r="D106" s="15"/>
      <c r="E106" s="15"/>
      <c r="F106" s="15"/>
      <c r="G106" s="15"/>
      <c r="H106" s="15"/>
      <c r="I106" s="45"/>
    </row>
    <row r="107" s="1" customFormat="1" ht="35" customHeight="1" spans="1:9">
      <c r="A107" s="34" t="str" cm="1">
        <f ca="1" t="array" ref="A107">IF((INDIRECT("'"&amp;INDIRECT("Main!B9")&amp;"'!A121"))=0,"",(INDIRECT("'"&amp;INDIRECT("Main!B9")&amp;"'!A121")))</f>
        <v/>
      </c>
      <c r="B107" s="34" t="str" cm="1">
        <f ca="1" t="array" ref="B107">IF((INDIRECT("'"&amp;INDIRECT("Main!B9")&amp;"'!B121"))=0,"",(INDIRECT("'"&amp;INDIRECT("Main!B9")&amp;"'!B121")))</f>
        <v/>
      </c>
      <c r="C107" s="86" cm="1">
        <f ca="1" t="array" ref="C107">INDIRECT("'"&amp;INDIRECT("Main!B21")&amp;"'!C107")+SUM(E127+E154+E181)</f>
        <v>0</v>
      </c>
      <c r="D107" s="15"/>
      <c r="E107" s="15"/>
      <c r="F107" s="15"/>
      <c r="G107" s="15"/>
      <c r="H107" s="15"/>
      <c r="I107" s="45"/>
    </row>
    <row r="108" s="1" customFormat="1" ht="35" customHeight="1" spans="1:9">
      <c r="A108" s="46"/>
      <c r="B108" s="37" t="s">
        <v>55</v>
      </c>
      <c r="C108" s="86">
        <f ca="1">SUM(C98:C107)</f>
        <v>0</v>
      </c>
      <c r="D108" s="15"/>
      <c r="E108" s="15"/>
      <c r="F108" s="15"/>
      <c r="G108" s="15"/>
      <c r="H108" s="15"/>
      <c r="I108" s="45"/>
    </row>
    <row r="109" s="1" customFormat="1" ht="35" customHeight="1" spans="1:9">
      <c r="A109" s="46"/>
      <c r="B109" s="37" t="s">
        <v>56</v>
      </c>
      <c r="C109" s="86">
        <f ca="1">C108-C96</f>
        <v>0</v>
      </c>
      <c r="D109" s="15"/>
      <c r="E109" s="15"/>
      <c r="F109" s="15"/>
      <c r="G109" s="15"/>
      <c r="H109" s="15"/>
      <c r="I109" s="45"/>
    </row>
    <row r="110" s="1" customFormat="1" ht="35" customHeight="1" spans="1:9">
      <c r="A110" s="15"/>
      <c r="B110" s="15"/>
      <c r="C110" s="15"/>
      <c r="D110" s="15"/>
      <c r="E110" s="15"/>
      <c r="F110" s="15"/>
      <c r="G110" s="15"/>
      <c r="H110" s="15"/>
      <c r="I110" s="45"/>
    </row>
    <row r="111" s="1" customFormat="1" ht="35" customHeight="1" spans="1:9">
      <c r="A111" s="15"/>
      <c r="B111" s="15"/>
      <c r="C111" s="15"/>
      <c r="D111" s="15"/>
      <c r="E111" s="15"/>
      <c r="F111" s="15"/>
      <c r="G111" s="15"/>
      <c r="H111" s="15"/>
      <c r="I111" s="45"/>
    </row>
    <row r="112" s="1" customFormat="1" ht="35" customHeight="1" spans="1:9">
      <c r="A112" s="15"/>
      <c r="B112" s="15"/>
      <c r="C112" s="15"/>
      <c r="D112" s="15"/>
      <c r="E112" s="15"/>
      <c r="F112" s="15"/>
      <c r="G112" s="15"/>
      <c r="H112" s="15"/>
      <c r="I112" s="45"/>
    </row>
    <row r="113" s="1" customFormat="1" ht="35" customHeight="1" spans="1:9">
      <c r="A113" s="15"/>
      <c r="B113" s="15"/>
      <c r="C113" s="15"/>
      <c r="D113" s="15"/>
      <c r="E113" s="15"/>
      <c r="F113" s="15"/>
      <c r="G113" s="15"/>
      <c r="H113" s="15"/>
      <c r="I113" s="45"/>
    </row>
    <row r="114" s="1" customFormat="1" ht="35" customHeight="1" spans="1:9">
      <c r="A114" s="48" t="str">
        <f>"Debts Or Credits For the Comming "&amp;IF(Main!B2,TEXT(EDATE(Main!B3,15),"mmmm dd yyyy"),TEXT(Main!B3+((Main!B5-Main!B3)*15+15),"mmmm dd yyyy"))&amp;" to "&amp;IF(Main!B2,TEXT(EDATE(Main!B3,16)-1,"mmmm dd yyyy"),TEXT(Main!B3+((Main!B5-Main!B3)*16+15),"mmmm dd yyyy"))</f>
        <v>Debts Or Credits For the Comming August 01 2026 to August 31 2026</v>
      </c>
      <c r="B114" s="49"/>
      <c r="C114" s="49"/>
      <c r="D114" s="49"/>
      <c r="E114" s="50"/>
      <c r="F114" s="15"/>
      <c r="G114" s="15"/>
      <c r="H114" s="15"/>
      <c r="I114" s="45"/>
    </row>
    <row r="115" s="1" customFormat="1" ht="35" customHeight="1" spans="1:9">
      <c r="A115" s="48" t="s">
        <v>57</v>
      </c>
      <c r="B115" s="50"/>
      <c r="C115" s="48" t="s">
        <v>44</v>
      </c>
      <c r="D115" s="50"/>
      <c r="E115" s="64" t="s">
        <v>45</v>
      </c>
      <c r="F115" s="15"/>
      <c r="G115" s="15"/>
      <c r="H115" s="15"/>
      <c r="I115" s="45"/>
    </row>
    <row r="116" s="1" customFormat="1" ht="35" customHeight="1" spans="1:9">
      <c r="A116" s="51" t="str">
        <f>"Balance Brought Forward From "&amp;IF(Main!B2,TEXT(EDATE(Main!B3,15)-1,"mmmm yyyy"),TEXT(Main!B3+((Main!B5-Main!B3)*15+14),"mmmm yyyy"))</f>
        <v>Balance Brought Forward From July 2026</v>
      </c>
      <c r="B116" s="52"/>
      <c r="C116" s="53"/>
      <c r="D116" s="53"/>
      <c r="E116" s="65" cm="1">
        <f ca="1" t="array" ref="E116">INDIRECT("'"&amp;INDIRECT("Main!B21")&amp;"'!E190")</f>
        <v>0</v>
      </c>
      <c r="F116" s="15"/>
      <c r="G116" s="15"/>
      <c r="H116" s="15"/>
      <c r="I116" s="45"/>
    </row>
    <row r="117" s="1" customFormat="1" ht="35" customHeight="1" spans="1:9">
      <c r="A117" s="54" t="s">
        <v>52</v>
      </c>
      <c r="B117" s="55"/>
      <c r="C117" s="56" t="s">
        <v>58</v>
      </c>
      <c r="D117" s="57"/>
      <c r="E117" s="66"/>
      <c r="F117" s="15"/>
      <c r="G117" s="15"/>
      <c r="H117" s="15"/>
      <c r="I117" s="45"/>
    </row>
    <row r="118" s="1" customFormat="1" ht="35" customHeight="1" spans="1:9">
      <c r="A118" s="58"/>
      <c r="B118" s="59"/>
      <c r="C118" s="60"/>
      <c r="D118" s="61"/>
      <c r="E118" s="35">
        <v>0</v>
      </c>
      <c r="F118" s="15"/>
      <c r="G118" s="15"/>
      <c r="H118" s="15"/>
      <c r="I118" s="45"/>
    </row>
    <row r="119" s="1" customFormat="1" ht="35" customHeight="1" spans="1:9">
      <c r="A119" s="58"/>
      <c r="B119" s="59"/>
      <c r="C119" s="60"/>
      <c r="D119" s="61"/>
      <c r="E119" s="35">
        <v>0</v>
      </c>
      <c r="F119" s="15"/>
      <c r="G119" s="15"/>
      <c r="H119" s="15"/>
      <c r="I119" s="45"/>
    </row>
    <row r="120" s="1" customFormat="1" ht="35" customHeight="1" spans="1:9">
      <c r="A120" s="58"/>
      <c r="B120" s="59"/>
      <c r="C120" s="60"/>
      <c r="D120" s="61"/>
      <c r="E120" s="35">
        <v>0</v>
      </c>
      <c r="F120" s="15"/>
      <c r="G120" s="15"/>
      <c r="H120" s="15"/>
      <c r="I120" s="45"/>
    </row>
    <row r="121" s="1" customFormat="1" ht="35" customHeight="1" spans="1:9">
      <c r="A121" s="58"/>
      <c r="B121" s="59"/>
      <c r="C121" s="60"/>
      <c r="D121" s="61"/>
      <c r="E121" s="35">
        <v>0</v>
      </c>
      <c r="F121" s="15"/>
      <c r="G121" s="15"/>
      <c r="H121" s="15"/>
      <c r="I121" s="45"/>
    </row>
    <row r="122" s="1" customFormat="1" ht="35" customHeight="1" spans="1:9">
      <c r="A122" s="58"/>
      <c r="B122" s="59"/>
      <c r="C122" s="60"/>
      <c r="D122" s="61"/>
      <c r="E122" s="35">
        <v>0</v>
      </c>
      <c r="F122" s="15"/>
      <c r="G122" s="15"/>
      <c r="H122" s="15"/>
      <c r="I122" s="45"/>
    </row>
    <row r="123" s="1" customFormat="1" ht="35" customHeight="1" spans="1:9">
      <c r="A123" s="58"/>
      <c r="B123" s="59"/>
      <c r="C123" s="60"/>
      <c r="D123" s="61"/>
      <c r="E123" s="35">
        <v>0</v>
      </c>
      <c r="F123" s="15"/>
      <c r="G123" s="15"/>
      <c r="H123" s="15"/>
      <c r="I123" s="45"/>
    </row>
    <row r="124" s="1" customFormat="1" ht="35" customHeight="1" spans="1:9">
      <c r="A124" s="58"/>
      <c r="B124" s="59"/>
      <c r="C124" s="60"/>
      <c r="D124" s="61"/>
      <c r="E124" s="35">
        <v>0</v>
      </c>
      <c r="F124" s="15"/>
      <c r="G124" s="15"/>
      <c r="H124" s="15"/>
      <c r="I124" s="45"/>
    </row>
    <row r="125" s="1" customFormat="1" ht="35" customHeight="1" spans="1:9">
      <c r="A125" s="58"/>
      <c r="B125" s="59"/>
      <c r="C125" s="60"/>
      <c r="D125" s="61"/>
      <c r="E125" s="35">
        <v>0</v>
      </c>
      <c r="F125" s="15"/>
      <c r="G125" s="15"/>
      <c r="H125" s="15"/>
      <c r="I125" s="45"/>
    </row>
    <row r="126" s="1" customFormat="1" ht="35" customHeight="1" spans="1:9">
      <c r="A126" s="58"/>
      <c r="B126" s="59"/>
      <c r="C126" s="60"/>
      <c r="D126" s="61"/>
      <c r="E126" s="35">
        <v>0</v>
      </c>
      <c r="F126" s="15"/>
      <c r="G126" s="15"/>
      <c r="H126" s="15"/>
      <c r="I126" s="45"/>
    </row>
    <row r="127" s="1" customFormat="1" ht="35" customHeight="1" spans="1:9">
      <c r="A127" s="58"/>
      <c r="B127" s="59"/>
      <c r="C127" s="60"/>
      <c r="D127" s="61"/>
      <c r="E127" s="35">
        <v>0</v>
      </c>
      <c r="F127" s="15"/>
      <c r="G127" s="15"/>
      <c r="H127" s="15"/>
      <c r="I127" s="45"/>
    </row>
    <row r="128" s="1" customFormat="1" ht="35" customHeight="1" spans="1:9">
      <c r="A128" s="58"/>
      <c r="B128" s="59"/>
      <c r="C128" s="56" t="s">
        <v>59</v>
      </c>
      <c r="D128" s="57"/>
      <c r="E128" s="66"/>
      <c r="F128" s="15"/>
      <c r="G128" s="15"/>
      <c r="H128" s="15"/>
      <c r="I128" s="45"/>
    </row>
    <row r="129" s="1" customFormat="1" ht="35" customHeight="1" spans="1:9">
      <c r="A129" s="58"/>
      <c r="B129" s="59"/>
      <c r="C129" s="60"/>
      <c r="D129" s="61"/>
      <c r="E129" s="78">
        <v>0</v>
      </c>
      <c r="F129" s="15"/>
      <c r="G129" s="15"/>
      <c r="H129" s="15"/>
      <c r="I129" s="45"/>
    </row>
    <row r="130" s="1" customFormat="1" ht="35" customHeight="1" spans="1:9">
      <c r="A130" s="58"/>
      <c r="B130" s="59"/>
      <c r="C130" s="60"/>
      <c r="D130" s="61"/>
      <c r="E130" s="78">
        <v>0</v>
      </c>
      <c r="F130" s="15"/>
      <c r="G130" s="15"/>
      <c r="H130" s="15"/>
      <c r="I130" s="45"/>
    </row>
    <row r="131" s="1" customFormat="1" ht="35" customHeight="1" spans="1:9">
      <c r="A131" s="58"/>
      <c r="B131" s="59"/>
      <c r="C131" s="60"/>
      <c r="D131" s="61"/>
      <c r="E131" s="78">
        <v>0</v>
      </c>
      <c r="F131" s="15"/>
      <c r="G131" s="15"/>
      <c r="H131" s="15"/>
      <c r="I131" s="45"/>
    </row>
    <row r="132" s="1" customFormat="1" ht="35" customHeight="1" spans="1:9">
      <c r="A132" s="58"/>
      <c r="B132" s="59"/>
      <c r="C132" s="60"/>
      <c r="D132" s="61"/>
      <c r="E132" s="78">
        <v>0</v>
      </c>
      <c r="F132" s="15"/>
      <c r="G132" s="15"/>
      <c r="H132" s="15"/>
      <c r="I132" s="45"/>
    </row>
    <row r="133" s="1" customFormat="1" ht="35" customHeight="1" spans="1:9">
      <c r="A133" s="58"/>
      <c r="B133" s="59"/>
      <c r="C133" s="60"/>
      <c r="D133" s="61"/>
      <c r="E133" s="78">
        <v>0</v>
      </c>
      <c r="F133" s="15"/>
      <c r="G133" s="15"/>
      <c r="H133" s="15"/>
      <c r="I133" s="45"/>
    </row>
    <row r="134" s="1" customFormat="1" ht="35" customHeight="1" spans="1:9">
      <c r="A134" s="67"/>
      <c r="B134" s="68"/>
      <c r="C134" s="60"/>
      <c r="D134" s="61"/>
      <c r="E134" s="78">
        <v>0</v>
      </c>
      <c r="F134" s="15"/>
      <c r="G134" s="15"/>
      <c r="H134" s="15"/>
      <c r="I134" s="45"/>
    </row>
    <row r="135" s="1" customFormat="1" ht="35" customHeight="1" spans="1:9">
      <c r="A135" s="51" t="s">
        <v>60</v>
      </c>
      <c r="B135" s="69"/>
      <c r="C135" s="70"/>
      <c r="D135" s="71"/>
      <c r="E135" s="78">
        <f>C96</f>
        <v>0</v>
      </c>
      <c r="F135" s="15"/>
      <c r="G135" s="15"/>
      <c r="H135" s="15"/>
      <c r="I135" s="45"/>
    </row>
    <row r="136" s="1" customFormat="1" ht="35" customHeight="1" spans="1:9">
      <c r="A136" s="72"/>
      <c r="B136" s="73"/>
      <c r="C136" s="37" t="s">
        <v>61</v>
      </c>
      <c r="D136" s="37"/>
      <c r="E136" s="79">
        <f ca="1">(F16+E116)-(SUM(E118:E127)+SUM(E129:E135))</f>
        <v>0</v>
      </c>
      <c r="F136" s="15"/>
      <c r="G136" s="15"/>
      <c r="H136" s="15"/>
      <c r="I136" s="45"/>
    </row>
    <row r="137" s="1" customFormat="1" ht="35" customHeight="1" spans="1:9">
      <c r="A137" s="15"/>
      <c r="B137" s="15"/>
      <c r="C137" s="15"/>
      <c r="D137" s="15"/>
      <c r="E137" s="15"/>
      <c r="F137" s="15"/>
      <c r="G137" s="15"/>
      <c r="H137" s="15"/>
      <c r="I137" s="45"/>
    </row>
    <row r="138" s="1" customFormat="1" ht="35" customHeight="1" spans="1:9">
      <c r="A138" s="15"/>
      <c r="B138" s="15"/>
      <c r="C138" s="15"/>
      <c r="D138" s="15"/>
      <c r="E138" s="15"/>
      <c r="F138" s="15"/>
      <c r="G138" s="15"/>
      <c r="H138" s="15"/>
      <c r="I138" s="45"/>
    </row>
    <row r="139" s="1" customFormat="1" ht="35" customHeight="1" spans="1:9">
      <c r="A139" s="15"/>
      <c r="B139" s="15"/>
      <c r="C139" s="15"/>
      <c r="D139" s="15"/>
      <c r="E139" s="15"/>
      <c r="F139" s="15"/>
      <c r="G139" s="15"/>
      <c r="H139" s="15"/>
      <c r="I139" s="45"/>
    </row>
    <row r="140" s="1" customFormat="1" ht="35" customHeight="1" spans="1:9">
      <c r="A140" s="15"/>
      <c r="B140" s="15"/>
      <c r="C140" s="15"/>
      <c r="D140" s="15"/>
      <c r="E140" s="15"/>
      <c r="F140" s="15"/>
      <c r="G140" s="15"/>
      <c r="H140" s="15"/>
      <c r="I140" s="45"/>
    </row>
    <row r="141" s="1" customFormat="1" ht="35" customHeight="1" spans="1:9">
      <c r="A141" s="48" t="str">
        <f>"Debts Or Credits For the Comming "&amp;IF(Main!B2,TEXT(EDATE(Main!B3,16),"mmmm dd yyyy"),TEXT(Main!B3+((Main!B5-Main!B3)*16+16),"dd mmmm yyyy"))&amp;" to "&amp;IF(Main!B2,TEXT(EDATE(Main!B3,17)-1,"mmmm dd yyyy"),TEXT(Main!B3+((Main!B5-Main!B3)*17+16),"mmmm dd yyyy"))</f>
        <v>Debts Or Credits For the Comming September 01 2026 to September 30 2026</v>
      </c>
      <c r="B141" s="49"/>
      <c r="C141" s="49"/>
      <c r="D141" s="49"/>
      <c r="E141" s="50"/>
      <c r="F141" s="15"/>
      <c r="G141" s="15"/>
      <c r="H141" s="15"/>
      <c r="I141" s="45"/>
    </row>
    <row r="142" s="1" customFormat="1" ht="35" customHeight="1" spans="1:9">
      <c r="A142" s="48" t="s">
        <v>57</v>
      </c>
      <c r="B142" s="50"/>
      <c r="C142" s="74" t="s">
        <v>44</v>
      </c>
      <c r="D142" s="75"/>
      <c r="E142" s="80" t="s">
        <v>45</v>
      </c>
      <c r="F142" s="15"/>
      <c r="G142" s="15"/>
      <c r="H142" s="15"/>
      <c r="I142" s="45"/>
    </row>
    <row r="143" s="1" customFormat="1" ht="35" customHeight="1" spans="1:9">
      <c r="A143" s="51" t="str">
        <f>"Balance Brought Forward From "&amp;IF(Main!B2,TEXT(EDATE(Main!B3,16)-1,"mmmm yyyy"),TEXT(Main!B3+((Main!B5-Main!B3)*16+15),"mmmm yyyy"))</f>
        <v>Balance Brought Forward From August 2026</v>
      </c>
      <c r="B143" s="52"/>
      <c r="C143" s="53"/>
      <c r="D143" s="53"/>
      <c r="E143" s="79">
        <f ca="1">E136</f>
        <v>0</v>
      </c>
      <c r="F143" s="15"/>
      <c r="G143" s="15"/>
      <c r="H143" s="15"/>
      <c r="I143" s="45"/>
    </row>
    <row r="144" s="1" customFormat="1" ht="35" customHeight="1" spans="1:9">
      <c r="A144" s="54" t="s">
        <v>52</v>
      </c>
      <c r="B144" s="55"/>
      <c r="C144" s="76" t="s">
        <v>58</v>
      </c>
      <c r="D144" s="77"/>
      <c r="E144" s="81"/>
      <c r="F144" s="15"/>
      <c r="G144" s="15"/>
      <c r="H144" s="15"/>
      <c r="I144" s="45"/>
    </row>
    <row r="145" s="1" customFormat="1" ht="35" customHeight="1" spans="1:9">
      <c r="A145" s="58"/>
      <c r="B145" s="59"/>
      <c r="C145" s="60"/>
      <c r="D145" s="61"/>
      <c r="E145" s="35">
        <v>0</v>
      </c>
      <c r="F145" s="15"/>
      <c r="G145" s="15"/>
      <c r="H145" s="15"/>
      <c r="I145" s="45"/>
    </row>
    <row r="146" s="1" customFormat="1" ht="35" customHeight="1" spans="1:9">
      <c r="A146" s="58"/>
      <c r="B146" s="59"/>
      <c r="C146" s="60"/>
      <c r="D146" s="61"/>
      <c r="E146" s="35">
        <v>0</v>
      </c>
      <c r="F146" s="15"/>
      <c r="G146" s="15"/>
      <c r="H146" s="15"/>
      <c r="I146" s="45"/>
    </row>
    <row r="147" s="1" customFormat="1" ht="35" customHeight="1" spans="1:9">
      <c r="A147" s="58"/>
      <c r="B147" s="59"/>
      <c r="C147" s="60"/>
      <c r="D147" s="61"/>
      <c r="E147" s="35">
        <v>0</v>
      </c>
      <c r="F147" s="15"/>
      <c r="G147" s="15"/>
      <c r="H147" s="15"/>
      <c r="I147" s="45"/>
    </row>
    <row r="148" s="1" customFormat="1" ht="35" customHeight="1" spans="1:9">
      <c r="A148" s="58"/>
      <c r="B148" s="59"/>
      <c r="C148" s="60"/>
      <c r="D148" s="61"/>
      <c r="E148" s="35">
        <v>0</v>
      </c>
      <c r="F148" s="15"/>
      <c r="G148" s="15"/>
      <c r="H148" s="15"/>
      <c r="I148" s="45"/>
    </row>
    <row r="149" s="1" customFormat="1" ht="35" customHeight="1" spans="1:9">
      <c r="A149" s="58"/>
      <c r="B149" s="59"/>
      <c r="C149" s="60"/>
      <c r="D149" s="61"/>
      <c r="E149" s="35">
        <v>0</v>
      </c>
      <c r="F149" s="15"/>
      <c r="G149" s="15"/>
      <c r="H149" s="15"/>
      <c r="I149" s="45"/>
    </row>
    <row r="150" s="1" customFormat="1" ht="35" customHeight="1" spans="1:9">
      <c r="A150" s="58"/>
      <c r="B150" s="59"/>
      <c r="C150" s="60"/>
      <c r="D150" s="61"/>
      <c r="E150" s="35">
        <v>0</v>
      </c>
      <c r="F150" s="15"/>
      <c r="G150" s="15"/>
      <c r="H150" s="15"/>
      <c r="I150" s="45"/>
    </row>
    <row r="151" s="1" customFormat="1" ht="35" customHeight="1" spans="1:9">
      <c r="A151" s="58"/>
      <c r="B151" s="59"/>
      <c r="C151" s="60"/>
      <c r="D151" s="61"/>
      <c r="E151" s="35">
        <v>0</v>
      </c>
      <c r="F151" s="15"/>
      <c r="G151" s="15"/>
      <c r="H151" s="15"/>
      <c r="I151" s="45"/>
    </row>
    <row r="152" s="1" customFormat="1" ht="35" customHeight="1" spans="1:9">
      <c r="A152" s="58"/>
      <c r="B152" s="59"/>
      <c r="C152" s="60"/>
      <c r="D152" s="61"/>
      <c r="E152" s="35">
        <v>0</v>
      </c>
      <c r="F152" s="15"/>
      <c r="G152" s="15"/>
      <c r="H152" s="15"/>
      <c r="I152" s="45"/>
    </row>
    <row r="153" s="1" customFormat="1" ht="35" customHeight="1" spans="1:9">
      <c r="A153" s="58"/>
      <c r="B153" s="59"/>
      <c r="C153" s="60"/>
      <c r="D153" s="61"/>
      <c r="E153" s="35">
        <v>0</v>
      </c>
      <c r="F153" s="15"/>
      <c r="G153" s="15"/>
      <c r="H153" s="15"/>
      <c r="I153" s="45"/>
    </row>
    <row r="154" s="1" customFormat="1" ht="35" customHeight="1" spans="1:9">
      <c r="A154" s="58"/>
      <c r="B154" s="59"/>
      <c r="C154" s="60"/>
      <c r="D154" s="61"/>
      <c r="E154" s="35">
        <v>0</v>
      </c>
      <c r="F154" s="15"/>
      <c r="G154" s="15"/>
      <c r="H154" s="15"/>
      <c r="I154" s="45"/>
    </row>
    <row r="155" s="1" customFormat="1" ht="35" customHeight="1" spans="1:9">
      <c r="A155" s="58"/>
      <c r="B155" s="59"/>
      <c r="C155" s="56" t="s">
        <v>59</v>
      </c>
      <c r="D155" s="57"/>
      <c r="E155" s="66"/>
      <c r="F155" s="15"/>
      <c r="G155" s="15"/>
      <c r="H155" s="15"/>
      <c r="I155" s="45"/>
    </row>
    <row r="156" s="1" customFormat="1" ht="35" customHeight="1" spans="1:9">
      <c r="A156" s="58"/>
      <c r="B156" s="59"/>
      <c r="C156" s="60"/>
      <c r="D156" s="61"/>
      <c r="E156" s="78">
        <v>0</v>
      </c>
      <c r="F156" s="15"/>
      <c r="G156" s="15"/>
      <c r="H156" s="15"/>
      <c r="I156" s="45"/>
    </row>
    <row r="157" s="1" customFormat="1" ht="35" customHeight="1" spans="1:9">
      <c r="A157" s="58"/>
      <c r="B157" s="59"/>
      <c r="C157" s="60"/>
      <c r="D157" s="61"/>
      <c r="E157" s="78">
        <v>0</v>
      </c>
      <c r="F157" s="15"/>
      <c r="G157" s="15"/>
      <c r="H157" s="15"/>
      <c r="I157" s="45"/>
    </row>
    <row r="158" s="1" customFormat="1" ht="35" customHeight="1" spans="1:9">
      <c r="A158" s="58"/>
      <c r="B158" s="59"/>
      <c r="C158" s="60"/>
      <c r="D158" s="61"/>
      <c r="E158" s="78">
        <v>0</v>
      </c>
      <c r="F158" s="15"/>
      <c r="G158" s="15"/>
      <c r="H158" s="15"/>
      <c r="I158" s="45"/>
    </row>
    <row r="159" s="1" customFormat="1" ht="35" customHeight="1" spans="1:9">
      <c r="A159" s="58"/>
      <c r="B159" s="59"/>
      <c r="C159" s="60"/>
      <c r="D159" s="61"/>
      <c r="E159" s="78">
        <v>0</v>
      </c>
      <c r="F159" s="15"/>
      <c r="G159" s="15"/>
      <c r="H159" s="15"/>
      <c r="I159" s="45"/>
    </row>
    <row r="160" s="1" customFormat="1" ht="35" customHeight="1" spans="1:9">
      <c r="A160" s="58"/>
      <c r="B160" s="59"/>
      <c r="C160" s="60"/>
      <c r="D160" s="61"/>
      <c r="E160" s="78">
        <v>0</v>
      </c>
      <c r="F160" s="15"/>
      <c r="G160" s="15"/>
      <c r="H160" s="15"/>
      <c r="I160" s="45"/>
    </row>
    <row r="161" s="1" customFormat="1" ht="35" customHeight="1" spans="1:9">
      <c r="A161" s="67"/>
      <c r="B161" s="68"/>
      <c r="C161" s="60"/>
      <c r="D161" s="61"/>
      <c r="E161" s="78">
        <v>0</v>
      </c>
      <c r="F161" s="15"/>
      <c r="G161" s="15"/>
      <c r="H161" s="15"/>
      <c r="I161" s="45"/>
    </row>
    <row r="162" s="1" customFormat="1" ht="35" customHeight="1" spans="1:9">
      <c r="A162" s="51" t="s">
        <v>60</v>
      </c>
      <c r="B162" s="69"/>
      <c r="C162" s="70"/>
      <c r="D162" s="71"/>
      <c r="E162" s="78">
        <f>C96</f>
        <v>0</v>
      </c>
      <c r="F162" s="15"/>
      <c r="G162" s="15"/>
      <c r="H162" s="15"/>
      <c r="I162" s="45"/>
    </row>
    <row r="163" s="1" customFormat="1" ht="35" customHeight="1" spans="1:9">
      <c r="A163" s="72"/>
      <c r="B163" s="73"/>
      <c r="C163" s="37" t="s">
        <v>61</v>
      </c>
      <c r="D163" s="37"/>
      <c r="E163" s="65">
        <f ca="1">(F28+E143)-(SUM(E145:E154)+SUM(E156:E162))</f>
        <v>0</v>
      </c>
      <c r="F163" s="15"/>
      <c r="G163" s="15"/>
      <c r="H163" s="15"/>
      <c r="I163" s="45"/>
    </row>
    <row r="164" s="1" customFormat="1" ht="35" customHeight="1" spans="1:9">
      <c r="A164" s="15"/>
      <c r="B164" s="15"/>
      <c r="C164" s="15"/>
      <c r="D164" s="15"/>
      <c r="E164" s="15"/>
      <c r="F164" s="15"/>
      <c r="G164" s="15"/>
      <c r="H164" s="15"/>
      <c r="I164" s="45"/>
    </row>
    <row r="165" s="1" customFormat="1" ht="35" customHeight="1" spans="1:9">
      <c r="A165" s="15"/>
      <c r="B165" s="15"/>
      <c r="C165" s="15"/>
      <c r="D165" s="15"/>
      <c r="E165" s="15"/>
      <c r="F165" s="15"/>
      <c r="G165" s="15"/>
      <c r="H165" s="15"/>
      <c r="I165" s="45"/>
    </row>
    <row r="166" s="1" customFormat="1" ht="35" customHeight="1" spans="1:9">
      <c r="A166" s="15"/>
      <c r="B166" s="15"/>
      <c r="C166" s="15"/>
      <c r="D166" s="15"/>
      <c r="E166" s="15"/>
      <c r="F166" s="15"/>
      <c r="G166" s="15"/>
      <c r="H166" s="15"/>
      <c r="I166" s="45"/>
    </row>
    <row r="167" s="1" customFormat="1" ht="35" customHeight="1" spans="1:9">
      <c r="A167" s="15"/>
      <c r="B167" s="15"/>
      <c r="C167" s="15"/>
      <c r="D167" s="15"/>
      <c r="E167" s="15"/>
      <c r="F167" s="15"/>
      <c r="G167" s="15"/>
      <c r="H167" s="15"/>
      <c r="I167" s="45"/>
    </row>
    <row r="168" s="1" customFormat="1" ht="35" customHeight="1" spans="1:9">
      <c r="A168" s="48" t="str">
        <f>"Debts Or Credits For the Comming "&amp;IF(Main!B2,TEXT(EDATE(Main!B3,17),"mmmm dd yyyy"),TEXT(Main!B3+((Main!B5-Main!B3)*17+17),"mmmm dd yyyy"))&amp;" to "&amp;IF(Main!B2,TEXT(EDATE(Main!B3,18)-1,"mmmm dd yyyy"),TEXT(Main!B3+((Main!B5-Main!B3)*18+17),"mmmm dd yyyy"))</f>
        <v>Debts Or Credits For the Comming October 01 2026 to October 31 2026</v>
      </c>
      <c r="B168" s="49"/>
      <c r="C168" s="49"/>
      <c r="D168" s="49"/>
      <c r="E168" s="50"/>
      <c r="F168" s="15"/>
      <c r="G168" s="15"/>
      <c r="H168" s="15"/>
      <c r="I168" s="45"/>
    </row>
    <row r="169" s="1" customFormat="1" ht="35" customHeight="1" spans="1:9">
      <c r="A169" s="48" t="s">
        <v>57</v>
      </c>
      <c r="B169" s="50"/>
      <c r="C169" s="74" t="s">
        <v>44</v>
      </c>
      <c r="D169" s="75"/>
      <c r="E169" s="80" t="s">
        <v>45</v>
      </c>
      <c r="F169" s="15"/>
      <c r="G169" s="15"/>
      <c r="H169" s="15"/>
      <c r="I169" s="45"/>
    </row>
    <row r="170" s="1" customFormat="1" ht="35" customHeight="1" spans="1:9">
      <c r="A170" s="51" t="str">
        <f>"Balance Brought Forward From "&amp;IF(Main!B2,TEXT(EDATE(Main!B3,17)-1,"mmmm yyyy"),TEXT(Main!B3+((Main!B5-Main!B3)*17+16),"mmmm yyyy"))</f>
        <v>Balance Brought Forward From September 2026</v>
      </c>
      <c r="B170" s="52"/>
      <c r="C170" s="53"/>
      <c r="D170" s="53"/>
      <c r="E170" s="65">
        <f ca="1">E163</f>
        <v>0</v>
      </c>
      <c r="F170" s="15"/>
      <c r="G170" s="15"/>
      <c r="H170" s="15"/>
      <c r="I170" s="45"/>
    </row>
    <row r="171" s="1" customFormat="1" ht="35" customHeight="1" spans="1:9">
      <c r="A171" s="54" t="s">
        <v>52</v>
      </c>
      <c r="B171" s="55"/>
      <c r="C171" s="76" t="s">
        <v>58</v>
      </c>
      <c r="D171" s="77"/>
      <c r="E171" s="81"/>
      <c r="F171" s="15"/>
      <c r="G171" s="15"/>
      <c r="H171" s="15"/>
      <c r="I171" s="45"/>
    </row>
    <row r="172" s="1" customFormat="1" ht="35" customHeight="1" spans="1:9">
      <c r="A172" s="58"/>
      <c r="B172" s="59"/>
      <c r="C172" s="60"/>
      <c r="D172" s="61"/>
      <c r="E172" s="35">
        <v>0</v>
      </c>
      <c r="F172" s="15"/>
      <c r="G172" s="15"/>
      <c r="H172" s="15"/>
      <c r="I172" s="45"/>
    </row>
    <row r="173" s="1" customFormat="1" ht="35" customHeight="1" spans="1:9">
      <c r="A173" s="58"/>
      <c r="B173" s="59"/>
      <c r="C173" s="60"/>
      <c r="D173" s="61"/>
      <c r="E173" s="35">
        <v>0</v>
      </c>
      <c r="F173" s="15"/>
      <c r="G173" s="15"/>
      <c r="H173" s="15"/>
      <c r="I173" s="45"/>
    </row>
    <row r="174" s="1" customFormat="1" ht="35" customHeight="1" spans="1:9">
      <c r="A174" s="58"/>
      <c r="B174" s="59"/>
      <c r="C174" s="60"/>
      <c r="D174" s="61"/>
      <c r="E174" s="35">
        <v>0</v>
      </c>
      <c r="F174" s="15"/>
      <c r="G174" s="15"/>
      <c r="H174" s="15"/>
      <c r="I174" s="45"/>
    </row>
    <row r="175" s="1" customFormat="1" ht="35" customHeight="1" spans="1:9">
      <c r="A175" s="58"/>
      <c r="B175" s="59"/>
      <c r="C175" s="60"/>
      <c r="D175" s="61"/>
      <c r="E175" s="35">
        <v>0</v>
      </c>
      <c r="F175" s="15"/>
      <c r="G175" s="15"/>
      <c r="H175" s="15"/>
      <c r="I175" s="45"/>
    </row>
    <row r="176" s="1" customFormat="1" ht="35" customHeight="1" spans="1:9">
      <c r="A176" s="58"/>
      <c r="B176" s="59"/>
      <c r="C176" s="60"/>
      <c r="D176" s="61"/>
      <c r="E176" s="35">
        <v>0</v>
      </c>
      <c r="F176" s="15"/>
      <c r="G176" s="15"/>
      <c r="H176" s="15"/>
      <c r="I176" s="45"/>
    </row>
    <row r="177" s="1" customFormat="1" ht="35" customHeight="1" spans="1:9">
      <c r="A177" s="58"/>
      <c r="B177" s="59"/>
      <c r="C177" s="60"/>
      <c r="D177" s="61"/>
      <c r="E177" s="35">
        <v>0</v>
      </c>
      <c r="F177" s="15"/>
      <c r="G177" s="15"/>
      <c r="H177" s="15"/>
      <c r="I177" s="45"/>
    </row>
    <row r="178" s="1" customFormat="1" ht="35" customHeight="1" spans="1:9">
      <c r="A178" s="58"/>
      <c r="B178" s="59"/>
      <c r="C178" s="60"/>
      <c r="D178" s="61"/>
      <c r="E178" s="35">
        <v>0</v>
      </c>
      <c r="F178" s="15"/>
      <c r="G178" s="15"/>
      <c r="H178" s="15"/>
      <c r="I178" s="45"/>
    </row>
    <row r="179" s="1" customFormat="1" ht="35" customHeight="1" spans="1:9">
      <c r="A179" s="58"/>
      <c r="B179" s="59"/>
      <c r="C179" s="60"/>
      <c r="D179" s="61"/>
      <c r="E179" s="35">
        <v>0</v>
      </c>
      <c r="F179" s="15"/>
      <c r="G179" s="15"/>
      <c r="H179" s="15"/>
      <c r="I179" s="45"/>
    </row>
    <row r="180" s="1" customFormat="1" ht="35" customHeight="1" spans="1:9">
      <c r="A180" s="58"/>
      <c r="B180" s="59"/>
      <c r="C180" s="60"/>
      <c r="D180" s="61"/>
      <c r="E180" s="35">
        <v>0</v>
      </c>
      <c r="F180" s="15"/>
      <c r="G180" s="15"/>
      <c r="H180" s="15"/>
      <c r="I180" s="45"/>
    </row>
    <row r="181" s="1" customFormat="1" ht="35" customHeight="1" spans="1:9">
      <c r="A181" s="58"/>
      <c r="B181" s="59"/>
      <c r="C181" s="60"/>
      <c r="D181" s="61"/>
      <c r="E181" s="35">
        <v>0</v>
      </c>
      <c r="F181" s="15"/>
      <c r="G181" s="15"/>
      <c r="H181" s="15"/>
      <c r="I181" s="45"/>
    </row>
    <row r="182" s="1" customFormat="1" ht="35" customHeight="1" spans="1:9">
      <c r="A182" s="58"/>
      <c r="B182" s="59"/>
      <c r="C182" s="56" t="s">
        <v>59</v>
      </c>
      <c r="D182" s="57"/>
      <c r="E182" s="66"/>
      <c r="F182" s="15"/>
      <c r="G182" s="15"/>
      <c r="H182" s="15"/>
      <c r="I182" s="45"/>
    </row>
    <row r="183" s="1" customFormat="1" ht="35" customHeight="1" spans="1:9">
      <c r="A183" s="58"/>
      <c r="B183" s="59"/>
      <c r="C183" s="60"/>
      <c r="D183" s="61"/>
      <c r="E183" s="78">
        <v>0</v>
      </c>
      <c r="F183" s="15"/>
      <c r="G183" s="15"/>
      <c r="H183" s="15"/>
      <c r="I183" s="45"/>
    </row>
    <row r="184" s="1" customFormat="1" ht="35" customHeight="1" spans="1:9">
      <c r="A184" s="58"/>
      <c r="B184" s="59"/>
      <c r="C184" s="60"/>
      <c r="D184" s="61"/>
      <c r="E184" s="78">
        <v>0</v>
      </c>
      <c r="F184" s="15"/>
      <c r="G184" s="15"/>
      <c r="H184" s="15"/>
      <c r="I184" s="45"/>
    </row>
    <row r="185" s="1" customFormat="1" ht="35" customHeight="1" spans="1:9">
      <c r="A185" s="58"/>
      <c r="B185" s="59"/>
      <c r="C185" s="60"/>
      <c r="D185" s="61"/>
      <c r="E185" s="78">
        <v>0</v>
      </c>
      <c r="F185" s="15"/>
      <c r="G185" s="15"/>
      <c r="H185" s="15"/>
      <c r="I185" s="45"/>
    </row>
    <row r="186" s="1" customFormat="1" ht="35" customHeight="1" spans="1:9">
      <c r="A186" s="58"/>
      <c r="B186" s="59"/>
      <c r="C186" s="60"/>
      <c r="D186" s="61"/>
      <c r="E186" s="78">
        <v>0</v>
      </c>
      <c r="F186" s="15"/>
      <c r="G186" s="15"/>
      <c r="H186" s="15"/>
      <c r="I186" s="45"/>
    </row>
    <row r="187" s="1" customFormat="1" ht="35" customHeight="1" spans="1:9">
      <c r="A187" s="58"/>
      <c r="B187" s="59"/>
      <c r="C187" s="60"/>
      <c r="D187" s="61"/>
      <c r="E187" s="78">
        <v>0</v>
      </c>
      <c r="F187" s="15"/>
      <c r="G187" s="15"/>
      <c r="H187" s="15"/>
      <c r="I187" s="45"/>
    </row>
    <row r="188" s="1" customFormat="1" ht="35" customHeight="1" spans="1:9">
      <c r="A188" s="67"/>
      <c r="B188" s="68"/>
      <c r="C188" s="60"/>
      <c r="D188" s="61"/>
      <c r="E188" s="78">
        <v>0</v>
      </c>
      <c r="F188" s="15"/>
      <c r="G188" s="15"/>
      <c r="H188" s="15"/>
      <c r="I188" s="45"/>
    </row>
    <row r="189" s="1" customFormat="1" ht="35" customHeight="1" spans="1:9">
      <c r="A189" s="51" t="s">
        <v>60</v>
      </c>
      <c r="B189" s="69"/>
      <c r="C189" s="70"/>
      <c r="D189" s="71"/>
      <c r="E189" s="78">
        <f>C96</f>
        <v>0</v>
      </c>
      <c r="F189" s="15"/>
      <c r="G189" s="15"/>
      <c r="H189" s="15"/>
      <c r="I189" s="45"/>
    </row>
    <row r="190" s="1" customFormat="1" ht="35" customHeight="1" spans="1:9">
      <c r="A190" s="72"/>
      <c r="B190" s="73"/>
      <c r="C190" s="37" t="s">
        <v>61</v>
      </c>
      <c r="D190" s="37"/>
      <c r="E190" s="65">
        <f ca="1">(F40+E170)-(SUM(E172:E181)+SUM(E183:E189))</f>
        <v>0</v>
      </c>
      <c r="F190" s="15"/>
      <c r="G190" s="15"/>
      <c r="H190" s="15"/>
      <c r="I190" s="45"/>
    </row>
    <row r="191" s="1" customFormat="1" ht="35" customHeight="1" spans="1:9">
      <c r="A191" s="15"/>
      <c r="B191" s="15"/>
      <c r="C191" s="15"/>
      <c r="D191" s="15"/>
      <c r="E191" s="15"/>
      <c r="F191" s="15"/>
      <c r="G191" s="15"/>
      <c r="H191" s="15"/>
      <c r="I191" s="45"/>
    </row>
    <row r="192" ht="24.75" customHeight="1" spans="1:9">
      <c r="A192" s="82"/>
      <c r="B192" s="82"/>
      <c r="C192" s="82"/>
      <c r="D192" s="82"/>
      <c r="E192" s="82"/>
      <c r="F192" s="82"/>
      <c r="G192" s="82"/>
      <c r="H192" s="82"/>
      <c r="I192" s="82"/>
    </row>
    <row r="193" spans="1:9">
      <c r="A193" s="82"/>
      <c r="B193" s="82"/>
      <c r="C193" s="82"/>
      <c r="D193" s="82"/>
      <c r="E193" s="82"/>
      <c r="F193" s="82"/>
      <c r="G193" s="82"/>
      <c r="H193" s="82"/>
      <c r="I193" s="82"/>
    </row>
  </sheetData>
  <sheetProtection sheet="1" formatCells="0" formatColumns="0" formatRows="0" objects="1"/>
  <protectedRanges>
    <protectedRange sqref="A10:G15" name="R1"/>
    <protectedRange sqref="A22:G27" name="R2"/>
    <protectedRange sqref="A34:G39" name="R3"/>
    <protectedRange sqref="A46:C46 C47:C54" name="F1"/>
    <protectedRange sqref="C56:C65" name="F2"/>
    <protectedRange sqref="C67:C74" name="F3"/>
    <protectedRange sqref="C76:C84" name="F4"/>
    <protectedRange sqref="C86:C94" name="F5"/>
    <protectedRange sqref="C117:E134" name="E1"/>
    <protectedRange sqref="C144:E161" name="E2"/>
    <protectedRange sqref="C171:E188" name="E3"/>
    <protectedRange sqref="A56:B56" name="F2_1"/>
    <protectedRange sqref="A67:B67" name="F3_1"/>
    <protectedRange sqref="A76:B76" name="F4_1"/>
    <protectedRange sqref="A86:B86" name="F5_1"/>
  </protectedRanges>
  <mergeCells count="174">
    <mergeCell ref="A1:G1"/>
    <mergeCell ref="C2:G2"/>
    <mergeCell ref="C3:G3"/>
    <mergeCell ref="A4:B4"/>
    <mergeCell ref="C4:G4"/>
    <mergeCell ref="A5:B5"/>
    <mergeCell ref="C5:G5"/>
    <mergeCell ref="A8:G8"/>
    <mergeCell ref="B9:C9"/>
    <mergeCell ref="D9:E9"/>
    <mergeCell ref="F9:G9"/>
    <mergeCell ref="B10:C10"/>
    <mergeCell ref="D10:E10"/>
    <mergeCell ref="F10:G10"/>
    <mergeCell ref="B11:C11"/>
    <mergeCell ref="D11:E11"/>
    <mergeCell ref="F11:G11"/>
    <mergeCell ref="B12:C12"/>
    <mergeCell ref="D12:E12"/>
    <mergeCell ref="F12:G12"/>
    <mergeCell ref="B13:C13"/>
    <mergeCell ref="D13:E13"/>
    <mergeCell ref="F13:G13"/>
    <mergeCell ref="B14:C14"/>
    <mergeCell ref="D14:E14"/>
    <mergeCell ref="F14:G14"/>
    <mergeCell ref="B15:C15"/>
    <mergeCell ref="D15:E15"/>
    <mergeCell ref="F15:G15"/>
    <mergeCell ref="B16:C16"/>
    <mergeCell ref="D16:E16"/>
    <mergeCell ref="F16:G16"/>
    <mergeCell ref="A20:G20"/>
    <mergeCell ref="B21:C21"/>
    <mergeCell ref="D21:E21"/>
    <mergeCell ref="F21:G21"/>
    <mergeCell ref="B22:C22"/>
    <mergeCell ref="D22:E22"/>
    <mergeCell ref="F22:G22"/>
    <mergeCell ref="B23:C23"/>
    <mergeCell ref="D23:E23"/>
    <mergeCell ref="F23:G23"/>
    <mergeCell ref="B24:C24"/>
    <mergeCell ref="D24:E24"/>
    <mergeCell ref="F24:G24"/>
    <mergeCell ref="B25:C25"/>
    <mergeCell ref="D25:E25"/>
    <mergeCell ref="F25:G25"/>
    <mergeCell ref="B26:C26"/>
    <mergeCell ref="D26:E26"/>
    <mergeCell ref="F26:G26"/>
    <mergeCell ref="B27:C27"/>
    <mergeCell ref="D27:E27"/>
    <mergeCell ref="F27:G27"/>
    <mergeCell ref="B28:C28"/>
    <mergeCell ref="D28:E28"/>
    <mergeCell ref="F28:G28"/>
    <mergeCell ref="A32:G32"/>
    <mergeCell ref="B33:C33"/>
    <mergeCell ref="D33:E33"/>
    <mergeCell ref="F33:G33"/>
    <mergeCell ref="B34:C34"/>
    <mergeCell ref="D34:E34"/>
    <mergeCell ref="F34:G34"/>
    <mergeCell ref="B35:C35"/>
    <mergeCell ref="D35:E35"/>
    <mergeCell ref="F35:G35"/>
    <mergeCell ref="B36:C36"/>
    <mergeCell ref="D36:E36"/>
    <mergeCell ref="F36:G36"/>
    <mergeCell ref="B37:C37"/>
    <mergeCell ref="D37:E37"/>
    <mergeCell ref="F37:G37"/>
    <mergeCell ref="B38:C38"/>
    <mergeCell ref="D38:E38"/>
    <mergeCell ref="F38:G38"/>
    <mergeCell ref="B39:C39"/>
    <mergeCell ref="D39:E39"/>
    <mergeCell ref="F39:G39"/>
    <mergeCell ref="B40:C40"/>
    <mergeCell ref="D40:E40"/>
    <mergeCell ref="F40:G40"/>
    <mergeCell ref="A44:C44"/>
    <mergeCell ref="A46:C46"/>
    <mergeCell ref="A56:C56"/>
    <mergeCell ref="A67:C67"/>
    <mergeCell ref="A76:C76"/>
    <mergeCell ref="A86:C86"/>
    <mergeCell ref="A97:C97"/>
    <mergeCell ref="A114:E114"/>
    <mergeCell ref="A115:B115"/>
    <mergeCell ref="C115:D115"/>
    <mergeCell ref="A116:B116"/>
    <mergeCell ref="C116:D116"/>
    <mergeCell ref="C117:D117"/>
    <mergeCell ref="C118:D118"/>
    <mergeCell ref="C119:D119"/>
    <mergeCell ref="C120:D120"/>
    <mergeCell ref="C121:D121"/>
    <mergeCell ref="C122:D122"/>
    <mergeCell ref="C123:D123"/>
    <mergeCell ref="C124:D124"/>
    <mergeCell ref="C125:D125"/>
    <mergeCell ref="C126:D126"/>
    <mergeCell ref="C127:D127"/>
    <mergeCell ref="C128:D128"/>
    <mergeCell ref="C129:D129"/>
    <mergeCell ref="C130:D130"/>
    <mergeCell ref="C131:D131"/>
    <mergeCell ref="C132:D132"/>
    <mergeCell ref="C133:D133"/>
    <mergeCell ref="C134:D134"/>
    <mergeCell ref="A135:B135"/>
    <mergeCell ref="C135:D135"/>
    <mergeCell ref="A136:B136"/>
    <mergeCell ref="C136:D136"/>
    <mergeCell ref="A141:E141"/>
    <mergeCell ref="A142:B142"/>
    <mergeCell ref="C142:D142"/>
    <mergeCell ref="A143:B143"/>
    <mergeCell ref="C143:D143"/>
    <mergeCell ref="C144:D144"/>
    <mergeCell ref="C145:D145"/>
    <mergeCell ref="C146:D146"/>
    <mergeCell ref="C147:D147"/>
    <mergeCell ref="C148:D148"/>
    <mergeCell ref="C149:D149"/>
    <mergeCell ref="C150:D150"/>
    <mergeCell ref="C151:D151"/>
    <mergeCell ref="C152:D152"/>
    <mergeCell ref="C153:D153"/>
    <mergeCell ref="C154:D154"/>
    <mergeCell ref="C155:D155"/>
    <mergeCell ref="C156:D156"/>
    <mergeCell ref="C157:D157"/>
    <mergeCell ref="C158:D158"/>
    <mergeCell ref="C159:D159"/>
    <mergeCell ref="C160:D160"/>
    <mergeCell ref="C161:D161"/>
    <mergeCell ref="A162:B162"/>
    <mergeCell ref="C162:D162"/>
    <mergeCell ref="A163:B163"/>
    <mergeCell ref="C163:D163"/>
    <mergeCell ref="A168:E168"/>
    <mergeCell ref="A169:B169"/>
    <mergeCell ref="C169:D169"/>
    <mergeCell ref="A170:B170"/>
    <mergeCell ref="C170:D170"/>
    <mergeCell ref="C171:D171"/>
    <mergeCell ref="C172:D172"/>
    <mergeCell ref="C173:D173"/>
    <mergeCell ref="C174:D174"/>
    <mergeCell ref="C175:D175"/>
    <mergeCell ref="C176:D176"/>
    <mergeCell ref="C177:D177"/>
    <mergeCell ref="C178:D178"/>
    <mergeCell ref="C179:D179"/>
    <mergeCell ref="C180:D180"/>
    <mergeCell ref="C181:D181"/>
    <mergeCell ref="C182:D182"/>
    <mergeCell ref="C183:D183"/>
    <mergeCell ref="C184:D184"/>
    <mergeCell ref="C185:D185"/>
    <mergeCell ref="C186:D186"/>
    <mergeCell ref="C187:D187"/>
    <mergeCell ref="C188:D188"/>
    <mergeCell ref="A189:B189"/>
    <mergeCell ref="C189:D189"/>
    <mergeCell ref="A190:B190"/>
    <mergeCell ref="C190:D190"/>
    <mergeCell ref="A2:A3"/>
    <mergeCell ref="A117:B134"/>
    <mergeCell ref="A144:B161"/>
    <mergeCell ref="A171:B188"/>
  </mergeCells>
  <conditionalFormatting sqref="C5">
    <cfRule type="cellIs" dxfId="0" priority="6" operator="greaterThanOrEqual">
      <formula>0</formula>
    </cfRule>
    <cfRule type="cellIs" dxfId="1" priority="5" operator="lessThan">
      <formula>0</formula>
    </cfRule>
  </conditionalFormatting>
  <conditionalFormatting sqref="C75">
    <cfRule type="cellIs" dxfId="0" priority="51" operator="equal">
      <formula>0</formula>
    </cfRule>
    <cfRule type="cellIs" dxfId="1" priority="50" operator="greaterThan">
      <formula>0</formula>
    </cfRule>
  </conditionalFormatting>
  <conditionalFormatting sqref="C77">
    <cfRule type="cellIs" dxfId="0" priority="49" operator="equal">
      <formula>0</formula>
    </cfRule>
    <cfRule type="cellIs" dxfId="1" priority="48" operator="greaterThan">
      <formula>0</formula>
    </cfRule>
  </conditionalFormatting>
  <conditionalFormatting sqref="C108">
    <cfRule type="cellIs" dxfId="0" priority="4" operator="greaterThanOrEqual">
      <formula>0</formula>
    </cfRule>
    <cfRule type="cellIs" dxfId="1" priority="3" operator="lessThan">
      <formula>0</formula>
    </cfRule>
  </conditionalFormatting>
  <conditionalFormatting sqref="C109">
    <cfRule type="cellIs" dxfId="0" priority="2" operator="greaterThanOrEqual">
      <formula>0</formula>
    </cfRule>
    <cfRule type="cellIs" dxfId="1" priority="1" operator="lessThan">
      <formula>0</formula>
    </cfRule>
  </conditionalFormatting>
  <conditionalFormatting sqref="E116">
    <cfRule type="cellIs" dxfId="3" priority="12" operator="greaterThanOrEqual">
      <formula>0</formula>
    </cfRule>
    <cfRule type="cellIs" dxfId="4" priority="11" operator="lessThan">
      <formula>0</formula>
    </cfRule>
  </conditionalFormatting>
  <conditionalFormatting sqref="E136">
    <cfRule type="cellIs" dxfId="3" priority="43" operator="greaterThanOrEqual">
      <formula>0</formula>
    </cfRule>
    <cfRule type="cellIs" dxfId="4" priority="42" operator="lessThan">
      <formula>0</formula>
    </cfRule>
  </conditionalFormatting>
  <conditionalFormatting sqref="E143">
    <cfRule type="cellIs" dxfId="3" priority="30" operator="greaterThanOrEqual">
      <formula>0</formula>
    </cfRule>
    <cfRule type="cellIs" dxfId="4" priority="29" operator="lessThan">
      <formula>0</formula>
    </cfRule>
  </conditionalFormatting>
  <conditionalFormatting sqref="E163">
    <cfRule type="cellIs" dxfId="3" priority="32" operator="greaterThanOrEqual">
      <formula>0</formula>
    </cfRule>
    <cfRule type="cellIs" dxfId="4" priority="31" operator="lessThan">
      <formula>0</formula>
    </cfRule>
  </conditionalFormatting>
  <conditionalFormatting sqref="E170">
    <cfRule type="cellIs" dxfId="3" priority="24" operator="greaterThanOrEqual">
      <formula>0</formula>
    </cfRule>
    <cfRule type="cellIs" dxfId="4" priority="23" operator="lessThan">
      <formula>0</formula>
    </cfRule>
  </conditionalFormatting>
  <conditionalFormatting sqref="E190">
    <cfRule type="cellIs" dxfId="3" priority="26" operator="greaterThanOrEqual">
      <formula>0</formula>
    </cfRule>
    <cfRule type="cellIs" dxfId="4" priority="25" operator="lessThan">
      <formula>0</formula>
    </cfRule>
  </conditionalFormatting>
  <conditionalFormatting sqref="C57:C66">
    <cfRule type="cellIs" dxfId="0" priority="55" operator="equal">
      <formula>0</formula>
    </cfRule>
    <cfRule type="cellIs" dxfId="1" priority="54" operator="greaterThan">
      <formula>0</formula>
    </cfRule>
  </conditionalFormatting>
  <conditionalFormatting sqref="C68:C69">
    <cfRule type="cellIs" dxfId="0" priority="53" operator="equal">
      <formula>0</formula>
    </cfRule>
    <cfRule type="cellIs" dxfId="1" priority="52" operator="greaterThan">
      <formula>0</formula>
    </cfRule>
  </conditionalFormatting>
  <conditionalFormatting sqref="C70:C74">
    <cfRule type="cellIs" dxfId="0" priority="41" operator="equal">
      <formula>0</formula>
    </cfRule>
    <cfRule type="cellIs" dxfId="1" priority="40" operator="greaterThan">
      <formula>0</formula>
    </cfRule>
  </conditionalFormatting>
  <conditionalFormatting sqref="C78:C79">
    <cfRule type="cellIs" dxfId="0" priority="10" operator="equal">
      <formula>0</formula>
    </cfRule>
    <cfRule type="cellIs" dxfId="1" priority="9" operator="greaterThan">
      <formula>0</formula>
    </cfRule>
  </conditionalFormatting>
  <conditionalFormatting sqref="C80:C84">
    <cfRule type="cellIs" dxfId="0" priority="39" operator="equal">
      <formula>0</formula>
    </cfRule>
    <cfRule type="cellIs" dxfId="1" priority="38" operator="greaterThan">
      <formula>0</formula>
    </cfRule>
  </conditionalFormatting>
  <conditionalFormatting sqref="C87:C89">
    <cfRule type="cellIs" dxfId="0" priority="47" operator="equal">
      <formula>0</formula>
    </cfRule>
    <cfRule type="cellIs" dxfId="1" priority="46" operator="greaterThan">
      <formula>0</formula>
    </cfRule>
  </conditionalFormatting>
  <conditionalFormatting sqref="C90:C91">
    <cfRule type="cellIs" dxfId="0" priority="8" operator="equal">
      <formula>0</formula>
    </cfRule>
    <cfRule type="cellIs" dxfId="1" priority="7" operator="greaterThan">
      <formula>0</formula>
    </cfRule>
  </conditionalFormatting>
  <conditionalFormatting sqref="C92:C94">
    <cfRule type="cellIs" dxfId="0" priority="37" operator="equal">
      <formula>0</formula>
    </cfRule>
    <cfRule type="cellIs" dxfId="1" priority="36" operator="greaterThan">
      <formula>0</formula>
    </cfRule>
  </conditionalFormatting>
  <conditionalFormatting sqref="C98:C107">
    <cfRule type="cellIs" dxfId="1" priority="20" operator="lessThan">
      <formula>0</formula>
    </cfRule>
    <cfRule type="cellIs" dxfId="2" priority="19" operator="greaterThanOrEqual">
      <formula>0</formula>
    </cfRule>
  </conditionalFormatting>
  <conditionalFormatting sqref="E118:E127">
    <cfRule type="cellIs" dxfId="0" priority="18" operator="equal">
      <formula>0</formula>
    </cfRule>
    <cfRule type="cellIs" dxfId="1" priority="17" operator="greaterThan">
      <formula>0</formula>
    </cfRule>
  </conditionalFormatting>
  <conditionalFormatting sqref="E145:E154">
    <cfRule type="cellIs" dxfId="0" priority="16" operator="equal">
      <formula>0</formula>
    </cfRule>
    <cfRule type="cellIs" dxfId="1" priority="15" operator="greaterThan">
      <formula>0</formula>
    </cfRule>
  </conditionalFormatting>
  <conditionalFormatting sqref="E172:E181">
    <cfRule type="cellIs" dxfId="0" priority="14" operator="equal">
      <formula>0</formula>
    </cfRule>
    <cfRule type="cellIs" dxfId="1" priority="13" operator="greaterThan">
      <formula>0</formula>
    </cfRule>
  </conditionalFormatting>
  <conditionalFormatting sqref="C47:C55 C85 C95:C96">
    <cfRule type="cellIs" dxfId="0" priority="57" operator="equal">
      <formula>0</formula>
    </cfRule>
  </conditionalFormatting>
  <conditionalFormatting sqref="C47:C55 C85 C95:C96 E144 E155:E162">
    <cfRule type="cellIs" dxfId="1" priority="56" operator="greaterThan">
      <formula>0</formula>
    </cfRule>
  </conditionalFormatting>
  <conditionalFormatting sqref="E117 E128:E135">
    <cfRule type="cellIs" dxfId="0" priority="45" operator="equal">
      <formula>0</formula>
    </cfRule>
    <cfRule type="cellIs" dxfId="1" priority="44" operator="greaterThan">
      <formula>0</formula>
    </cfRule>
  </conditionalFormatting>
  <conditionalFormatting sqref="E144 E155:E162">
    <cfRule type="cellIs" dxfId="2" priority="33" operator="equal">
      <formula>0</formula>
    </cfRule>
  </conditionalFormatting>
  <conditionalFormatting sqref="E171 E182:E189">
    <cfRule type="cellIs" dxfId="2" priority="28" operator="equal">
      <formula>0</formula>
    </cfRule>
    <cfRule type="cellIs" dxfId="1" priority="27" operator="greaterThan">
      <formula>0</formula>
    </cfRule>
  </conditionalFormatting>
  <pageMargins left="0.7" right="0.7" top="0.75" bottom="0.75" header="0.3" footer="0.3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93"/>
  <sheetViews>
    <sheetView workbookViewId="0">
      <selection activeCell="C4" sqref="C4:G4"/>
    </sheetView>
  </sheetViews>
  <sheetFormatPr defaultColWidth="9" defaultRowHeight="17.6"/>
  <cols>
    <col min="1" max="7" width="25.6111111111111" customWidth="1"/>
    <col min="8" max="8" width="20.625" customWidth="1"/>
  </cols>
  <sheetData>
    <row r="1" s="1" customFormat="1" ht="35" customHeight="1" spans="1:9">
      <c r="A1" s="2" t="str">
        <f>"Forecasts For the Year "&amp;IF(Main!B2,TEXT(EDATE(Main!B3,18),"mmmm yyyy"),TEXT(Main!B3+((Main!B5-Main!B3)*18+18),"mmmm yyyy"))&amp;" to "&amp;IF(Main!B2,TEXT(EDATE(Main!B3,21)-1,"mmmm yyyy"),TEXT(Main!B3+((Main!B5-Main!B3)*21+20),"mmmm yyyy"))</f>
        <v>Forecasts For the Year November 2026 to January 2027</v>
      </c>
      <c r="B1" s="2"/>
      <c r="C1" s="2"/>
      <c r="D1" s="2"/>
      <c r="E1" s="2"/>
      <c r="F1" s="2"/>
      <c r="G1" s="2"/>
      <c r="H1" s="38"/>
      <c r="I1" s="38"/>
    </row>
    <row r="2" s="1" customFormat="1" ht="35" customHeight="1" spans="1:9">
      <c r="A2" s="3" t="s">
        <v>33</v>
      </c>
      <c r="B2" s="4" t="s">
        <v>62</v>
      </c>
      <c r="C2" s="5" cm="1">
        <f ca="1" t="array" ref="C2">INDIRECT("'"&amp;Main!B9&amp;"'!$C$16")</f>
        <v>0</v>
      </c>
      <c r="D2" s="5"/>
      <c r="E2" s="5"/>
      <c r="F2" s="5"/>
      <c r="G2" s="5"/>
      <c r="H2" s="38"/>
      <c r="I2" s="38"/>
    </row>
    <row r="3" s="1" customFormat="1" ht="35" customHeight="1" spans="1:9">
      <c r="A3" s="6"/>
      <c r="B3" s="7" t="s">
        <v>63</v>
      </c>
      <c r="C3" s="8">
        <f ca="1">E190</f>
        <v>0</v>
      </c>
      <c r="D3" s="8"/>
      <c r="E3" s="8"/>
      <c r="F3" s="8"/>
      <c r="G3" s="8"/>
      <c r="H3" s="38"/>
      <c r="I3" s="38"/>
    </row>
    <row r="4" s="1" customFormat="1" ht="35" customHeight="1" spans="1:9">
      <c r="A4" s="9" t="s">
        <v>42</v>
      </c>
      <c r="B4" s="10"/>
      <c r="C4" s="11">
        <f ca="1">SUM(C2:G3)</f>
        <v>0</v>
      </c>
      <c r="D4" s="11"/>
      <c r="E4" s="11"/>
      <c r="F4" s="11"/>
      <c r="G4" s="11"/>
      <c r="H4" s="15"/>
      <c r="I4" s="45"/>
    </row>
    <row r="5" s="1" customFormat="1" ht="35" customHeight="1" spans="1:9">
      <c r="A5" s="12" t="s">
        <v>64</v>
      </c>
      <c r="B5" s="12"/>
      <c r="C5" s="13">
        <f ca="1">C108</f>
        <v>0</v>
      </c>
      <c r="D5" s="14"/>
      <c r="E5" s="14"/>
      <c r="F5" s="14"/>
      <c r="G5" s="14"/>
      <c r="H5" s="15"/>
      <c r="I5" s="45"/>
    </row>
    <row r="6" s="1" customFormat="1" ht="35" customHeight="1" spans="1:9">
      <c r="A6" s="15"/>
      <c r="B6" s="15"/>
      <c r="C6" s="15"/>
      <c r="D6" s="15"/>
      <c r="E6" s="15"/>
      <c r="F6" s="15"/>
      <c r="G6" s="15"/>
      <c r="H6" s="15"/>
      <c r="I6" s="45"/>
    </row>
    <row r="7" s="1" customFormat="1" ht="35" customHeight="1" spans="1:9">
      <c r="A7" s="15"/>
      <c r="B7" s="15"/>
      <c r="C7" s="15"/>
      <c r="D7" s="15"/>
      <c r="E7" s="15"/>
      <c r="F7" s="15"/>
      <c r="G7" s="15"/>
      <c r="H7" s="15"/>
      <c r="I7" s="45"/>
    </row>
    <row r="8" s="1" customFormat="1" ht="35" customHeight="1" spans="1:9">
      <c r="A8" s="16" t="str">
        <f>IF(Main!B2,TEXT(EDATE(Main!B3,18),"dd mmmm yyyy"),TEXT(Main!B3+((Main!B5-Main!B3)*18+18),"dd mmmm yyyy"))&amp;" - "&amp;IF(Main!B2,TEXT(EDATE(Main!B3,19)-1,"dd mmmm yyyy"),TEXT(Main!B3+((Main!B5-Main!B3)*19+18),"dd mmmm yyyy"))&amp;" / "&amp;" (Revenue / Deferred Debts Or Expenses)"</f>
        <v>01 November 2026 - 30 November 2026 /  (Revenue / Deferred Debts Or Expenses)</v>
      </c>
      <c r="B8" s="17"/>
      <c r="C8" s="17"/>
      <c r="D8" s="17"/>
      <c r="E8" s="17"/>
      <c r="F8" s="17"/>
      <c r="G8" s="17"/>
      <c r="H8" s="15"/>
      <c r="I8" s="45"/>
    </row>
    <row r="9" s="1" customFormat="1" ht="35" customHeight="1" spans="1:9">
      <c r="A9" s="18" t="s">
        <v>29</v>
      </c>
      <c r="B9" s="18" t="s">
        <v>43</v>
      </c>
      <c r="C9" s="18"/>
      <c r="D9" s="18" t="s">
        <v>44</v>
      </c>
      <c r="E9" s="18"/>
      <c r="F9" s="18" t="s">
        <v>45</v>
      </c>
      <c r="G9" s="18"/>
      <c r="H9" s="15"/>
      <c r="I9" s="45"/>
    </row>
    <row r="10" s="1" customFormat="1" ht="35" customHeight="1" spans="1:9">
      <c r="A10" s="19"/>
      <c r="B10" s="20"/>
      <c r="C10" s="20"/>
      <c r="D10" s="20"/>
      <c r="E10" s="20"/>
      <c r="F10" s="39">
        <v>0</v>
      </c>
      <c r="G10" s="40"/>
      <c r="H10" s="15"/>
      <c r="I10" s="45"/>
    </row>
    <row r="11" s="1" customFormat="1" ht="35" customHeight="1" spans="1:9">
      <c r="A11" s="19"/>
      <c r="B11" s="21"/>
      <c r="C11" s="22"/>
      <c r="D11" s="23"/>
      <c r="E11" s="41"/>
      <c r="F11" s="39">
        <v>0</v>
      </c>
      <c r="G11" s="40"/>
      <c r="H11" s="15"/>
      <c r="I11" s="45"/>
    </row>
    <row r="12" s="1" customFormat="1" ht="35" customHeight="1" spans="1:9">
      <c r="A12" s="19"/>
      <c r="B12" s="21"/>
      <c r="C12" s="22"/>
      <c r="D12" s="23"/>
      <c r="E12" s="41"/>
      <c r="F12" s="39">
        <v>0</v>
      </c>
      <c r="G12" s="40"/>
      <c r="H12" s="15"/>
      <c r="I12" s="45"/>
    </row>
    <row r="13" s="1" customFormat="1" ht="35" customHeight="1" spans="1:9">
      <c r="A13" s="19"/>
      <c r="B13" s="21"/>
      <c r="C13" s="22"/>
      <c r="D13" s="23"/>
      <c r="E13" s="41"/>
      <c r="F13" s="39">
        <v>0</v>
      </c>
      <c r="G13" s="40"/>
      <c r="H13" s="15"/>
      <c r="I13" s="45"/>
    </row>
    <row r="14" s="1" customFormat="1" ht="35" customHeight="1" spans="1:9">
      <c r="A14" s="19"/>
      <c r="B14" s="21"/>
      <c r="C14" s="22"/>
      <c r="D14" s="23"/>
      <c r="E14" s="41"/>
      <c r="F14" s="39">
        <v>0</v>
      </c>
      <c r="G14" s="40"/>
      <c r="H14" s="15"/>
      <c r="I14" s="45"/>
    </row>
    <row r="15" s="1" customFormat="1" ht="35" customHeight="1" spans="1:9">
      <c r="A15" s="19"/>
      <c r="B15" s="21"/>
      <c r="C15" s="22"/>
      <c r="D15" s="23"/>
      <c r="E15" s="41"/>
      <c r="F15" s="39">
        <v>0</v>
      </c>
      <c r="G15" s="40"/>
      <c r="H15" s="15"/>
      <c r="I15" s="45"/>
    </row>
    <row r="16" s="1" customFormat="1" ht="35" customHeight="1" spans="1:9">
      <c r="A16" s="24"/>
      <c r="B16" s="25"/>
      <c r="C16" s="26"/>
      <c r="D16" s="27" t="s">
        <v>46</v>
      </c>
      <c r="E16" s="42"/>
      <c r="F16" s="43">
        <f>SUM(F10:G15)</f>
        <v>0</v>
      </c>
      <c r="G16" s="44"/>
      <c r="H16" s="15"/>
      <c r="I16" s="45"/>
    </row>
    <row r="17" s="1" customFormat="1" ht="35" customHeight="1" spans="1:9">
      <c r="A17" s="15"/>
      <c r="B17" s="15"/>
      <c r="C17" s="15"/>
      <c r="D17" s="15"/>
      <c r="E17" s="15"/>
      <c r="F17" s="15"/>
      <c r="G17" s="15"/>
      <c r="H17" s="15"/>
      <c r="I17" s="45"/>
    </row>
    <row r="18" s="1" customFormat="1" ht="35" customHeight="1" spans="1:9">
      <c r="A18" s="15"/>
      <c r="B18" s="15"/>
      <c r="C18" s="15"/>
      <c r="D18" s="15"/>
      <c r="E18" s="15"/>
      <c r="F18" s="15"/>
      <c r="G18" s="15"/>
      <c r="H18" s="15"/>
      <c r="I18" s="45"/>
    </row>
    <row r="19" s="1" customFormat="1" ht="35" customHeight="1" spans="1:9">
      <c r="A19" s="15"/>
      <c r="B19" s="15"/>
      <c r="C19" s="15"/>
      <c r="D19" s="15"/>
      <c r="E19" s="15"/>
      <c r="F19" s="15"/>
      <c r="G19" s="15"/>
      <c r="H19" s="15"/>
      <c r="I19" s="45"/>
    </row>
    <row r="20" s="1" customFormat="1" ht="35" customHeight="1" spans="1:9">
      <c r="A20" s="16" t="str">
        <f>IF(Main!B2,TEXT(EDATE(Main!B3,19),"dd mmmm yyyy"),TEXT(Main!B3+((Main!B5-Main!B3)*19+19),"dd mmmm yyyy"))&amp;" - "&amp;IF(Main!B2,TEXT(EDATE(Main!B3,20)-1,"dd mmmm yyyy"),TEXT(Main!B3+((Main!B5-Main!B3)*20+19),"dd mmmm yyyy"))&amp;" / "&amp;" (Revenue / Deferred Debts Or Expenses)"</f>
        <v>01 December 2026 - 31 December 2026 /  (Revenue / Deferred Debts Or Expenses)</v>
      </c>
      <c r="B20" s="17"/>
      <c r="C20" s="17"/>
      <c r="D20" s="17"/>
      <c r="E20" s="17"/>
      <c r="F20" s="17"/>
      <c r="G20" s="17"/>
      <c r="H20" s="15"/>
      <c r="I20" s="45"/>
    </row>
    <row r="21" s="1" customFormat="1" ht="35" customHeight="1" spans="1:9">
      <c r="A21" s="18" t="s">
        <v>29</v>
      </c>
      <c r="B21" s="18" t="s">
        <v>43</v>
      </c>
      <c r="C21" s="18"/>
      <c r="D21" s="18" t="s">
        <v>44</v>
      </c>
      <c r="E21" s="18"/>
      <c r="F21" s="18" t="s">
        <v>45</v>
      </c>
      <c r="G21" s="18"/>
      <c r="H21" s="15"/>
      <c r="I21" s="45"/>
    </row>
    <row r="22" s="1" customFormat="1" ht="35" customHeight="1" spans="1:9">
      <c r="A22" s="19"/>
      <c r="B22" s="20"/>
      <c r="C22" s="20"/>
      <c r="D22" s="20"/>
      <c r="E22" s="20"/>
      <c r="F22" s="39">
        <v>0</v>
      </c>
      <c r="G22" s="40"/>
      <c r="H22" s="15"/>
      <c r="I22" s="45"/>
    </row>
    <row r="23" s="1" customFormat="1" ht="35" customHeight="1" spans="1:9">
      <c r="A23" s="19"/>
      <c r="B23" s="21"/>
      <c r="C23" s="22"/>
      <c r="D23" s="23"/>
      <c r="E23" s="41"/>
      <c r="F23" s="39">
        <v>0</v>
      </c>
      <c r="G23" s="40"/>
      <c r="H23" s="15"/>
      <c r="I23" s="45"/>
    </row>
    <row r="24" s="1" customFormat="1" ht="35" customHeight="1" spans="1:9">
      <c r="A24" s="19"/>
      <c r="B24" s="21"/>
      <c r="C24" s="22"/>
      <c r="D24" s="23"/>
      <c r="E24" s="41"/>
      <c r="F24" s="39">
        <v>0</v>
      </c>
      <c r="G24" s="40"/>
      <c r="H24" s="15"/>
      <c r="I24" s="45"/>
    </row>
    <row r="25" s="1" customFormat="1" ht="35" customHeight="1" spans="1:9">
      <c r="A25" s="19"/>
      <c r="B25" s="21"/>
      <c r="C25" s="22"/>
      <c r="D25" s="23"/>
      <c r="E25" s="41"/>
      <c r="F25" s="39">
        <v>0</v>
      </c>
      <c r="G25" s="40"/>
      <c r="H25" s="15"/>
      <c r="I25" s="45"/>
    </row>
    <row r="26" s="1" customFormat="1" ht="35" customHeight="1" spans="1:9">
      <c r="A26" s="19"/>
      <c r="B26" s="21"/>
      <c r="C26" s="22"/>
      <c r="D26" s="23"/>
      <c r="E26" s="41"/>
      <c r="F26" s="39">
        <v>0</v>
      </c>
      <c r="G26" s="40"/>
      <c r="H26" s="15"/>
      <c r="I26" s="45"/>
    </row>
    <row r="27" s="1" customFormat="1" ht="35" customHeight="1" spans="1:9">
      <c r="A27" s="19"/>
      <c r="B27" s="21"/>
      <c r="C27" s="22"/>
      <c r="D27" s="23"/>
      <c r="E27" s="41"/>
      <c r="F27" s="39">
        <v>0</v>
      </c>
      <c r="G27" s="40"/>
      <c r="H27" s="15"/>
      <c r="I27" s="45"/>
    </row>
    <row r="28" s="1" customFormat="1" ht="35" customHeight="1" spans="1:9">
      <c r="A28" s="24"/>
      <c r="B28" s="25"/>
      <c r="C28" s="26"/>
      <c r="D28" s="27" t="s">
        <v>46</v>
      </c>
      <c r="E28" s="42"/>
      <c r="F28" s="43">
        <f>SUM(F22:G27)</f>
        <v>0</v>
      </c>
      <c r="G28" s="44"/>
      <c r="H28" s="15"/>
      <c r="I28" s="45"/>
    </row>
    <row r="29" s="1" customFormat="1" ht="35" customHeight="1" spans="1:9">
      <c r="A29" s="15"/>
      <c r="B29" s="15"/>
      <c r="C29" s="15"/>
      <c r="D29" s="15"/>
      <c r="E29" s="15"/>
      <c r="F29" s="15"/>
      <c r="G29" s="15"/>
      <c r="H29" s="15"/>
      <c r="I29" s="45"/>
    </row>
    <row r="30" s="1" customFormat="1" ht="35" customHeight="1" spans="1:9">
      <c r="A30" s="15"/>
      <c r="B30" s="15"/>
      <c r="C30" s="15"/>
      <c r="D30" s="15"/>
      <c r="E30" s="15"/>
      <c r="F30" s="15"/>
      <c r="G30" s="15"/>
      <c r="H30" s="15"/>
      <c r="I30" s="45"/>
    </row>
    <row r="31" s="1" customFormat="1" ht="35" customHeight="1" spans="1:9">
      <c r="A31" s="15"/>
      <c r="B31" s="15"/>
      <c r="C31" s="15"/>
      <c r="D31" s="15"/>
      <c r="E31" s="15"/>
      <c r="F31" s="15"/>
      <c r="G31" s="15"/>
      <c r="H31" s="15"/>
      <c r="I31" s="45"/>
    </row>
    <row r="32" s="1" customFormat="1" ht="35" customHeight="1" spans="1:9">
      <c r="A32" s="16" t="str">
        <f>IF(Main!B2,TEXT(EDATE(Main!B3,20),"dd mmmm yyyy"),TEXT(Main!B3+((Main!B5-Main!B3)*20+20),"dd mmmm yyyy"))&amp;" - "&amp;IF(Main!B2,TEXT(EDATE(Main!B3,21)-1,"dd mmmm yyyy"),TEXT(Main!B3+((Main!B5-Main!B3)*21+20),"dd mmmm yyyy"))&amp;" / "&amp;" (Revenue / Deferred Debts Or Expenses)"</f>
        <v>01 January 2027 - 31 January 2027 /  (Revenue / Deferred Debts Or Expenses)</v>
      </c>
      <c r="B32" s="17"/>
      <c r="C32" s="17"/>
      <c r="D32" s="17"/>
      <c r="E32" s="17"/>
      <c r="F32" s="17"/>
      <c r="G32" s="17"/>
      <c r="H32" s="15"/>
      <c r="I32" s="45"/>
    </row>
    <row r="33" s="1" customFormat="1" ht="35" customHeight="1" spans="1:9">
      <c r="A33" s="18" t="s">
        <v>29</v>
      </c>
      <c r="B33" s="18" t="s">
        <v>43</v>
      </c>
      <c r="C33" s="18"/>
      <c r="D33" s="18" t="s">
        <v>44</v>
      </c>
      <c r="E33" s="18"/>
      <c r="F33" s="18" t="s">
        <v>45</v>
      </c>
      <c r="G33" s="18"/>
      <c r="H33" s="15"/>
      <c r="I33" s="45"/>
    </row>
    <row r="34" s="1" customFormat="1" ht="35" customHeight="1" spans="1:9">
      <c r="A34" s="19"/>
      <c r="B34" s="20"/>
      <c r="C34" s="20"/>
      <c r="D34" s="20"/>
      <c r="E34" s="20"/>
      <c r="F34" s="39">
        <v>0</v>
      </c>
      <c r="G34" s="40"/>
      <c r="H34" s="15"/>
      <c r="I34" s="45"/>
    </row>
    <row r="35" s="1" customFormat="1" ht="35" customHeight="1" spans="1:9">
      <c r="A35" s="19"/>
      <c r="B35" s="21"/>
      <c r="C35" s="22"/>
      <c r="D35" s="23"/>
      <c r="E35" s="41"/>
      <c r="F35" s="39">
        <v>0</v>
      </c>
      <c r="G35" s="40"/>
      <c r="H35" s="15"/>
      <c r="I35" s="45"/>
    </row>
    <row r="36" s="1" customFormat="1" ht="35" customHeight="1" spans="1:9">
      <c r="A36" s="19"/>
      <c r="B36" s="21"/>
      <c r="C36" s="22"/>
      <c r="D36" s="23"/>
      <c r="E36" s="41"/>
      <c r="F36" s="39">
        <v>0</v>
      </c>
      <c r="G36" s="40"/>
      <c r="H36" s="15"/>
      <c r="I36" s="45"/>
    </row>
    <row r="37" s="1" customFormat="1" ht="35" customHeight="1" spans="1:9">
      <c r="A37" s="19"/>
      <c r="B37" s="21"/>
      <c r="C37" s="22"/>
      <c r="D37" s="23"/>
      <c r="E37" s="41"/>
      <c r="F37" s="39">
        <v>0</v>
      </c>
      <c r="G37" s="40"/>
      <c r="H37" s="15"/>
      <c r="I37" s="45"/>
    </row>
    <row r="38" s="1" customFormat="1" ht="35" customHeight="1" spans="1:9">
      <c r="A38" s="19"/>
      <c r="B38" s="21"/>
      <c r="C38" s="22"/>
      <c r="D38" s="23"/>
      <c r="E38" s="41"/>
      <c r="F38" s="39">
        <v>0</v>
      </c>
      <c r="G38" s="40"/>
      <c r="H38" s="15"/>
      <c r="I38" s="45"/>
    </row>
    <row r="39" s="1" customFormat="1" ht="35" customHeight="1" spans="1:9">
      <c r="A39" s="19"/>
      <c r="B39" s="21"/>
      <c r="C39" s="22"/>
      <c r="D39" s="23"/>
      <c r="E39" s="41"/>
      <c r="F39" s="39">
        <v>0</v>
      </c>
      <c r="G39" s="40"/>
      <c r="H39" s="15"/>
      <c r="I39" s="45"/>
    </row>
    <row r="40" s="1" customFormat="1" ht="35" customHeight="1" spans="1:9">
      <c r="A40" s="24"/>
      <c r="B40" s="25"/>
      <c r="C40" s="26"/>
      <c r="D40" s="27" t="s">
        <v>46</v>
      </c>
      <c r="E40" s="42"/>
      <c r="F40" s="43">
        <f>SUM(F34:G39)</f>
        <v>0</v>
      </c>
      <c r="G40" s="44"/>
      <c r="H40" s="15"/>
      <c r="I40" s="45"/>
    </row>
    <row r="41" s="1" customFormat="1" ht="35" customHeight="1" spans="1:9">
      <c r="A41" s="15"/>
      <c r="B41" s="15"/>
      <c r="C41" s="15"/>
      <c r="D41" s="15"/>
      <c r="E41" s="15"/>
      <c r="F41" s="15"/>
      <c r="G41" s="15"/>
      <c r="H41" s="15"/>
      <c r="I41" s="45"/>
    </row>
    <row r="42" s="1" customFormat="1" ht="35" customHeight="1" spans="1:9">
      <c r="A42" s="15"/>
      <c r="B42" s="15"/>
      <c r="C42" s="15"/>
      <c r="D42" s="15"/>
      <c r="E42" s="15"/>
      <c r="F42" s="15"/>
      <c r="G42" s="15"/>
      <c r="H42" s="15"/>
      <c r="I42" s="45"/>
    </row>
    <row r="43" s="1" customFormat="1" ht="35" customHeight="1" spans="1:9">
      <c r="A43" s="15"/>
      <c r="B43" s="15"/>
      <c r="C43" s="15"/>
      <c r="D43" s="15"/>
      <c r="E43" s="15"/>
      <c r="F43" s="15"/>
      <c r="G43" s="15"/>
      <c r="H43" s="15"/>
      <c r="I43" s="45"/>
    </row>
    <row r="44" s="1" customFormat="1" ht="35" customHeight="1" spans="1:9">
      <c r="A44" s="28" t="str">
        <f>"Fixed Expense For the Year "&amp;IF(Main!B2,TEXT(EDATE(Main!B3,18),"mmmm yyyy"),TEXT(Main!B3+((Main!B5-Main!B3)*18+18),"mmmm yyyy"))&amp;" to "&amp;IF(Main!B2,TEXT(EDATE(Main!B3,21)-1,"mmmm yyyy"),TEXT(Main!B3+((Main!B5-Main!B3)*21+20),"mmmm yyyy"))</f>
        <v>Fixed Expense For the Year November 2026 to January 2027</v>
      </c>
      <c r="B44" s="29"/>
      <c r="C44" s="30"/>
      <c r="D44" s="15"/>
      <c r="E44" s="15"/>
      <c r="F44" s="15"/>
      <c r="G44" s="15"/>
      <c r="H44" s="15"/>
      <c r="I44" s="45"/>
    </row>
    <row r="45" s="1" customFormat="1" ht="35" customHeight="1" spans="1:9">
      <c r="A45" s="2" t="s">
        <v>43</v>
      </c>
      <c r="B45" s="2" t="s">
        <v>44</v>
      </c>
      <c r="C45" s="2" t="s">
        <v>45</v>
      </c>
      <c r="D45" s="15"/>
      <c r="E45" s="15"/>
      <c r="F45" s="15"/>
      <c r="G45" s="15"/>
      <c r="H45" s="15"/>
      <c r="I45" s="45"/>
    </row>
    <row r="46" s="1" customFormat="1" ht="35" customHeight="1" spans="1:9">
      <c r="A46" s="31" t="s">
        <v>47</v>
      </c>
      <c r="B46" s="32"/>
      <c r="C46" s="33"/>
      <c r="D46" s="15"/>
      <c r="E46" s="15"/>
      <c r="F46" s="15"/>
      <c r="G46" s="15"/>
      <c r="H46" s="15"/>
      <c r="I46" s="45"/>
    </row>
    <row r="47" s="1" customFormat="1" ht="35" customHeight="1" spans="1:9">
      <c r="A47" s="34" t="str" cm="1">
        <f ca="1" t="array" ref="A47">IF((INDIRECT("'"&amp;INDIRECT("Main!B9")&amp;"'!A61"))=0,"",(INDIRECT("'"&amp;INDIRECT("Main!B9")&amp;"'!A61")))</f>
        <v/>
      </c>
      <c r="B47" s="34" t="str" cm="1">
        <f ca="1" t="array" ref="B47">IF((INDIRECT("'"&amp;INDIRECT("Main!B9")&amp;"'!B61"))=0,"",(INDIRECT("'"&amp;INDIRECT("Main!B9")&amp;"'!B61")))</f>
        <v/>
      </c>
      <c r="C47" s="35">
        <v>0</v>
      </c>
      <c r="D47" s="15"/>
      <c r="E47" s="15"/>
      <c r="F47" s="15"/>
      <c r="G47" s="15"/>
      <c r="H47" s="15"/>
      <c r="I47" s="45"/>
    </row>
    <row r="48" s="1" customFormat="1" ht="35" customHeight="1" spans="1:9">
      <c r="A48" s="34" t="str" cm="1">
        <f ca="1" t="array" ref="A48">IF((INDIRECT("'"&amp;INDIRECT("Main!B9")&amp;"'!A62"))=0,"",(INDIRECT("'"&amp;INDIRECT("Main!B9")&amp;"'!A62")))</f>
        <v/>
      </c>
      <c r="B48" s="34" t="str" cm="1">
        <f ca="1" t="array" ref="B48">IF((INDIRECT("'"&amp;INDIRECT("Main!B9")&amp;"'!B62"))=0,"",(INDIRECT("'"&amp;INDIRECT("Main!B9")&amp;"'!B62")))</f>
        <v/>
      </c>
      <c r="C48" s="35">
        <v>0</v>
      </c>
      <c r="D48" s="15"/>
      <c r="E48" s="15"/>
      <c r="F48" s="15"/>
      <c r="G48" s="15"/>
      <c r="H48" s="15"/>
      <c r="I48" s="45"/>
    </row>
    <row r="49" s="1" customFormat="1" ht="35" customHeight="1" spans="1:9">
      <c r="A49" s="34" t="str" cm="1">
        <f ca="1" t="array" ref="A49">IF((INDIRECT("'"&amp;INDIRECT("Main!B9")&amp;"'!A63"))=0,"",(INDIRECT("'"&amp;INDIRECT("Main!B9")&amp;"'!A63")))</f>
        <v/>
      </c>
      <c r="B49" s="34" t="str" cm="1">
        <f ca="1" t="array" ref="B49">IF((INDIRECT("'"&amp;INDIRECT("Main!B9")&amp;"'!B63"))=0,"",(INDIRECT("'"&amp;INDIRECT("Main!B9")&amp;"'!B63")))</f>
        <v/>
      </c>
      <c r="C49" s="35">
        <v>0</v>
      </c>
      <c r="D49" s="15"/>
      <c r="E49" s="15"/>
      <c r="F49" s="15"/>
      <c r="G49" s="15"/>
      <c r="H49" s="15"/>
      <c r="I49" s="45"/>
    </row>
    <row r="50" s="1" customFormat="1" ht="35" customHeight="1" spans="1:9">
      <c r="A50" s="34" t="str" cm="1">
        <f ca="1" t="array" ref="A50">IF((INDIRECT("'"&amp;INDIRECT("Main!B9")&amp;"'!A64"))=0,"",(INDIRECT("'"&amp;INDIRECT("Main!B9")&amp;"'!A64")))</f>
        <v/>
      </c>
      <c r="B50" s="34" t="str" cm="1">
        <f ca="1" t="array" ref="B50">IF((INDIRECT("'"&amp;INDIRECT("Main!B9")&amp;"'!B64"))=0,"",(INDIRECT("'"&amp;INDIRECT("Main!B9")&amp;"'!B64")))</f>
        <v/>
      </c>
      <c r="C50" s="35">
        <v>0</v>
      </c>
      <c r="D50" s="15"/>
      <c r="E50" s="15"/>
      <c r="F50" s="15"/>
      <c r="G50" s="15"/>
      <c r="H50" s="15"/>
      <c r="I50" s="45"/>
    </row>
    <row r="51" s="1" customFormat="1" ht="35" customHeight="1" spans="1:9">
      <c r="A51" s="34" t="str" cm="1">
        <f ca="1" t="array" ref="A51">IF((INDIRECT("'"&amp;INDIRECT("Main!B9")&amp;"'!A65"))=0,"",(INDIRECT("'"&amp;INDIRECT("Main!B9")&amp;"'!A65")))</f>
        <v/>
      </c>
      <c r="B51" s="34" t="str" cm="1">
        <f ca="1" t="array" ref="B51">IF((INDIRECT("'"&amp;INDIRECT("Main!B9")&amp;"'!B65"))=0,"",(INDIRECT("'"&amp;INDIRECT("Main!B9")&amp;"'!B65")))</f>
        <v/>
      </c>
      <c r="C51" s="35">
        <v>0</v>
      </c>
      <c r="D51" s="15"/>
      <c r="E51" s="15"/>
      <c r="F51" s="15"/>
      <c r="G51" s="15"/>
      <c r="H51" s="15"/>
      <c r="I51" s="45"/>
    </row>
    <row r="52" s="1" customFormat="1" ht="35" customHeight="1" spans="1:9">
      <c r="A52" s="34" t="str" cm="1">
        <f ca="1" t="array" ref="A52">IF((INDIRECT("'"&amp;INDIRECT("Main!B9")&amp;"'!A66"))=0,"",(INDIRECT("'"&amp;INDIRECT("Main!B9")&amp;"'!A66")))</f>
        <v/>
      </c>
      <c r="B52" s="34" t="str" cm="1">
        <f ca="1" t="array" ref="B52">IF((INDIRECT("'"&amp;INDIRECT("Main!B9")&amp;"'!B66"))=0,"",(INDIRECT("'"&amp;INDIRECT("Main!B9")&amp;"'!B66")))</f>
        <v/>
      </c>
      <c r="C52" s="35">
        <v>0</v>
      </c>
      <c r="D52" s="15"/>
      <c r="E52" s="15"/>
      <c r="F52" s="15"/>
      <c r="G52" s="15"/>
      <c r="H52" s="15"/>
      <c r="I52" s="45"/>
    </row>
    <row r="53" s="1" customFormat="1" ht="35" customHeight="1" spans="1:9">
      <c r="A53" s="34" t="str" cm="1">
        <f ca="1" t="array" ref="A53">IF((INDIRECT("'"&amp;INDIRECT("Main!B9")&amp;"'!A67"))=0,"",(INDIRECT("'"&amp;INDIRECT("Main!B9")&amp;"'!A67")))</f>
        <v/>
      </c>
      <c r="B53" s="34" t="str" cm="1">
        <f ca="1" t="array" ref="B53">IF((INDIRECT("'"&amp;INDIRECT("Main!B9")&amp;"'!B67"))=0,"",(INDIRECT("'"&amp;INDIRECT("Main!B9")&amp;"'!B67")))</f>
        <v/>
      </c>
      <c r="C53" s="35">
        <v>0</v>
      </c>
      <c r="D53" s="15"/>
      <c r="E53" s="15"/>
      <c r="F53" s="15"/>
      <c r="G53" s="15"/>
      <c r="H53" s="15"/>
      <c r="I53" s="45"/>
    </row>
    <row r="54" s="1" customFormat="1" ht="35" customHeight="1" spans="1:9">
      <c r="A54" s="34" t="str" cm="1">
        <f ca="1" t="array" ref="A54">IF((INDIRECT("'"&amp;INDIRECT("Main!B9")&amp;"'!A68"))=0,"",(INDIRECT("'"&amp;INDIRECT("Main!B9")&amp;"'!A68")))</f>
        <v/>
      </c>
      <c r="B54" s="34" t="str" cm="1">
        <f ca="1" t="array" ref="B54">IF((INDIRECT("'"&amp;INDIRECT("Main!B9")&amp;"'!B68"))=0,"",(INDIRECT("'"&amp;INDIRECT("Main!B9")&amp;"'!B68")))</f>
        <v/>
      </c>
      <c r="C54" s="35">
        <v>0</v>
      </c>
      <c r="D54" s="15"/>
      <c r="E54" s="15"/>
      <c r="F54" s="15"/>
      <c r="G54" s="15"/>
      <c r="H54" s="15"/>
      <c r="I54" s="45"/>
    </row>
    <row r="55" s="1" customFormat="1" ht="35" customHeight="1" spans="1:9">
      <c r="A55" s="36"/>
      <c r="B55" s="37" t="s">
        <v>48</v>
      </c>
      <c r="C55" s="35">
        <f>SUM(C47:C54)</f>
        <v>0</v>
      </c>
      <c r="D55" s="15"/>
      <c r="E55" s="15"/>
      <c r="F55" s="15"/>
      <c r="G55" s="15"/>
      <c r="H55" s="15"/>
      <c r="I55" s="45"/>
    </row>
    <row r="56" s="1" customFormat="1" ht="35" customHeight="1" spans="1:9">
      <c r="A56" s="83" t="s">
        <v>49</v>
      </c>
      <c r="B56" s="84"/>
      <c r="C56" s="85"/>
      <c r="D56" s="15"/>
      <c r="E56" s="15"/>
      <c r="F56" s="15"/>
      <c r="G56" s="15"/>
      <c r="H56" s="15"/>
      <c r="I56" s="45"/>
    </row>
    <row r="57" s="1" customFormat="1" ht="35" customHeight="1" spans="1:9">
      <c r="A57" s="34" t="str" cm="1">
        <f ca="1" t="array" ref="A57">IF((INDIRECT("'"&amp;INDIRECT("Main!B9")&amp;"'!A71"))=0,"",(INDIRECT("'"&amp;INDIRECT("Main!B9")&amp;"'!A71")))</f>
        <v/>
      </c>
      <c r="B57" s="34" t="str" cm="1">
        <f ca="1" t="array" ref="B57">IF((INDIRECT("'"&amp;INDIRECT("Main!B9")&amp;"'!B71"))=0,"",(INDIRECT("'"&amp;INDIRECT("Main!B9")&amp;"'!B71")))</f>
        <v/>
      </c>
      <c r="C57" s="35">
        <v>0</v>
      </c>
      <c r="D57" s="15"/>
      <c r="E57" s="15"/>
      <c r="F57" s="15"/>
      <c r="G57" s="15"/>
      <c r="H57" s="15"/>
      <c r="I57" s="45"/>
    </row>
    <row r="58" s="1" customFormat="1" ht="35" customHeight="1" spans="1:9">
      <c r="A58" s="34" t="str" cm="1">
        <f ca="1" t="array" ref="A58">IF((INDIRECT("'"&amp;INDIRECT("Main!B9")&amp;"'!A72"))=0,"",(INDIRECT("'"&amp;INDIRECT("Main!B9")&amp;"'!A72")))</f>
        <v/>
      </c>
      <c r="B58" s="34" t="str" cm="1">
        <f ca="1" t="array" ref="B58">IF((INDIRECT("'"&amp;INDIRECT("Main!B9")&amp;"'!B72"))=0,"",(INDIRECT("'"&amp;INDIRECT("Main!B9")&amp;"'!B72")))</f>
        <v/>
      </c>
      <c r="C58" s="35">
        <v>0</v>
      </c>
      <c r="D58" s="15"/>
      <c r="E58" s="15"/>
      <c r="F58" s="15"/>
      <c r="G58" s="15"/>
      <c r="H58" s="15"/>
      <c r="I58" s="45"/>
    </row>
    <row r="59" s="1" customFormat="1" ht="35" customHeight="1" spans="1:9">
      <c r="A59" s="34" t="str" cm="1">
        <f ca="1" t="array" ref="A59">IF((INDIRECT("'"&amp;INDIRECT("Main!B9")&amp;"'!A73"))=0,"",(INDIRECT("'"&amp;INDIRECT("Main!B9")&amp;"'!A73")))</f>
        <v/>
      </c>
      <c r="B59" s="34" t="str" cm="1">
        <f ca="1" t="array" ref="B59">IF((INDIRECT("'"&amp;INDIRECT("Main!B9")&amp;"'!B73"))=0,"",(INDIRECT("'"&amp;INDIRECT("Main!B9")&amp;"'!B73")))</f>
        <v/>
      </c>
      <c r="C59" s="35">
        <v>0</v>
      </c>
      <c r="D59" s="15"/>
      <c r="E59" s="15"/>
      <c r="F59" s="15"/>
      <c r="G59" s="15"/>
      <c r="H59" s="15"/>
      <c r="I59" s="45"/>
    </row>
    <row r="60" s="1" customFormat="1" ht="35" customHeight="1" spans="1:9">
      <c r="A60" s="34" t="str" cm="1">
        <f ca="1" t="array" ref="A60">IF((INDIRECT("'"&amp;INDIRECT("Main!B9")&amp;"'!A74"))=0,"",(INDIRECT("'"&amp;INDIRECT("Main!B9")&amp;"'!A74")))</f>
        <v/>
      </c>
      <c r="B60" s="34" t="str" cm="1">
        <f ca="1" t="array" ref="B60">IF((INDIRECT("'"&amp;INDIRECT("Main!B9")&amp;"'!B74"))=0,"",(INDIRECT("'"&amp;INDIRECT("Main!B9")&amp;"'!B74")))</f>
        <v/>
      </c>
      <c r="C60" s="35">
        <v>0</v>
      </c>
      <c r="D60" s="15"/>
      <c r="E60" s="15"/>
      <c r="F60" s="15"/>
      <c r="G60" s="15"/>
      <c r="H60" s="15"/>
      <c r="I60" s="45"/>
    </row>
    <row r="61" s="1" customFormat="1" ht="35" customHeight="1" spans="1:9">
      <c r="A61" s="34" t="str" cm="1">
        <f ca="1" t="array" ref="A61">IF((INDIRECT("'"&amp;INDIRECT("Main!B9")&amp;"'!A75"))=0,"",(INDIRECT("'"&amp;INDIRECT("Main!B9")&amp;"'!A75")))</f>
        <v/>
      </c>
      <c r="B61" s="34" t="str" cm="1">
        <f ca="1" t="array" ref="B61">IF((INDIRECT("'"&amp;INDIRECT("Main!B9")&amp;"'!B75"))=0,"",(INDIRECT("'"&amp;INDIRECT("Main!B9")&amp;"'!B75")))</f>
        <v/>
      </c>
      <c r="C61" s="35">
        <v>0</v>
      </c>
      <c r="D61" s="15"/>
      <c r="E61" s="15"/>
      <c r="F61" s="15"/>
      <c r="G61" s="15"/>
      <c r="H61" s="15"/>
      <c r="I61" s="45"/>
    </row>
    <row r="62" s="1" customFormat="1" ht="35" customHeight="1" spans="1:9">
      <c r="A62" s="34" t="str" cm="1">
        <f ca="1" t="array" ref="A62">IF((INDIRECT("'"&amp;INDIRECT("Main!B9")&amp;"'!A76"))=0,"",(INDIRECT("'"&amp;INDIRECT("Main!B9")&amp;"'!A76")))</f>
        <v/>
      </c>
      <c r="B62" s="34" t="str" cm="1">
        <f ca="1" t="array" ref="B62">IF((INDIRECT("'"&amp;INDIRECT("Main!B9")&amp;"'!B76"))=0,"",(INDIRECT("'"&amp;INDIRECT("Main!B9")&amp;"'!B76")))</f>
        <v/>
      </c>
      <c r="C62" s="35">
        <v>0</v>
      </c>
      <c r="D62" s="15"/>
      <c r="E62" s="15"/>
      <c r="F62" s="15"/>
      <c r="G62" s="15"/>
      <c r="H62" s="15"/>
      <c r="I62" s="45"/>
    </row>
    <row r="63" s="1" customFormat="1" ht="35" customHeight="1" spans="1:9">
      <c r="A63" s="34" t="str" cm="1">
        <f ca="1" t="array" ref="A63">IF((INDIRECT("'"&amp;INDIRECT("Main!B9")&amp;"'!A77"))=0,"",(INDIRECT("'"&amp;INDIRECT("Main!B9")&amp;"'!A77")))</f>
        <v/>
      </c>
      <c r="B63" s="34" t="str" cm="1">
        <f ca="1" t="array" ref="B63">IF((INDIRECT("'"&amp;INDIRECT("Main!B9")&amp;"'!B77"))=0,"",(INDIRECT("'"&amp;INDIRECT("Main!B9")&amp;"'!B77")))</f>
        <v/>
      </c>
      <c r="C63" s="35">
        <v>0</v>
      </c>
      <c r="D63" s="15"/>
      <c r="E63" s="15"/>
      <c r="F63" s="15"/>
      <c r="G63" s="15"/>
      <c r="H63" s="15"/>
      <c r="I63" s="45"/>
    </row>
    <row r="64" s="1" customFormat="1" ht="35" customHeight="1" spans="1:9">
      <c r="A64" s="34" t="str" cm="1">
        <f ca="1" t="array" ref="A64">IF((INDIRECT("'"&amp;INDIRECT("Main!B9")&amp;"'!A78"))=0,"",(INDIRECT("'"&amp;INDIRECT("Main!B9")&amp;"'!A78")))</f>
        <v/>
      </c>
      <c r="B64" s="34" t="str" cm="1">
        <f ca="1" t="array" ref="B64">IF((INDIRECT("'"&amp;INDIRECT("Main!B9")&amp;"'!B78"))=0,"",(INDIRECT("'"&amp;INDIRECT("Main!B9")&amp;"'!B78")))</f>
        <v/>
      </c>
      <c r="C64" s="35">
        <v>0</v>
      </c>
      <c r="D64" s="15"/>
      <c r="E64" s="15"/>
      <c r="F64" s="15"/>
      <c r="G64" s="15"/>
      <c r="H64" s="15"/>
      <c r="I64" s="45"/>
    </row>
    <row r="65" s="1" customFormat="1" ht="35" customHeight="1" spans="1:9">
      <c r="A65" s="34" t="str" cm="1">
        <f ca="1" t="array" ref="A65">IF((INDIRECT("'"&amp;INDIRECT("Main!B9")&amp;"'!A79"))=0,"",(INDIRECT("'"&amp;INDIRECT("Main!B9")&amp;"'!A79")))</f>
        <v/>
      </c>
      <c r="B65" s="34" t="str" cm="1">
        <f ca="1" t="array" ref="B65">IF((INDIRECT("'"&amp;INDIRECT("Main!B9")&amp;"'!B79"))=0,"",(INDIRECT("'"&amp;INDIRECT("Main!B9")&amp;"'!B79")))</f>
        <v/>
      </c>
      <c r="C65" s="35">
        <v>0</v>
      </c>
      <c r="D65" s="15"/>
      <c r="E65" s="15"/>
      <c r="F65" s="15"/>
      <c r="G65" s="15"/>
      <c r="H65" s="15"/>
      <c r="I65" s="45"/>
    </row>
    <row r="66" s="1" customFormat="1" ht="35" customHeight="1" spans="1:9">
      <c r="A66" s="46"/>
      <c r="B66" s="37" t="s">
        <v>48</v>
      </c>
      <c r="C66" s="35">
        <f>SUM(C57:C65)</f>
        <v>0</v>
      </c>
      <c r="D66" s="15"/>
      <c r="E66" s="15"/>
      <c r="F66" s="15"/>
      <c r="G66" s="15"/>
      <c r="H66" s="15"/>
      <c r="I66" s="45"/>
    </row>
    <row r="67" s="1" customFormat="1" ht="35" customHeight="1" spans="1:9">
      <c r="A67" s="83" t="s">
        <v>50</v>
      </c>
      <c r="B67" s="84"/>
      <c r="C67" s="85"/>
      <c r="D67" s="15"/>
      <c r="E67" s="15"/>
      <c r="F67" s="15"/>
      <c r="G67" s="15"/>
      <c r="H67" s="15"/>
      <c r="I67" s="45"/>
    </row>
    <row r="68" s="1" customFormat="1" ht="35" customHeight="1" spans="1:9">
      <c r="A68" s="47" t="str" cm="1">
        <f ca="1" t="array" ref="A68">IF((INDIRECT("'"&amp;INDIRECT("Main!B9")&amp;"'!A82"))=0,"",(INDIRECT("'"&amp;INDIRECT("Main!B9")&amp;"'!A82")))</f>
        <v/>
      </c>
      <c r="B68" s="47" t="str" cm="1">
        <f ca="1" t="array" ref="B68">IF((INDIRECT("'"&amp;INDIRECT("Main!B9")&amp;"'!B82"))=0,"",(INDIRECT("'"&amp;INDIRECT("Main!B9")&amp;"'!B82")))</f>
        <v/>
      </c>
      <c r="C68" s="35">
        <v>0</v>
      </c>
      <c r="D68" s="15"/>
      <c r="E68" s="15"/>
      <c r="F68" s="15"/>
      <c r="G68" s="15"/>
      <c r="H68" s="15"/>
      <c r="I68" s="45"/>
    </row>
    <row r="69" s="1" customFormat="1" ht="35" customHeight="1" spans="1:9">
      <c r="A69" s="47" t="str" cm="1">
        <f ca="1" t="array" ref="A69">IF((INDIRECT("'"&amp;INDIRECT("Main!B9")&amp;"'!A83"))=0,"",(INDIRECT("'"&amp;INDIRECT("Main!B9")&amp;"'!A83")))</f>
        <v/>
      </c>
      <c r="B69" s="47" t="str" cm="1">
        <f ca="1" t="array" ref="B69">IF((INDIRECT("'"&amp;INDIRECT("Main!B9")&amp;"'!B83"))=0,"",(INDIRECT("'"&amp;INDIRECT("Main!B9")&amp;"'!B83")))</f>
        <v/>
      </c>
      <c r="C69" s="35">
        <v>0</v>
      </c>
      <c r="D69" s="15"/>
      <c r="E69" s="15"/>
      <c r="F69" s="15"/>
      <c r="G69" s="15"/>
      <c r="H69" s="15"/>
      <c r="I69" s="45"/>
    </row>
    <row r="70" s="1" customFormat="1" ht="35" customHeight="1" spans="1:9">
      <c r="A70" s="47" t="str" cm="1">
        <f ca="1" t="array" ref="A70">IF((INDIRECT("'"&amp;INDIRECT("Main!B9")&amp;"'!A84"))=0,"",(INDIRECT("'"&amp;INDIRECT("Main!B9")&amp;"'!A84")))</f>
        <v/>
      </c>
      <c r="B70" s="47" t="str" cm="1">
        <f ca="1" t="array" ref="B70">IF((INDIRECT("'"&amp;INDIRECT("Main!B9")&amp;"'!B84"))=0,"",(INDIRECT("'"&amp;INDIRECT("Main!B9")&amp;"'!B84")))</f>
        <v/>
      </c>
      <c r="C70" s="35">
        <v>0</v>
      </c>
      <c r="D70" s="15"/>
      <c r="E70" s="15"/>
      <c r="F70" s="15"/>
      <c r="G70" s="15"/>
      <c r="H70" s="15"/>
      <c r="I70" s="45"/>
    </row>
    <row r="71" s="1" customFormat="1" ht="35" customHeight="1" spans="1:9">
      <c r="A71" s="47" t="str" cm="1">
        <f ca="1" t="array" ref="A71">IF((INDIRECT("'"&amp;INDIRECT("Main!B9")&amp;"'!A85"))=0,"",(INDIRECT("'"&amp;INDIRECT("Main!B9")&amp;"'!A85")))</f>
        <v/>
      </c>
      <c r="B71" s="47" t="str" cm="1">
        <f ca="1" t="array" ref="B71">IF((INDIRECT("'"&amp;INDIRECT("Main!B9")&amp;"'!B85"))=0,"",(INDIRECT("'"&amp;INDIRECT("Main!B9")&amp;"'!B85")))</f>
        <v/>
      </c>
      <c r="C71" s="35">
        <v>0</v>
      </c>
      <c r="D71" s="15"/>
      <c r="E71" s="15"/>
      <c r="F71" s="15"/>
      <c r="G71" s="15"/>
      <c r="H71" s="15"/>
      <c r="I71" s="45"/>
    </row>
    <row r="72" s="1" customFormat="1" ht="35" customHeight="1" spans="1:9">
      <c r="A72" s="47" t="str" cm="1">
        <f ca="1" t="array" ref="A72">IF((INDIRECT("'"&amp;INDIRECT("Main!B9")&amp;"'!A86"))=0,"",(INDIRECT("'"&amp;INDIRECT("Main!B9")&amp;"'!A86")))</f>
        <v/>
      </c>
      <c r="B72" s="47" t="str" cm="1">
        <f ca="1" t="array" ref="B72">IF((INDIRECT("'"&amp;INDIRECT("Main!B9")&amp;"'!B86"))=0,"",(INDIRECT("'"&amp;INDIRECT("Main!B9")&amp;"'!B86")))</f>
        <v/>
      </c>
      <c r="C72" s="35">
        <v>0</v>
      </c>
      <c r="D72" s="15"/>
      <c r="E72" s="15"/>
      <c r="F72" s="15"/>
      <c r="G72" s="15"/>
      <c r="H72" s="15"/>
      <c r="I72" s="45"/>
    </row>
    <row r="73" s="1" customFormat="1" ht="35" customHeight="1" spans="1:9">
      <c r="A73" s="47" t="str" cm="1">
        <f ca="1" t="array" ref="A73">IF((INDIRECT("'"&amp;INDIRECT("Main!B9")&amp;"'!A87"))=0,"",(INDIRECT("'"&amp;INDIRECT("Main!B9")&amp;"'!A87")))</f>
        <v/>
      </c>
      <c r="B73" s="47" t="str" cm="1">
        <f ca="1" t="array" ref="B73">IF((INDIRECT("'"&amp;INDIRECT("Main!B9")&amp;"'!B87"))=0,"",(INDIRECT("'"&amp;INDIRECT("Main!B9")&amp;"'!B87")))</f>
        <v/>
      </c>
      <c r="C73" s="35">
        <v>0</v>
      </c>
      <c r="D73" s="15"/>
      <c r="E73" s="15"/>
      <c r="F73" s="15"/>
      <c r="G73" s="15"/>
      <c r="H73" s="15"/>
      <c r="I73" s="45"/>
    </row>
    <row r="74" s="1" customFormat="1" ht="35" customHeight="1" spans="1:9">
      <c r="A74" s="47" t="str" cm="1">
        <f ca="1" t="array" ref="A74">IF((INDIRECT("'"&amp;INDIRECT("Main!B9")&amp;"'!A88"))=0,"",(INDIRECT("'"&amp;INDIRECT("Main!B9")&amp;"'!A88")))</f>
        <v/>
      </c>
      <c r="B74" s="47" t="str" cm="1">
        <f ca="1" t="array" ref="B74">IF((INDIRECT("'"&amp;INDIRECT("Main!B9")&amp;"'!B88"))=0,"",(INDIRECT("'"&amp;INDIRECT("Main!B9")&amp;"'!B88")))</f>
        <v/>
      </c>
      <c r="C74" s="35">
        <v>0</v>
      </c>
      <c r="D74" s="15"/>
      <c r="E74" s="15"/>
      <c r="F74" s="15"/>
      <c r="G74" s="15"/>
      <c r="H74" s="15"/>
      <c r="I74" s="45"/>
    </row>
    <row r="75" s="1" customFormat="1" ht="35" customHeight="1" spans="1:9">
      <c r="A75" s="46"/>
      <c r="B75" s="37" t="s">
        <v>48</v>
      </c>
      <c r="C75" s="35">
        <f>SUM(C68:C74)</f>
        <v>0</v>
      </c>
      <c r="D75" s="15"/>
      <c r="E75" s="15"/>
      <c r="F75" s="15"/>
      <c r="G75" s="15"/>
      <c r="H75" s="15"/>
      <c r="I75" s="45"/>
    </row>
    <row r="76" s="1" customFormat="1" ht="35" customHeight="1" spans="1:9">
      <c r="A76" s="83" t="s">
        <v>51</v>
      </c>
      <c r="B76" s="84"/>
      <c r="C76" s="85"/>
      <c r="D76" s="15"/>
      <c r="E76" s="15"/>
      <c r="F76" s="15"/>
      <c r="G76" s="15"/>
      <c r="H76" s="15"/>
      <c r="I76" s="45"/>
    </row>
    <row r="77" s="1" customFormat="1" ht="35" customHeight="1" spans="1:9">
      <c r="A77" s="34" t="str" cm="1">
        <f ca="1" t="array" ref="A77">IF((INDIRECT("'"&amp;INDIRECT("Main!B9")&amp;"'!A91"))=0,"",(INDIRECT("'"&amp;INDIRECT("Main!B9")&amp;"'!A91")))</f>
        <v/>
      </c>
      <c r="B77" s="34" t="str" cm="1">
        <f ca="1" t="array" ref="B77">IF((INDIRECT("'"&amp;INDIRECT("Main!B9")&amp;"'!B91"))=0,"",(INDIRECT("'"&amp;INDIRECT("Main!B9")&amp;"'!B91")))</f>
        <v/>
      </c>
      <c r="C77" s="35">
        <v>0</v>
      </c>
      <c r="D77" s="15"/>
      <c r="E77" s="15"/>
      <c r="F77" s="15"/>
      <c r="G77" s="15"/>
      <c r="H77" s="15"/>
      <c r="I77" s="45"/>
    </row>
    <row r="78" s="1" customFormat="1" ht="35" customHeight="1" spans="1:9">
      <c r="A78" s="34" t="str" cm="1">
        <f ca="1" t="array" ref="A78">IF((INDIRECT("'"&amp;INDIRECT("Main!B9")&amp;"'!A92"))=0,"",(INDIRECT("'"&amp;INDIRECT("Main!B9")&amp;"'!A92")))</f>
        <v/>
      </c>
      <c r="B78" s="34" t="str" cm="1">
        <f ca="1" t="array" ref="B78">IF((INDIRECT("'"&amp;INDIRECT("Main!B9")&amp;"'!B92"))=0,"",(INDIRECT("'"&amp;INDIRECT("Main!B9")&amp;"'!B92")))</f>
        <v/>
      </c>
      <c r="C78" s="35">
        <v>0</v>
      </c>
      <c r="D78" s="15"/>
      <c r="E78" s="15"/>
      <c r="F78" s="15"/>
      <c r="G78" s="15"/>
      <c r="H78" s="15"/>
      <c r="I78" s="45"/>
    </row>
    <row r="79" s="1" customFormat="1" ht="35" customHeight="1" spans="1:9">
      <c r="A79" s="34" t="str" cm="1">
        <f ca="1" t="array" ref="A79">IF((INDIRECT("'"&amp;INDIRECT("Main!B9")&amp;"'!A93"))=0,"",(INDIRECT("'"&amp;INDIRECT("Main!B9")&amp;"'!A93")))</f>
        <v/>
      </c>
      <c r="B79" s="34" t="str" cm="1">
        <f ca="1" t="array" ref="B79">IF((INDIRECT("'"&amp;INDIRECT("Main!B9")&amp;"'!B93"))=0,"",(INDIRECT("'"&amp;INDIRECT("Main!B9")&amp;"'!B93")))</f>
        <v/>
      </c>
      <c r="C79" s="35">
        <v>0</v>
      </c>
      <c r="D79" s="15"/>
      <c r="E79" s="15"/>
      <c r="F79" s="15"/>
      <c r="G79" s="15"/>
      <c r="H79" s="15"/>
      <c r="I79" s="45"/>
    </row>
    <row r="80" s="1" customFormat="1" ht="35" customHeight="1" spans="1:9">
      <c r="A80" s="34" t="str" cm="1">
        <f ca="1" t="array" ref="A80">IF((INDIRECT("'"&amp;INDIRECT("Main!B9")&amp;"'!A94"))=0,"",(INDIRECT("'"&amp;INDIRECT("Main!B9")&amp;"'!A94")))</f>
        <v/>
      </c>
      <c r="B80" s="34" t="str" cm="1">
        <f ca="1" t="array" ref="B80">IF((INDIRECT("'"&amp;INDIRECT("Main!B9")&amp;"'!B94"))=0,"",(INDIRECT("'"&amp;INDIRECT("Main!B9")&amp;"'!B94")))</f>
        <v/>
      </c>
      <c r="C80" s="35">
        <v>0</v>
      </c>
      <c r="D80" s="15"/>
      <c r="E80" s="15"/>
      <c r="F80" s="15"/>
      <c r="G80" s="15"/>
      <c r="H80" s="15"/>
      <c r="I80" s="45"/>
    </row>
    <row r="81" s="1" customFormat="1" ht="35" customHeight="1" spans="1:9">
      <c r="A81" s="34" t="str" cm="1">
        <f ca="1" t="array" ref="A81">IF((INDIRECT("'"&amp;INDIRECT("Main!B9")&amp;"'!A95"))=0,"",(INDIRECT("'"&amp;INDIRECT("Main!B9")&amp;"'!A95")))</f>
        <v/>
      </c>
      <c r="B81" s="34" t="str" cm="1">
        <f ca="1" t="array" ref="B81">IF((INDIRECT("'"&amp;INDIRECT("Main!B9")&amp;"'!B95"))=0,"",(INDIRECT("'"&amp;INDIRECT("Main!B9")&amp;"'!B95")))</f>
        <v/>
      </c>
      <c r="C81" s="35">
        <v>0</v>
      </c>
      <c r="D81" s="15"/>
      <c r="E81" s="15"/>
      <c r="F81" s="15"/>
      <c r="G81" s="15"/>
      <c r="H81" s="15"/>
      <c r="I81" s="45"/>
    </row>
    <row r="82" s="1" customFormat="1" ht="35" customHeight="1" spans="1:9">
      <c r="A82" s="34" t="str" cm="1">
        <f ca="1" t="array" ref="A82">IF((INDIRECT("'"&amp;INDIRECT("Main!B9")&amp;"'!A96"))=0,"",(INDIRECT("'"&amp;INDIRECT("Main!B9")&amp;"'!A96")))</f>
        <v/>
      </c>
      <c r="B82" s="34" t="str" cm="1">
        <f ca="1" t="array" ref="B82">IF((INDIRECT("'"&amp;INDIRECT("Main!B9")&amp;"'!B96"))=0,"",(INDIRECT("'"&amp;INDIRECT("Main!B9")&amp;"'!B96")))</f>
        <v/>
      </c>
      <c r="C82" s="35">
        <v>0</v>
      </c>
      <c r="D82" s="15"/>
      <c r="E82" s="15"/>
      <c r="F82" s="15"/>
      <c r="G82" s="15"/>
      <c r="H82" s="15"/>
      <c r="I82" s="45"/>
    </row>
    <row r="83" s="1" customFormat="1" ht="35" customHeight="1" spans="1:9">
      <c r="A83" s="34" t="str" cm="1">
        <f ca="1" t="array" ref="A83">IF((INDIRECT("'"&amp;INDIRECT("Main!B9")&amp;"'!A97"))=0,"",(INDIRECT("'"&amp;INDIRECT("Main!B9")&amp;"'!A97")))</f>
        <v/>
      </c>
      <c r="B83" s="34" t="str" cm="1">
        <f ca="1" t="array" ref="B83">IF((INDIRECT("'"&amp;INDIRECT("Main!B9")&amp;"'!B97"))=0,"",(INDIRECT("'"&amp;INDIRECT("Main!B9")&amp;"'!B97")))</f>
        <v/>
      </c>
      <c r="C83" s="35">
        <v>0</v>
      </c>
      <c r="D83" s="15"/>
      <c r="E83" s="15"/>
      <c r="F83" s="15"/>
      <c r="G83" s="15"/>
      <c r="H83" s="15"/>
      <c r="I83" s="45"/>
    </row>
    <row r="84" s="1" customFormat="1" ht="35" customHeight="1" spans="1:9">
      <c r="A84" s="34" t="str" cm="1">
        <f ca="1" t="array" ref="A84">IF((INDIRECT("'"&amp;INDIRECT("Main!B9")&amp;"'!A98"))=0,"",(INDIRECT("'"&amp;INDIRECT("Main!B9")&amp;"'!A98")))</f>
        <v/>
      </c>
      <c r="B84" s="34" t="str" cm="1">
        <f ca="1" t="array" ref="B84">IF((INDIRECT("'"&amp;INDIRECT("Main!B9")&amp;"'!B98"))=0,"",(INDIRECT("'"&amp;INDIRECT("Main!B9")&amp;"'!B98")))</f>
        <v/>
      </c>
      <c r="C84" s="35">
        <v>0</v>
      </c>
      <c r="D84" s="15"/>
      <c r="E84" s="15"/>
      <c r="F84" s="15"/>
      <c r="G84" s="15"/>
      <c r="H84" s="15"/>
      <c r="I84" s="45"/>
    </row>
    <row r="85" s="1" customFormat="1" ht="35" customHeight="1" spans="1:9">
      <c r="A85" s="46"/>
      <c r="B85" s="37" t="s">
        <v>48</v>
      </c>
      <c r="C85" s="35">
        <f>SUM(C77:C84)</f>
        <v>0</v>
      </c>
      <c r="D85" s="15"/>
      <c r="E85" s="15"/>
      <c r="F85" s="15"/>
      <c r="G85" s="15"/>
      <c r="H85" s="15"/>
      <c r="I85" s="45"/>
    </row>
    <row r="86" s="1" customFormat="1" ht="35" customHeight="1" spans="1:9">
      <c r="A86" s="83" t="s">
        <v>52</v>
      </c>
      <c r="B86" s="84"/>
      <c r="C86" s="85"/>
      <c r="D86" s="15"/>
      <c r="E86" s="15"/>
      <c r="F86" s="15"/>
      <c r="G86" s="15"/>
      <c r="H86" s="15"/>
      <c r="I86" s="45"/>
    </row>
    <row r="87" s="1" customFormat="1" ht="35" customHeight="1" spans="1:9">
      <c r="A87" s="34" t="str" cm="1">
        <f ca="1" t="array" ref="A87">IF((INDIRECT("'"&amp;INDIRECT("Main!B9")&amp;"'!A101"))=0,"",(INDIRECT("'"&amp;INDIRECT("Main!B9")&amp;"'!A101")))</f>
        <v/>
      </c>
      <c r="B87" s="34" t="str" cm="1">
        <f ca="1" t="array" ref="B87">IF((INDIRECT("'"&amp;INDIRECT("Main!B9")&amp;"'!B101"))=0,"",(INDIRECT("'"&amp;INDIRECT("Main!B9")&amp;"'!B101")))</f>
        <v/>
      </c>
      <c r="C87" s="35">
        <v>0</v>
      </c>
      <c r="D87" s="15"/>
      <c r="E87" s="15"/>
      <c r="F87" s="15"/>
      <c r="G87" s="15"/>
      <c r="H87" s="15"/>
      <c r="I87" s="45"/>
    </row>
    <row r="88" s="1" customFormat="1" ht="35" customHeight="1" spans="1:9">
      <c r="A88" s="34" t="str" cm="1">
        <f ca="1" t="array" ref="A88">IF((INDIRECT("'"&amp;INDIRECT("Main!B9")&amp;"'!A102"))=0,"",(INDIRECT("'"&amp;INDIRECT("Main!B9")&amp;"'!A102")))</f>
        <v/>
      </c>
      <c r="B88" s="34" t="str" cm="1">
        <f ca="1" t="array" ref="B88">IF((INDIRECT("'"&amp;INDIRECT("Main!B9")&amp;"'!B102"))=0,"",(INDIRECT("'"&amp;INDIRECT("Main!B9")&amp;"'!B102")))</f>
        <v/>
      </c>
      <c r="C88" s="35">
        <v>0</v>
      </c>
      <c r="D88" s="15"/>
      <c r="E88" s="15"/>
      <c r="F88" s="15"/>
      <c r="G88" s="15"/>
      <c r="H88" s="15"/>
      <c r="I88" s="45"/>
    </row>
    <row r="89" s="1" customFormat="1" ht="35" customHeight="1" spans="1:9">
      <c r="A89" s="34" t="str" cm="1">
        <f ca="1" t="array" ref="A89">IF((INDIRECT("'"&amp;INDIRECT("Main!B9")&amp;"'!A103"))=0,"",(INDIRECT("'"&amp;INDIRECT("Main!B9")&amp;"'!A103")))</f>
        <v/>
      </c>
      <c r="B89" s="34" t="str" cm="1">
        <f ca="1" t="array" ref="B89">IF((INDIRECT("'"&amp;INDIRECT("Main!B9")&amp;"'!B103"))=0,"",(INDIRECT("'"&amp;INDIRECT("Main!B9")&amp;"'!B103")))</f>
        <v/>
      </c>
      <c r="C89" s="35">
        <v>0</v>
      </c>
      <c r="D89" s="15"/>
      <c r="E89" s="15"/>
      <c r="F89" s="15"/>
      <c r="G89" s="15"/>
      <c r="H89" s="15"/>
      <c r="I89" s="45"/>
    </row>
    <row r="90" s="1" customFormat="1" ht="35" customHeight="1" spans="1:9">
      <c r="A90" s="34" t="str" cm="1">
        <f ca="1" t="array" ref="A90">IF((INDIRECT("'"&amp;INDIRECT("Main!B9")&amp;"'!A104"))=0,"",(INDIRECT("'"&amp;INDIRECT("Main!B9")&amp;"'!A104")))</f>
        <v/>
      </c>
      <c r="B90" s="34" t="str" cm="1">
        <f ca="1" t="array" ref="B90">IF((INDIRECT("'"&amp;INDIRECT("Main!B9")&amp;"'!B104"))=0,"",(INDIRECT("'"&amp;INDIRECT("Main!B9")&amp;"'!B104")))</f>
        <v/>
      </c>
      <c r="C90" s="35">
        <v>0</v>
      </c>
      <c r="D90" s="15"/>
      <c r="E90" s="62"/>
      <c r="F90" s="15"/>
      <c r="G90" s="15"/>
      <c r="H90" s="15"/>
      <c r="I90" s="45"/>
    </row>
    <row r="91" s="1" customFormat="1" ht="35" customHeight="1" spans="1:9">
      <c r="A91" s="34" t="str" cm="1">
        <f ca="1" t="array" ref="A91">IF((INDIRECT("'"&amp;INDIRECT("Main!B9")&amp;"'!A105"))=0,"",(INDIRECT("'"&amp;INDIRECT("Main!B9")&amp;"'!A105")))</f>
        <v/>
      </c>
      <c r="B91" s="34" t="str" cm="1">
        <f ca="1" t="array" ref="B91">IF((INDIRECT("'"&amp;INDIRECT("Main!B9")&amp;"'!B105"))=0,"",(INDIRECT("'"&amp;INDIRECT("Main!B9")&amp;"'!B105")))</f>
        <v/>
      </c>
      <c r="C91" s="35">
        <v>0</v>
      </c>
      <c r="D91" s="15"/>
      <c r="E91" s="15"/>
      <c r="F91" s="15"/>
      <c r="G91" s="15"/>
      <c r="H91" s="15"/>
      <c r="I91" s="45"/>
    </row>
    <row r="92" s="1" customFormat="1" ht="35" customHeight="1" spans="1:9">
      <c r="A92" s="34" t="str" cm="1">
        <f ca="1" t="array" ref="A92">IF((INDIRECT("'"&amp;INDIRECT("Main!B9")&amp;"'!A106"))=0,"",(INDIRECT("'"&amp;INDIRECT("Main!B9")&amp;"'!A106")))</f>
        <v/>
      </c>
      <c r="B92" s="34" t="str" cm="1">
        <f ca="1" t="array" ref="B92">IF((INDIRECT("'"&amp;INDIRECT("Main!B9")&amp;"'!B106"))=0,"",(INDIRECT("'"&amp;INDIRECT("Main!B9")&amp;"'!B106")))</f>
        <v/>
      </c>
      <c r="C92" s="35">
        <v>0</v>
      </c>
      <c r="D92" s="15"/>
      <c r="E92" s="15"/>
      <c r="F92" s="15"/>
      <c r="G92" s="15"/>
      <c r="H92" s="15"/>
      <c r="I92" s="45"/>
    </row>
    <row r="93" s="1" customFormat="1" ht="35" customHeight="1" spans="1:9">
      <c r="A93" s="34" t="str" cm="1">
        <f ca="1" t="array" ref="A93">IF((INDIRECT("'"&amp;INDIRECT("Main!B9")&amp;"'!A107"))=0,"",(INDIRECT("'"&amp;INDIRECT("Main!B9")&amp;"'!A107")))</f>
        <v/>
      </c>
      <c r="B93" s="34" t="str" cm="1">
        <f ca="1" t="array" ref="B93">IF((INDIRECT("'"&amp;INDIRECT("Main!B9")&amp;"'!B107"))=0,"",(INDIRECT("'"&amp;INDIRECT("Main!B9")&amp;"'!B107")))</f>
        <v/>
      </c>
      <c r="C93" s="35">
        <v>0</v>
      </c>
      <c r="D93" s="15"/>
      <c r="E93" s="15"/>
      <c r="F93" s="15"/>
      <c r="G93" s="15"/>
      <c r="H93" s="15"/>
      <c r="I93" s="45"/>
    </row>
    <row r="94" s="1" customFormat="1" ht="35" customHeight="1" spans="1:9">
      <c r="A94" s="34" t="str" cm="1">
        <f ca="1" t="array" ref="A94">IF((INDIRECT("'"&amp;INDIRECT("Main!B9")&amp;"'!A108"))=0,"",(INDIRECT("'"&amp;INDIRECT("Main!B9")&amp;"'!A108")))</f>
        <v/>
      </c>
      <c r="B94" s="34" t="str" cm="1">
        <f ca="1" t="array" ref="B94">IF((INDIRECT("'"&amp;INDIRECT("Main!B9")&amp;"'!B108"))=0,"",(INDIRECT("'"&amp;INDIRECT("Main!B9")&amp;"'!B108")))</f>
        <v/>
      </c>
      <c r="C94" s="35">
        <v>0</v>
      </c>
      <c r="D94" s="15"/>
      <c r="E94" s="15"/>
      <c r="F94" s="15"/>
      <c r="G94" s="15"/>
      <c r="H94" s="15"/>
      <c r="I94" s="45"/>
    </row>
    <row r="95" s="1" customFormat="1" ht="35" customHeight="1" spans="1:9">
      <c r="A95" s="47"/>
      <c r="B95" s="37" t="s">
        <v>48</v>
      </c>
      <c r="C95" s="35">
        <f>SUM(C87:C94)</f>
        <v>0</v>
      </c>
      <c r="D95" s="15"/>
      <c r="E95" s="15"/>
      <c r="F95" s="15"/>
      <c r="G95" s="15"/>
      <c r="H95" s="15"/>
      <c r="I95" s="45"/>
    </row>
    <row r="96" s="1" customFormat="1" ht="35" customHeight="1" spans="1:9">
      <c r="A96" s="46"/>
      <c r="B96" s="37" t="s">
        <v>53</v>
      </c>
      <c r="C96" s="35">
        <f>C55+C66+C75+C85+C95</f>
        <v>0</v>
      </c>
      <c r="D96" s="15"/>
      <c r="E96" s="15"/>
      <c r="F96" s="15"/>
      <c r="G96" s="15"/>
      <c r="H96" s="15"/>
      <c r="I96" s="45"/>
    </row>
    <row r="97" s="1" customFormat="1" ht="35" customHeight="1" spans="1:9">
      <c r="A97" s="83" t="s">
        <v>54</v>
      </c>
      <c r="B97" s="84"/>
      <c r="C97" s="85"/>
      <c r="D97" s="15"/>
      <c r="E97" s="15"/>
      <c r="F97" s="15"/>
      <c r="G97" s="15"/>
      <c r="H97" s="15"/>
      <c r="I97" s="45"/>
    </row>
    <row r="98" s="1" customFormat="1" ht="35" customHeight="1" spans="1:9">
      <c r="A98" s="34" t="str" cm="1">
        <f ca="1" t="array" ref="A98">IF((INDIRECT("'"&amp;INDIRECT("Main!B9")&amp;"'!A112"))=0,"",(INDIRECT("'"&amp;INDIRECT("Main!B9")&amp;"'!A112")))</f>
        <v/>
      </c>
      <c r="B98" s="34" t="str" cm="1">
        <f ca="1" t="array" ref="B98">IF((INDIRECT("'"&amp;INDIRECT("Main!B9")&amp;"'!B112"))=0,"",(INDIRECT("'"&amp;INDIRECT("Main!B9")&amp;"'!B112")))</f>
        <v/>
      </c>
      <c r="C98" s="86" cm="1">
        <f ca="1" t="array" ref="C98">INDIRECT("'"&amp;INDIRECT("Main!B24")&amp;"'!C98")+SUM(E118+E145+E172)</f>
        <v>0</v>
      </c>
      <c r="D98" s="15"/>
      <c r="E98" s="15"/>
      <c r="F98" s="15"/>
      <c r="G98" s="15"/>
      <c r="H98" s="15"/>
      <c r="I98" s="45"/>
    </row>
    <row r="99" s="1" customFormat="1" ht="35" customHeight="1" spans="1:9">
      <c r="A99" s="34" t="str" cm="1">
        <f ca="1" t="array" ref="A99">IF((INDIRECT("'"&amp;INDIRECT("Main!B9")&amp;"'!A113"))=0,"",(INDIRECT("'"&amp;INDIRECT("Main!B9")&amp;"'!A113")))</f>
        <v/>
      </c>
      <c r="B99" s="34" t="str" cm="1">
        <f ca="1" t="array" ref="B99">IF((INDIRECT("'"&amp;INDIRECT("Main!B9")&amp;"'!B113"))=0,"",(INDIRECT("'"&amp;INDIRECT("Main!B9")&amp;"'!B113")))</f>
        <v/>
      </c>
      <c r="C99" s="86" cm="1">
        <f ca="1" t="array" ref="C99">INDIRECT("'"&amp;INDIRECT("Main!B24")&amp;"'!C99")+SUM(E119+E146+E173)</f>
        <v>0</v>
      </c>
      <c r="D99" s="15"/>
      <c r="E99" s="15"/>
      <c r="F99" s="15"/>
      <c r="G99" s="15"/>
      <c r="H99" s="15"/>
      <c r="I99" s="45"/>
    </row>
    <row r="100" s="1" customFormat="1" ht="35" customHeight="1" spans="1:9">
      <c r="A100" s="34" t="str" cm="1">
        <f ca="1" t="array" ref="A100">IF((INDIRECT("'"&amp;INDIRECT("Main!B9")&amp;"'!A114"))=0,"",(INDIRECT("'"&amp;INDIRECT("Main!B9")&amp;"'!A114")))</f>
        <v/>
      </c>
      <c r="B100" s="34" t="str" cm="1">
        <f ca="1" t="array" ref="B100">IF((INDIRECT("'"&amp;INDIRECT("Main!B9")&amp;"'!B114"))=0,"",(INDIRECT("'"&amp;INDIRECT("Main!B9")&amp;"'!B114")))</f>
        <v/>
      </c>
      <c r="C100" s="86" cm="1">
        <f ca="1" t="array" ref="C100">INDIRECT("'"&amp;INDIRECT("Main!B24")&amp;"'!C100")+SUM(E120+E147+E174)</f>
        <v>0</v>
      </c>
      <c r="D100" s="15"/>
      <c r="E100" s="15"/>
      <c r="F100" s="15"/>
      <c r="G100" s="15"/>
      <c r="H100" s="15"/>
      <c r="I100" s="45"/>
    </row>
    <row r="101" s="1" customFormat="1" ht="35" customHeight="1" spans="1:9">
      <c r="A101" s="34" t="str" cm="1">
        <f ca="1" t="array" ref="A101">IF((INDIRECT("'"&amp;INDIRECT("Main!B9")&amp;"'!A115"))=0,"",(INDIRECT("'"&amp;INDIRECT("Main!B9")&amp;"'!A115")))</f>
        <v/>
      </c>
      <c r="B101" s="34" t="str" cm="1">
        <f ca="1" t="array" ref="B101">IF((INDIRECT("'"&amp;INDIRECT("Main!B9")&amp;"'!B115"))=0,"",(INDIRECT("'"&amp;INDIRECT("Main!B9")&amp;"'!B115")))</f>
        <v/>
      </c>
      <c r="C101" s="86" cm="1">
        <f ca="1" t="array" ref="C101">INDIRECT("'"&amp;INDIRECT("Main!B24")&amp;"'!C101")+SUM(E121+E148+E175)</f>
        <v>0</v>
      </c>
      <c r="D101" s="15"/>
      <c r="E101" s="15"/>
      <c r="F101" s="15"/>
      <c r="G101" s="15"/>
      <c r="H101" s="15"/>
      <c r="I101" s="45"/>
    </row>
    <row r="102" s="1" customFormat="1" ht="35" customHeight="1" spans="1:9">
      <c r="A102" s="34" t="str" cm="1">
        <f ca="1" t="array" ref="A102">IF((INDIRECT("'"&amp;INDIRECT("Main!B9")&amp;"'!A116"))=0,"",(INDIRECT("'"&amp;INDIRECT("Main!B9")&amp;"'!A116")))</f>
        <v/>
      </c>
      <c r="B102" s="34" t="str" cm="1">
        <f ca="1" t="array" ref="B102">IF((INDIRECT("'"&amp;INDIRECT("Main!B9")&amp;"'!B116"))=0,"",(INDIRECT("'"&amp;INDIRECT("Main!B9")&amp;"'!B116")))</f>
        <v/>
      </c>
      <c r="C102" s="86" cm="1">
        <f ca="1" t="array" ref="C102">INDIRECT("'"&amp;INDIRECT("Main!B24")&amp;"'!C102")+SUM(E122+E149+E176)</f>
        <v>0</v>
      </c>
      <c r="D102" s="15"/>
      <c r="E102" s="15"/>
      <c r="F102" s="15"/>
      <c r="G102" s="15"/>
      <c r="H102" s="15"/>
      <c r="I102" s="45"/>
    </row>
    <row r="103" s="1" customFormat="1" ht="35" customHeight="1" spans="1:9">
      <c r="A103" s="34" t="str" cm="1">
        <f ca="1" t="array" ref="A103">IF((INDIRECT("'"&amp;INDIRECT("Main!B9")&amp;"'!A117"))=0,"",(INDIRECT("'"&amp;INDIRECT("Main!B9")&amp;"'!A117")))</f>
        <v/>
      </c>
      <c r="B103" s="34" t="str" cm="1">
        <f ca="1" t="array" ref="B103">IF((INDIRECT("'"&amp;INDIRECT("Main!B9")&amp;"'!B117"))=0,"",(INDIRECT("'"&amp;INDIRECT("Main!B9")&amp;"'!B117")))</f>
        <v/>
      </c>
      <c r="C103" s="86" cm="1">
        <f ca="1" t="array" ref="C103">INDIRECT("'"&amp;INDIRECT("Main!B24")&amp;"'!C103")+SUM(E123+E150+E177)</f>
        <v>0</v>
      </c>
      <c r="D103" s="15"/>
      <c r="E103" s="15"/>
      <c r="F103" s="15"/>
      <c r="G103" s="15"/>
      <c r="H103" s="15"/>
      <c r="I103" s="45"/>
    </row>
    <row r="104" s="1" customFormat="1" ht="35" customHeight="1" spans="1:9">
      <c r="A104" s="34" t="str" cm="1">
        <f ca="1" t="array" ref="A104">IF((INDIRECT("'"&amp;INDIRECT("Main!B9")&amp;"'!A118"))=0,"",(INDIRECT("'"&amp;INDIRECT("Main!B9")&amp;"'!A118")))</f>
        <v/>
      </c>
      <c r="B104" s="34" t="str" cm="1">
        <f ca="1" t="array" ref="B104">IF((INDIRECT("'"&amp;INDIRECT("Main!B9")&amp;"'!B118"))=0,"",(INDIRECT("'"&amp;INDIRECT("Main!B9")&amp;"'!B118")))</f>
        <v/>
      </c>
      <c r="C104" s="86" cm="1">
        <f ca="1" t="array" ref="C104">INDIRECT("'"&amp;INDIRECT("Main!B24")&amp;"'!C104")+SUM(E124+E151+E178)</f>
        <v>0</v>
      </c>
      <c r="D104" s="15"/>
      <c r="E104" s="15"/>
      <c r="F104" s="15"/>
      <c r="G104" s="15"/>
      <c r="H104" s="15"/>
      <c r="I104" s="45"/>
    </row>
    <row r="105" s="1" customFormat="1" ht="35" customHeight="1" spans="1:9">
      <c r="A105" s="34" t="str" cm="1">
        <f ca="1" t="array" ref="A105">IF((INDIRECT("'"&amp;INDIRECT("Main!B9")&amp;"'!A119"))=0,"",(INDIRECT("'"&amp;INDIRECT("Main!B9")&amp;"'!A119")))</f>
        <v/>
      </c>
      <c r="B105" s="34" t="str" cm="1">
        <f ca="1" t="array" ref="B105">IF((INDIRECT("'"&amp;INDIRECT("Main!B9")&amp;"'!B119"))=0,"",(INDIRECT("'"&amp;INDIRECT("Main!B9")&amp;"'!B119")))</f>
        <v/>
      </c>
      <c r="C105" s="86" cm="1">
        <f ca="1" t="array" ref="C105">INDIRECT("'"&amp;INDIRECT("Main!B24")&amp;"'!C105")+SUM(E125+E152+E179)</f>
        <v>0</v>
      </c>
      <c r="D105" s="15"/>
      <c r="E105" s="15"/>
      <c r="F105" s="15"/>
      <c r="G105" s="15"/>
      <c r="H105" s="15"/>
      <c r="I105" s="45"/>
    </row>
    <row r="106" s="1" customFormat="1" ht="35" customHeight="1" spans="1:9">
      <c r="A106" s="34" t="str" cm="1">
        <f ca="1" t="array" ref="A106">IF((INDIRECT("'"&amp;INDIRECT("Main!B9")&amp;"'!A120"))=0,"",(INDIRECT("'"&amp;INDIRECT("Main!B9")&amp;"'!A120")))</f>
        <v/>
      </c>
      <c r="B106" s="34" t="str" cm="1">
        <f ca="1" t="array" ref="B106">IF((INDIRECT("'"&amp;INDIRECT("Main!B9")&amp;"'!B120"))=0,"",(INDIRECT("'"&amp;INDIRECT("Main!B9")&amp;"'!B120")))</f>
        <v/>
      </c>
      <c r="C106" s="86" cm="1">
        <f ca="1" t="array" ref="C106">INDIRECT("'"&amp;INDIRECT("Main!B24")&amp;"'!C106")+SUM(E126+E153+E180)</f>
        <v>0</v>
      </c>
      <c r="D106" s="15"/>
      <c r="E106" s="15"/>
      <c r="F106" s="15"/>
      <c r="G106" s="15"/>
      <c r="H106" s="15"/>
      <c r="I106" s="45"/>
    </row>
    <row r="107" s="1" customFormat="1" ht="35" customHeight="1" spans="1:9">
      <c r="A107" s="34" t="str" cm="1">
        <f ca="1" t="array" ref="A107">IF((INDIRECT("'"&amp;INDIRECT("Main!B9")&amp;"'!A121"))=0,"",(INDIRECT("'"&amp;INDIRECT("Main!B9")&amp;"'!A121")))</f>
        <v/>
      </c>
      <c r="B107" s="34" t="str" cm="1">
        <f ca="1" t="array" ref="B107">IF((INDIRECT("'"&amp;INDIRECT("Main!B9")&amp;"'!B121"))=0,"",(INDIRECT("'"&amp;INDIRECT("Main!B9")&amp;"'!B121")))</f>
        <v/>
      </c>
      <c r="C107" s="86" cm="1">
        <f ca="1" t="array" ref="C107">INDIRECT("'"&amp;INDIRECT("Main!B24")&amp;"'!C107")+SUM(E127+E154+E181)</f>
        <v>0</v>
      </c>
      <c r="D107" s="15"/>
      <c r="E107" s="15"/>
      <c r="F107" s="15"/>
      <c r="G107" s="15"/>
      <c r="H107" s="15"/>
      <c r="I107" s="45"/>
    </row>
    <row r="108" s="1" customFormat="1" ht="35" customHeight="1" spans="1:9">
      <c r="A108" s="46"/>
      <c r="B108" s="37" t="s">
        <v>55</v>
      </c>
      <c r="C108" s="86">
        <f ca="1">SUM(C98:C107)</f>
        <v>0</v>
      </c>
      <c r="D108" s="15"/>
      <c r="E108" s="15"/>
      <c r="F108" s="15"/>
      <c r="G108" s="15"/>
      <c r="H108" s="15"/>
      <c r="I108" s="45"/>
    </row>
    <row r="109" s="1" customFormat="1" ht="35" customHeight="1" spans="1:9">
      <c r="A109" s="46"/>
      <c r="B109" s="37" t="s">
        <v>56</v>
      </c>
      <c r="C109" s="86">
        <f ca="1">C108-C96</f>
        <v>0</v>
      </c>
      <c r="D109" s="15"/>
      <c r="E109" s="15"/>
      <c r="F109" s="15"/>
      <c r="G109" s="15"/>
      <c r="H109" s="15"/>
      <c r="I109" s="45"/>
    </row>
    <row r="110" s="1" customFormat="1" ht="35" customHeight="1" spans="1:9">
      <c r="A110" s="15"/>
      <c r="B110" s="15"/>
      <c r="C110" s="15"/>
      <c r="D110" s="15"/>
      <c r="E110" s="15"/>
      <c r="F110" s="15"/>
      <c r="G110" s="15"/>
      <c r="H110" s="15"/>
      <c r="I110" s="45"/>
    </row>
    <row r="111" s="1" customFormat="1" ht="35" customHeight="1" spans="1:9">
      <c r="A111" s="15"/>
      <c r="B111" s="15"/>
      <c r="C111" s="15"/>
      <c r="D111" s="15"/>
      <c r="E111" s="15"/>
      <c r="F111" s="15"/>
      <c r="G111" s="15"/>
      <c r="H111" s="15"/>
      <c r="I111" s="45"/>
    </row>
    <row r="112" s="1" customFormat="1" ht="35" customHeight="1" spans="1:9">
      <c r="A112" s="15"/>
      <c r="B112" s="15"/>
      <c r="C112" s="15"/>
      <c r="D112" s="15"/>
      <c r="E112" s="15"/>
      <c r="F112" s="15"/>
      <c r="G112" s="15"/>
      <c r="H112" s="15"/>
      <c r="I112" s="45"/>
    </row>
    <row r="113" s="1" customFormat="1" ht="35" customHeight="1" spans="1:9">
      <c r="A113" s="15"/>
      <c r="B113" s="15"/>
      <c r="C113" s="15"/>
      <c r="D113" s="15"/>
      <c r="E113" s="15"/>
      <c r="F113" s="15"/>
      <c r="G113" s="15"/>
      <c r="H113" s="15"/>
      <c r="I113" s="45"/>
    </row>
    <row r="114" s="1" customFormat="1" ht="35" customHeight="1" spans="1:9">
      <c r="A114" s="48" t="str">
        <f>"Debts Or Credits For the Comming "&amp;IF(Main!B2,TEXT(EDATE(Main!B3,18),"mmmm dd yyyy"),TEXT(Main!B3+((Main!B5-Main!B3)*18+18),"mmmm dd yyyy"))&amp;" to "&amp;IF(Main!B2,TEXT(EDATE(Main!B3,19)-1,"mmmm dd yyyy"),TEXT(Main!B3+((Main!B5-Main!B3)*19+18),"mmmm dd yyyy"))</f>
        <v>Debts Or Credits For the Comming November 01 2026 to November 30 2026</v>
      </c>
      <c r="B114" s="49"/>
      <c r="C114" s="49"/>
      <c r="D114" s="49"/>
      <c r="E114" s="50"/>
      <c r="F114" s="15"/>
      <c r="G114" s="15"/>
      <c r="H114" s="15"/>
      <c r="I114" s="45"/>
    </row>
    <row r="115" s="1" customFormat="1" ht="35" customHeight="1" spans="1:9">
      <c r="A115" s="48" t="s">
        <v>57</v>
      </c>
      <c r="B115" s="50"/>
      <c r="C115" s="48" t="s">
        <v>44</v>
      </c>
      <c r="D115" s="50"/>
      <c r="E115" s="64" t="s">
        <v>45</v>
      </c>
      <c r="F115" s="15"/>
      <c r="G115" s="15"/>
      <c r="H115" s="15"/>
      <c r="I115" s="45"/>
    </row>
    <row r="116" s="1" customFormat="1" ht="35" customHeight="1" spans="1:9">
      <c r="A116" s="51" t="str">
        <f>"Balance Brought Forward From "&amp;IF(Main!B2,TEXT(EDATE(Main!B3,18)-1,"mmmm yyyy"),TEXT(Main!B3+((Main!B5-Main!B3)*18+17),"mmmm yyyy"))</f>
        <v>Balance Brought Forward From October 2026</v>
      </c>
      <c r="B116" s="52"/>
      <c r="C116" s="53"/>
      <c r="D116" s="53"/>
      <c r="E116" s="65" cm="1">
        <f ca="1" t="array" ref="E116">INDIRECT("'"&amp;INDIRECT("Main!B24")&amp;"'!E190")</f>
        <v>0</v>
      </c>
      <c r="F116" s="15"/>
      <c r="G116" s="15"/>
      <c r="H116" s="15"/>
      <c r="I116" s="45"/>
    </row>
    <row r="117" s="1" customFormat="1" ht="35" customHeight="1" spans="1:9">
      <c r="A117" s="54" t="s">
        <v>52</v>
      </c>
      <c r="B117" s="55"/>
      <c r="C117" s="56" t="s">
        <v>58</v>
      </c>
      <c r="D117" s="57"/>
      <c r="E117" s="66"/>
      <c r="F117" s="15"/>
      <c r="G117" s="15"/>
      <c r="H117" s="15"/>
      <c r="I117" s="45"/>
    </row>
    <row r="118" s="1" customFormat="1" ht="35" customHeight="1" spans="1:9">
      <c r="A118" s="58"/>
      <c r="B118" s="59"/>
      <c r="C118" s="60"/>
      <c r="D118" s="61"/>
      <c r="E118" s="35">
        <v>0</v>
      </c>
      <c r="F118" s="15"/>
      <c r="G118" s="15"/>
      <c r="H118" s="15"/>
      <c r="I118" s="45"/>
    </row>
    <row r="119" s="1" customFormat="1" ht="35" customHeight="1" spans="1:9">
      <c r="A119" s="58"/>
      <c r="B119" s="59"/>
      <c r="C119" s="60"/>
      <c r="D119" s="61"/>
      <c r="E119" s="35">
        <v>0</v>
      </c>
      <c r="F119" s="15"/>
      <c r="G119" s="15"/>
      <c r="H119" s="15"/>
      <c r="I119" s="45"/>
    </row>
    <row r="120" s="1" customFormat="1" ht="35" customHeight="1" spans="1:9">
      <c r="A120" s="58"/>
      <c r="B120" s="59"/>
      <c r="C120" s="60"/>
      <c r="D120" s="61"/>
      <c r="E120" s="35">
        <v>0</v>
      </c>
      <c r="F120" s="15"/>
      <c r="G120" s="15"/>
      <c r="H120" s="15"/>
      <c r="I120" s="45"/>
    </row>
    <row r="121" s="1" customFormat="1" ht="35" customHeight="1" spans="1:9">
      <c r="A121" s="58"/>
      <c r="B121" s="59"/>
      <c r="C121" s="60"/>
      <c r="D121" s="61"/>
      <c r="E121" s="35">
        <v>0</v>
      </c>
      <c r="F121" s="15"/>
      <c r="G121" s="15"/>
      <c r="H121" s="15"/>
      <c r="I121" s="45"/>
    </row>
    <row r="122" s="1" customFormat="1" ht="35" customHeight="1" spans="1:9">
      <c r="A122" s="58"/>
      <c r="B122" s="59"/>
      <c r="C122" s="60"/>
      <c r="D122" s="61"/>
      <c r="E122" s="35">
        <v>0</v>
      </c>
      <c r="F122" s="15"/>
      <c r="G122" s="15"/>
      <c r="H122" s="15"/>
      <c r="I122" s="45"/>
    </row>
    <row r="123" s="1" customFormat="1" ht="35" customHeight="1" spans="1:9">
      <c r="A123" s="58"/>
      <c r="B123" s="59"/>
      <c r="C123" s="60"/>
      <c r="D123" s="61"/>
      <c r="E123" s="35">
        <v>0</v>
      </c>
      <c r="F123" s="15"/>
      <c r="G123" s="15"/>
      <c r="H123" s="15"/>
      <c r="I123" s="45"/>
    </row>
    <row r="124" s="1" customFormat="1" ht="35" customHeight="1" spans="1:9">
      <c r="A124" s="58"/>
      <c r="B124" s="59"/>
      <c r="C124" s="60"/>
      <c r="D124" s="61"/>
      <c r="E124" s="35">
        <v>0</v>
      </c>
      <c r="F124" s="15"/>
      <c r="G124" s="15"/>
      <c r="H124" s="15"/>
      <c r="I124" s="45"/>
    </row>
    <row r="125" s="1" customFormat="1" ht="35" customHeight="1" spans="1:9">
      <c r="A125" s="58"/>
      <c r="B125" s="59"/>
      <c r="C125" s="60"/>
      <c r="D125" s="61"/>
      <c r="E125" s="35">
        <v>0</v>
      </c>
      <c r="F125" s="15"/>
      <c r="G125" s="15"/>
      <c r="H125" s="15"/>
      <c r="I125" s="45"/>
    </row>
    <row r="126" s="1" customFormat="1" ht="35" customHeight="1" spans="1:9">
      <c r="A126" s="58"/>
      <c r="B126" s="59"/>
      <c r="C126" s="60"/>
      <c r="D126" s="61"/>
      <c r="E126" s="35">
        <v>0</v>
      </c>
      <c r="F126" s="15"/>
      <c r="G126" s="15"/>
      <c r="H126" s="15"/>
      <c r="I126" s="45"/>
    </row>
    <row r="127" s="1" customFormat="1" ht="35" customHeight="1" spans="1:9">
      <c r="A127" s="58"/>
      <c r="B127" s="59"/>
      <c r="C127" s="60"/>
      <c r="D127" s="61"/>
      <c r="E127" s="35">
        <v>0</v>
      </c>
      <c r="F127" s="15"/>
      <c r="G127" s="15"/>
      <c r="H127" s="15"/>
      <c r="I127" s="45"/>
    </row>
    <row r="128" s="1" customFormat="1" ht="35" customHeight="1" spans="1:9">
      <c r="A128" s="58"/>
      <c r="B128" s="59"/>
      <c r="C128" s="56" t="s">
        <v>59</v>
      </c>
      <c r="D128" s="57"/>
      <c r="E128" s="66"/>
      <c r="F128" s="15"/>
      <c r="G128" s="15"/>
      <c r="H128" s="15"/>
      <c r="I128" s="45"/>
    </row>
    <row r="129" s="1" customFormat="1" ht="35" customHeight="1" spans="1:9">
      <c r="A129" s="58"/>
      <c r="B129" s="59"/>
      <c r="C129" s="60"/>
      <c r="D129" s="61"/>
      <c r="E129" s="78">
        <v>0</v>
      </c>
      <c r="F129" s="15"/>
      <c r="G129" s="15"/>
      <c r="H129" s="15"/>
      <c r="I129" s="45"/>
    </row>
    <row r="130" s="1" customFormat="1" ht="35" customHeight="1" spans="1:9">
      <c r="A130" s="58"/>
      <c r="B130" s="59"/>
      <c r="C130" s="60"/>
      <c r="D130" s="61"/>
      <c r="E130" s="78">
        <v>0</v>
      </c>
      <c r="F130" s="15"/>
      <c r="G130" s="15"/>
      <c r="H130" s="15"/>
      <c r="I130" s="45"/>
    </row>
    <row r="131" s="1" customFormat="1" ht="35" customHeight="1" spans="1:9">
      <c r="A131" s="58"/>
      <c r="B131" s="59"/>
      <c r="C131" s="60"/>
      <c r="D131" s="61"/>
      <c r="E131" s="78">
        <v>0</v>
      </c>
      <c r="F131" s="15"/>
      <c r="G131" s="15"/>
      <c r="H131" s="15"/>
      <c r="I131" s="45"/>
    </row>
    <row r="132" s="1" customFormat="1" ht="35" customHeight="1" spans="1:9">
      <c r="A132" s="58"/>
      <c r="B132" s="59"/>
      <c r="C132" s="60"/>
      <c r="D132" s="61"/>
      <c r="E132" s="78">
        <v>0</v>
      </c>
      <c r="F132" s="15"/>
      <c r="G132" s="15"/>
      <c r="H132" s="15"/>
      <c r="I132" s="45"/>
    </row>
    <row r="133" s="1" customFormat="1" ht="35" customHeight="1" spans="1:9">
      <c r="A133" s="58"/>
      <c r="B133" s="59"/>
      <c r="C133" s="60"/>
      <c r="D133" s="61"/>
      <c r="E133" s="78">
        <v>0</v>
      </c>
      <c r="F133" s="15"/>
      <c r="G133" s="15"/>
      <c r="H133" s="15"/>
      <c r="I133" s="45"/>
    </row>
    <row r="134" s="1" customFormat="1" ht="35" customHeight="1" spans="1:9">
      <c r="A134" s="67"/>
      <c r="B134" s="68"/>
      <c r="C134" s="60"/>
      <c r="D134" s="61"/>
      <c r="E134" s="78">
        <v>0</v>
      </c>
      <c r="F134" s="15"/>
      <c r="G134" s="15"/>
      <c r="H134" s="15"/>
      <c r="I134" s="45"/>
    </row>
    <row r="135" s="1" customFormat="1" ht="35" customHeight="1" spans="1:9">
      <c r="A135" s="51" t="s">
        <v>60</v>
      </c>
      <c r="B135" s="69"/>
      <c r="C135" s="70"/>
      <c r="D135" s="71"/>
      <c r="E135" s="78">
        <f>C96</f>
        <v>0</v>
      </c>
      <c r="F135" s="15"/>
      <c r="G135" s="15"/>
      <c r="H135" s="15"/>
      <c r="I135" s="45"/>
    </row>
    <row r="136" s="1" customFormat="1" ht="35" customHeight="1" spans="1:9">
      <c r="A136" s="72"/>
      <c r="B136" s="73"/>
      <c r="C136" s="37" t="s">
        <v>61</v>
      </c>
      <c r="D136" s="37"/>
      <c r="E136" s="79">
        <f ca="1">(F16+E116)-(SUM(E118:E127)+SUM(E129:E135))</f>
        <v>0</v>
      </c>
      <c r="F136" s="15"/>
      <c r="G136" s="15"/>
      <c r="H136" s="15"/>
      <c r="I136" s="45"/>
    </row>
    <row r="137" s="1" customFormat="1" ht="35" customHeight="1" spans="1:9">
      <c r="A137" s="15"/>
      <c r="B137" s="15"/>
      <c r="C137" s="15"/>
      <c r="D137" s="15"/>
      <c r="E137" s="15"/>
      <c r="F137" s="15"/>
      <c r="G137" s="15"/>
      <c r="H137" s="15"/>
      <c r="I137" s="45"/>
    </row>
    <row r="138" s="1" customFormat="1" ht="35" customHeight="1" spans="1:9">
      <c r="A138" s="15"/>
      <c r="B138" s="15"/>
      <c r="C138" s="15"/>
      <c r="D138" s="15"/>
      <c r="E138" s="15"/>
      <c r="F138" s="15"/>
      <c r="G138" s="15"/>
      <c r="H138" s="15"/>
      <c r="I138" s="45"/>
    </row>
    <row r="139" s="1" customFormat="1" ht="35" customHeight="1" spans="1:9">
      <c r="A139" s="15"/>
      <c r="B139" s="15"/>
      <c r="C139" s="15"/>
      <c r="D139" s="15"/>
      <c r="E139" s="15"/>
      <c r="F139" s="15"/>
      <c r="G139" s="15"/>
      <c r="H139" s="15"/>
      <c r="I139" s="45"/>
    </row>
    <row r="140" s="1" customFormat="1" ht="35" customHeight="1" spans="1:9">
      <c r="A140" s="15"/>
      <c r="B140" s="15"/>
      <c r="C140" s="15"/>
      <c r="D140" s="15"/>
      <c r="E140" s="15"/>
      <c r="F140" s="15"/>
      <c r="G140" s="15"/>
      <c r="H140" s="15"/>
      <c r="I140" s="45"/>
    </row>
    <row r="141" s="1" customFormat="1" ht="35" customHeight="1" spans="1:9">
      <c r="A141" s="48" t="str">
        <f>"Debts Or Credits For the Comming "&amp;IF(Main!B2,TEXT(EDATE(Main!B3,19),"mmmm dd yyyy"),TEXT(Main!B3+((Main!B5-Main!B3)*19+19),"dd mmmm yyyy"))&amp;" to "&amp;IF(Main!B2,TEXT(EDATE(Main!B3,20)-1,"mmmm dd yyyy"),TEXT(Main!B3+((Main!B5-Main!B3)*20+19),"mmmm dd yyyy"))</f>
        <v>Debts Or Credits For the Comming December 01 2026 to December 31 2026</v>
      </c>
      <c r="B141" s="49"/>
      <c r="C141" s="49"/>
      <c r="D141" s="49"/>
      <c r="E141" s="50"/>
      <c r="F141" s="15"/>
      <c r="G141" s="15"/>
      <c r="H141" s="15"/>
      <c r="I141" s="45"/>
    </row>
    <row r="142" s="1" customFormat="1" ht="35" customHeight="1" spans="1:9">
      <c r="A142" s="48" t="s">
        <v>57</v>
      </c>
      <c r="B142" s="50"/>
      <c r="C142" s="74" t="s">
        <v>44</v>
      </c>
      <c r="D142" s="75"/>
      <c r="E142" s="80" t="s">
        <v>45</v>
      </c>
      <c r="F142" s="15"/>
      <c r="G142" s="15"/>
      <c r="H142" s="15"/>
      <c r="I142" s="45"/>
    </row>
    <row r="143" s="1" customFormat="1" ht="35" customHeight="1" spans="1:9">
      <c r="A143" s="51" t="str">
        <f>"Balance Brought Forward From "&amp;IF(Main!B2,TEXT(EDATE(Main!B3,19)-1,"mmmm yyyy"),TEXT(Main!B3+((Main!B5-Main!B3)*19+18),"mmmm yyyy"))</f>
        <v>Balance Brought Forward From November 2026</v>
      </c>
      <c r="B143" s="52"/>
      <c r="C143" s="53"/>
      <c r="D143" s="53"/>
      <c r="E143" s="79">
        <f ca="1">E136</f>
        <v>0</v>
      </c>
      <c r="F143" s="15"/>
      <c r="G143" s="15"/>
      <c r="H143" s="15"/>
      <c r="I143" s="45"/>
    </row>
    <row r="144" s="1" customFormat="1" ht="35" customHeight="1" spans="1:9">
      <c r="A144" s="54" t="s">
        <v>52</v>
      </c>
      <c r="B144" s="55"/>
      <c r="C144" s="76" t="s">
        <v>58</v>
      </c>
      <c r="D144" s="77"/>
      <c r="E144" s="81"/>
      <c r="F144" s="15"/>
      <c r="G144" s="15"/>
      <c r="H144" s="15"/>
      <c r="I144" s="45"/>
    </row>
    <row r="145" s="1" customFormat="1" ht="35" customHeight="1" spans="1:9">
      <c r="A145" s="58"/>
      <c r="B145" s="59"/>
      <c r="C145" s="60"/>
      <c r="D145" s="61"/>
      <c r="E145" s="35">
        <v>0</v>
      </c>
      <c r="F145" s="15"/>
      <c r="G145" s="15"/>
      <c r="H145" s="15"/>
      <c r="I145" s="45"/>
    </row>
    <row r="146" s="1" customFormat="1" ht="35" customHeight="1" spans="1:9">
      <c r="A146" s="58"/>
      <c r="B146" s="59"/>
      <c r="C146" s="60"/>
      <c r="D146" s="61"/>
      <c r="E146" s="35">
        <v>0</v>
      </c>
      <c r="F146" s="15"/>
      <c r="G146" s="15"/>
      <c r="H146" s="15"/>
      <c r="I146" s="45"/>
    </row>
    <row r="147" s="1" customFormat="1" ht="35" customHeight="1" spans="1:9">
      <c r="A147" s="58"/>
      <c r="B147" s="59"/>
      <c r="C147" s="60"/>
      <c r="D147" s="61"/>
      <c r="E147" s="35">
        <v>0</v>
      </c>
      <c r="F147" s="15"/>
      <c r="G147" s="15"/>
      <c r="H147" s="15"/>
      <c r="I147" s="45"/>
    </row>
    <row r="148" s="1" customFormat="1" ht="35" customHeight="1" spans="1:9">
      <c r="A148" s="58"/>
      <c r="B148" s="59"/>
      <c r="C148" s="60"/>
      <c r="D148" s="61"/>
      <c r="E148" s="35">
        <v>0</v>
      </c>
      <c r="F148" s="15"/>
      <c r="G148" s="15"/>
      <c r="H148" s="15"/>
      <c r="I148" s="45"/>
    </row>
    <row r="149" s="1" customFormat="1" ht="35" customHeight="1" spans="1:9">
      <c r="A149" s="58"/>
      <c r="B149" s="59"/>
      <c r="C149" s="60"/>
      <c r="D149" s="61"/>
      <c r="E149" s="35">
        <v>0</v>
      </c>
      <c r="F149" s="15"/>
      <c r="G149" s="15"/>
      <c r="H149" s="15"/>
      <c r="I149" s="45"/>
    </row>
    <row r="150" s="1" customFormat="1" ht="35" customHeight="1" spans="1:9">
      <c r="A150" s="58"/>
      <c r="B150" s="59"/>
      <c r="C150" s="60"/>
      <c r="D150" s="61"/>
      <c r="E150" s="35">
        <v>0</v>
      </c>
      <c r="F150" s="15"/>
      <c r="G150" s="15"/>
      <c r="H150" s="15"/>
      <c r="I150" s="45"/>
    </row>
    <row r="151" s="1" customFormat="1" ht="35" customHeight="1" spans="1:9">
      <c r="A151" s="58"/>
      <c r="B151" s="59"/>
      <c r="C151" s="60"/>
      <c r="D151" s="61"/>
      <c r="E151" s="35">
        <v>0</v>
      </c>
      <c r="F151" s="15"/>
      <c r="G151" s="15"/>
      <c r="H151" s="15"/>
      <c r="I151" s="45"/>
    </row>
    <row r="152" s="1" customFormat="1" ht="35" customHeight="1" spans="1:9">
      <c r="A152" s="58"/>
      <c r="B152" s="59"/>
      <c r="C152" s="60"/>
      <c r="D152" s="61"/>
      <c r="E152" s="35">
        <v>0</v>
      </c>
      <c r="F152" s="15"/>
      <c r="G152" s="15"/>
      <c r="H152" s="15"/>
      <c r="I152" s="45"/>
    </row>
    <row r="153" s="1" customFormat="1" ht="35" customHeight="1" spans="1:9">
      <c r="A153" s="58"/>
      <c r="B153" s="59"/>
      <c r="C153" s="60"/>
      <c r="D153" s="61"/>
      <c r="E153" s="35">
        <v>0</v>
      </c>
      <c r="F153" s="15"/>
      <c r="G153" s="15"/>
      <c r="H153" s="15"/>
      <c r="I153" s="45"/>
    </row>
    <row r="154" s="1" customFormat="1" ht="35" customHeight="1" spans="1:9">
      <c r="A154" s="58"/>
      <c r="B154" s="59"/>
      <c r="C154" s="60"/>
      <c r="D154" s="61"/>
      <c r="E154" s="35">
        <v>0</v>
      </c>
      <c r="F154" s="15"/>
      <c r="G154" s="15"/>
      <c r="H154" s="15"/>
      <c r="I154" s="45"/>
    </row>
    <row r="155" s="1" customFormat="1" ht="35" customHeight="1" spans="1:9">
      <c r="A155" s="58"/>
      <c r="B155" s="59"/>
      <c r="C155" s="56" t="s">
        <v>59</v>
      </c>
      <c r="D155" s="57"/>
      <c r="E155" s="66"/>
      <c r="F155" s="15"/>
      <c r="G155" s="15"/>
      <c r="H155" s="15"/>
      <c r="I155" s="45"/>
    </row>
    <row r="156" s="1" customFormat="1" ht="35" customHeight="1" spans="1:9">
      <c r="A156" s="58"/>
      <c r="B156" s="59"/>
      <c r="C156" s="60"/>
      <c r="D156" s="61"/>
      <c r="E156" s="78">
        <v>0</v>
      </c>
      <c r="F156" s="15"/>
      <c r="G156" s="15"/>
      <c r="H156" s="15"/>
      <c r="I156" s="45"/>
    </row>
    <row r="157" s="1" customFormat="1" ht="35" customHeight="1" spans="1:9">
      <c r="A157" s="58"/>
      <c r="B157" s="59"/>
      <c r="C157" s="60"/>
      <c r="D157" s="61"/>
      <c r="E157" s="78">
        <v>0</v>
      </c>
      <c r="F157" s="15"/>
      <c r="G157" s="15"/>
      <c r="H157" s="15"/>
      <c r="I157" s="45"/>
    </row>
    <row r="158" s="1" customFormat="1" ht="35" customHeight="1" spans="1:9">
      <c r="A158" s="58"/>
      <c r="B158" s="59"/>
      <c r="C158" s="60"/>
      <c r="D158" s="61"/>
      <c r="E158" s="78">
        <v>0</v>
      </c>
      <c r="F158" s="15"/>
      <c r="G158" s="15"/>
      <c r="H158" s="15"/>
      <c r="I158" s="45"/>
    </row>
    <row r="159" s="1" customFormat="1" ht="35" customHeight="1" spans="1:9">
      <c r="A159" s="58"/>
      <c r="B159" s="59"/>
      <c r="C159" s="60"/>
      <c r="D159" s="61"/>
      <c r="E159" s="78">
        <v>0</v>
      </c>
      <c r="F159" s="15"/>
      <c r="G159" s="15"/>
      <c r="H159" s="15"/>
      <c r="I159" s="45"/>
    </row>
    <row r="160" s="1" customFormat="1" ht="35" customHeight="1" spans="1:9">
      <c r="A160" s="58"/>
      <c r="B160" s="59"/>
      <c r="C160" s="60"/>
      <c r="D160" s="61"/>
      <c r="E160" s="78">
        <v>0</v>
      </c>
      <c r="F160" s="15"/>
      <c r="G160" s="15"/>
      <c r="H160" s="15"/>
      <c r="I160" s="45"/>
    </row>
    <row r="161" s="1" customFormat="1" ht="35" customHeight="1" spans="1:9">
      <c r="A161" s="67"/>
      <c r="B161" s="68"/>
      <c r="C161" s="60"/>
      <c r="D161" s="61"/>
      <c r="E161" s="78">
        <v>0</v>
      </c>
      <c r="F161" s="15"/>
      <c r="G161" s="15"/>
      <c r="H161" s="15"/>
      <c r="I161" s="45"/>
    </row>
    <row r="162" s="1" customFormat="1" ht="35" customHeight="1" spans="1:9">
      <c r="A162" s="51" t="s">
        <v>60</v>
      </c>
      <c r="B162" s="69"/>
      <c r="C162" s="70"/>
      <c r="D162" s="71"/>
      <c r="E162" s="78">
        <f>C96</f>
        <v>0</v>
      </c>
      <c r="F162" s="15"/>
      <c r="G162" s="15"/>
      <c r="H162" s="15"/>
      <c r="I162" s="45"/>
    </row>
    <row r="163" s="1" customFormat="1" ht="35" customHeight="1" spans="1:9">
      <c r="A163" s="72"/>
      <c r="B163" s="73"/>
      <c r="C163" s="37" t="s">
        <v>61</v>
      </c>
      <c r="D163" s="37"/>
      <c r="E163" s="65">
        <f ca="1">(F28+E143)-(SUM(E145:E154)+SUM(E156:E162))</f>
        <v>0</v>
      </c>
      <c r="F163" s="15"/>
      <c r="G163" s="15"/>
      <c r="H163" s="15"/>
      <c r="I163" s="45"/>
    </row>
    <row r="164" s="1" customFormat="1" ht="35" customHeight="1" spans="1:9">
      <c r="A164" s="15"/>
      <c r="B164" s="15"/>
      <c r="C164" s="15"/>
      <c r="D164" s="15"/>
      <c r="E164" s="15"/>
      <c r="F164" s="15"/>
      <c r="G164" s="15"/>
      <c r="H164" s="15"/>
      <c r="I164" s="45"/>
    </row>
    <row r="165" s="1" customFormat="1" ht="35" customHeight="1" spans="1:9">
      <c r="A165" s="15"/>
      <c r="B165" s="15"/>
      <c r="C165" s="15"/>
      <c r="D165" s="15"/>
      <c r="E165" s="15"/>
      <c r="F165" s="15"/>
      <c r="G165" s="15"/>
      <c r="H165" s="15"/>
      <c r="I165" s="45"/>
    </row>
    <row r="166" s="1" customFormat="1" ht="35" customHeight="1" spans="1:9">
      <c r="A166" s="15"/>
      <c r="B166" s="15"/>
      <c r="C166" s="15"/>
      <c r="D166" s="15"/>
      <c r="E166" s="15"/>
      <c r="F166" s="15"/>
      <c r="G166" s="15"/>
      <c r="H166" s="15"/>
      <c r="I166" s="45"/>
    </row>
    <row r="167" s="1" customFormat="1" ht="35" customHeight="1" spans="1:9">
      <c r="A167" s="15"/>
      <c r="B167" s="15"/>
      <c r="C167" s="15"/>
      <c r="D167" s="15"/>
      <c r="E167" s="15"/>
      <c r="F167" s="15"/>
      <c r="G167" s="15"/>
      <c r="H167" s="15"/>
      <c r="I167" s="45"/>
    </row>
    <row r="168" s="1" customFormat="1" ht="35" customHeight="1" spans="1:9">
      <c r="A168" s="48" t="str">
        <f>"Debts Or Credits For the Comming "&amp;IF(Main!B2,TEXT(EDATE(Main!B3,20),"mmmm dd yyyy"),TEXT(Main!B3+((Main!B5-Main!B3)*20+20),"mmmm dd yyyy"))&amp;" to "&amp;IF(Main!B2,TEXT(EDATE(Main!B3,21)-1,"mmmm dd yyyy"),TEXT(Main!B3+((Main!B5-Main!B3)*21+20),"mmmm dd yyyy"))</f>
        <v>Debts Or Credits For the Comming January 01 2027 to January 31 2027</v>
      </c>
      <c r="B168" s="49"/>
      <c r="C168" s="49"/>
      <c r="D168" s="49"/>
      <c r="E168" s="50"/>
      <c r="F168" s="15"/>
      <c r="G168" s="15"/>
      <c r="H168" s="15"/>
      <c r="I168" s="45"/>
    </row>
    <row r="169" s="1" customFormat="1" ht="35" customHeight="1" spans="1:9">
      <c r="A169" s="48" t="s">
        <v>57</v>
      </c>
      <c r="B169" s="50"/>
      <c r="C169" s="74" t="s">
        <v>44</v>
      </c>
      <c r="D169" s="75"/>
      <c r="E169" s="80" t="s">
        <v>45</v>
      </c>
      <c r="F169" s="15"/>
      <c r="G169" s="15"/>
      <c r="H169" s="15"/>
      <c r="I169" s="45"/>
    </row>
    <row r="170" s="1" customFormat="1" ht="35" customHeight="1" spans="1:9">
      <c r="A170" s="51" t="str">
        <f>"Balance Brought Forward From "&amp;IF(Main!B2,TEXT(EDATE(Main!B3,20)-1,"mmmm yyyy"),TEXT(Main!B3+((Main!B5-Main!B3)*20+19),"mmmm yyyy"))</f>
        <v>Balance Brought Forward From December 2026</v>
      </c>
      <c r="B170" s="52"/>
      <c r="C170" s="53"/>
      <c r="D170" s="53"/>
      <c r="E170" s="65">
        <f ca="1">E163</f>
        <v>0</v>
      </c>
      <c r="F170" s="15"/>
      <c r="G170" s="15"/>
      <c r="H170" s="15"/>
      <c r="I170" s="45"/>
    </row>
    <row r="171" s="1" customFormat="1" ht="35" customHeight="1" spans="1:9">
      <c r="A171" s="54" t="s">
        <v>52</v>
      </c>
      <c r="B171" s="55"/>
      <c r="C171" s="76" t="s">
        <v>58</v>
      </c>
      <c r="D171" s="77"/>
      <c r="E171" s="81"/>
      <c r="F171" s="15"/>
      <c r="G171" s="15"/>
      <c r="H171" s="15"/>
      <c r="I171" s="45"/>
    </row>
    <row r="172" s="1" customFormat="1" ht="35" customHeight="1" spans="1:9">
      <c r="A172" s="58"/>
      <c r="B172" s="59"/>
      <c r="C172" s="60"/>
      <c r="D172" s="61"/>
      <c r="E172" s="35">
        <v>0</v>
      </c>
      <c r="F172" s="15"/>
      <c r="G172" s="15"/>
      <c r="H172" s="15"/>
      <c r="I172" s="45"/>
    </row>
    <row r="173" s="1" customFormat="1" ht="35" customHeight="1" spans="1:9">
      <c r="A173" s="58"/>
      <c r="B173" s="59"/>
      <c r="C173" s="60"/>
      <c r="D173" s="61"/>
      <c r="E173" s="35">
        <v>0</v>
      </c>
      <c r="F173" s="15"/>
      <c r="G173" s="15"/>
      <c r="H173" s="15"/>
      <c r="I173" s="45"/>
    </row>
    <row r="174" s="1" customFormat="1" ht="35" customHeight="1" spans="1:9">
      <c r="A174" s="58"/>
      <c r="B174" s="59"/>
      <c r="C174" s="60"/>
      <c r="D174" s="61"/>
      <c r="E174" s="35">
        <v>0</v>
      </c>
      <c r="F174" s="15"/>
      <c r="G174" s="15"/>
      <c r="H174" s="15"/>
      <c r="I174" s="45"/>
    </row>
    <row r="175" s="1" customFormat="1" ht="35" customHeight="1" spans="1:9">
      <c r="A175" s="58"/>
      <c r="B175" s="59"/>
      <c r="C175" s="60"/>
      <c r="D175" s="61"/>
      <c r="E175" s="35">
        <v>0</v>
      </c>
      <c r="F175" s="15"/>
      <c r="G175" s="15"/>
      <c r="H175" s="15"/>
      <c r="I175" s="45"/>
    </row>
    <row r="176" s="1" customFormat="1" ht="35" customHeight="1" spans="1:9">
      <c r="A176" s="58"/>
      <c r="B176" s="59"/>
      <c r="C176" s="60"/>
      <c r="D176" s="61"/>
      <c r="E176" s="35">
        <v>0</v>
      </c>
      <c r="F176" s="15"/>
      <c r="G176" s="15"/>
      <c r="H176" s="15"/>
      <c r="I176" s="45"/>
    </row>
    <row r="177" s="1" customFormat="1" ht="35" customHeight="1" spans="1:9">
      <c r="A177" s="58"/>
      <c r="B177" s="59"/>
      <c r="C177" s="60"/>
      <c r="D177" s="61"/>
      <c r="E177" s="35">
        <v>0</v>
      </c>
      <c r="F177" s="15"/>
      <c r="G177" s="15"/>
      <c r="H177" s="15"/>
      <c r="I177" s="45"/>
    </row>
    <row r="178" s="1" customFormat="1" ht="35" customHeight="1" spans="1:9">
      <c r="A178" s="58"/>
      <c r="B178" s="59"/>
      <c r="C178" s="60"/>
      <c r="D178" s="61"/>
      <c r="E178" s="35">
        <v>0</v>
      </c>
      <c r="F178" s="15"/>
      <c r="G178" s="15"/>
      <c r="H178" s="15"/>
      <c r="I178" s="45"/>
    </row>
    <row r="179" s="1" customFormat="1" ht="35" customHeight="1" spans="1:9">
      <c r="A179" s="58"/>
      <c r="B179" s="59"/>
      <c r="C179" s="60"/>
      <c r="D179" s="61"/>
      <c r="E179" s="35">
        <v>0</v>
      </c>
      <c r="F179" s="15"/>
      <c r="G179" s="15"/>
      <c r="H179" s="15"/>
      <c r="I179" s="45"/>
    </row>
    <row r="180" s="1" customFormat="1" ht="35" customHeight="1" spans="1:9">
      <c r="A180" s="58"/>
      <c r="B180" s="59"/>
      <c r="C180" s="60"/>
      <c r="D180" s="61"/>
      <c r="E180" s="35">
        <v>0</v>
      </c>
      <c r="F180" s="15"/>
      <c r="G180" s="15"/>
      <c r="H180" s="15"/>
      <c r="I180" s="45"/>
    </row>
    <row r="181" s="1" customFormat="1" ht="35" customHeight="1" spans="1:9">
      <c r="A181" s="58"/>
      <c r="B181" s="59"/>
      <c r="C181" s="60"/>
      <c r="D181" s="61"/>
      <c r="E181" s="35">
        <v>0</v>
      </c>
      <c r="F181" s="15"/>
      <c r="G181" s="15"/>
      <c r="H181" s="15"/>
      <c r="I181" s="45"/>
    </row>
    <row r="182" s="1" customFormat="1" ht="35" customHeight="1" spans="1:9">
      <c r="A182" s="58"/>
      <c r="B182" s="59"/>
      <c r="C182" s="56" t="s">
        <v>59</v>
      </c>
      <c r="D182" s="57"/>
      <c r="E182" s="66"/>
      <c r="F182" s="15"/>
      <c r="G182" s="15"/>
      <c r="H182" s="15"/>
      <c r="I182" s="45"/>
    </row>
    <row r="183" s="1" customFormat="1" ht="35" customHeight="1" spans="1:9">
      <c r="A183" s="58"/>
      <c r="B183" s="59"/>
      <c r="C183" s="60"/>
      <c r="D183" s="61"/>
      <c r="E183" s="78">
        <v>0</v>
      </c>
      <c r="F183" s="15"/>
      <c r="G183" s="15"/>
      <c r="H183" s="15"/>
      <c r="I183" s="45"/>
    </row>
    <row r="184" s="1" customFormat="1" ht="35" customHeight="1" spans="1:9">
      <c r="A184" s="58"/>
      <c r="B184" s="59"/>
      <c r="C184" s="60"/>
      <c r="D184" s="61"/>
      <c r="E184" s="78">
        <v>0</v>
      </c>
      <c r="F184" s="15"/>
      <c r="G184" s="15"/>
      <c r="H184" s="15"/>
      <c r="I184" s="45"/>
    </row>
    <row r="185" s="1" customFormat="1" ht="35" customHeight="1" spans="1:9">
      <c r="A185" s="58"/>
      <c r="B185" s="59"/>
      <c r="C185" s="60"/>
      <c r="D185" s="61"/>
      <c r="E185" s="78">
        <v>0</v>
      </c>
      <c r="F185" s="15"/>
      <c r="G185" s="15"/>
      <c r="H185" s="15"/>
      <c r="I185" s="45"/>
    </row>
    <row r="186" s="1" customFormat="1" ht="35" customHeight="1" spans="1:9">
      <c r="A186" s="58"/>
      <c r="B186" s="59"/>
      <c r="C186" s="60"/>
      <c r="D186" s="61"/>
      <c r="E186" s="78">
        <v>0</v>
      </c>
      <c r="F186" s="15"/>
      <c r="G186" s="15"/>
      <c r="H186" s="15"/>
      <c r="I186" s="45"/>
    </row>
    <row r="187" s="1" customFormat="1" ht="35" customHeight="1" spans="1:9">
      <c r="A187" s="58"/>
      <c r="B187" s="59"/>
      <c r="C187" s="60"/>
      <c r="D187" s="61"/>
      <c r="E187" s="78">
        <v>0</v>
      </c>
      <c r="F187" s="15"/>
      <c r="G187" s="15"/>
      <c r="H187" s="15"/>
      <c r="I187" s="45"/>
    </row>
    <row r="188" s="1" customFormat="1" ht="35" customHeight="1" spans="1:9">
      <c r="A188" s="67"/>
      <c r="B188" s="68"/>
      <c r="C188" s="60"/>
      <c r="D188" s="61"/>
      <c r="E188" s="78">
        <v>0</v>
      </c>
      <c r="F188" s="15"/>
      <c r="G188" s="15"/>
      <c r="H188" s="15"/>
      <c r="I188" s="45"/>
    </row>
    <row r="189" s="1" customFormat="1" ht="35" customHeight="1" spans="1:9">
      <c r="A189" s="51" t="s">
        <v>60</v>
      </c>
      <c r="B189" s="69"/>
      <c r="C189" s="70"/>
      <c r="D189" s="71"/>
      <c r="E189" s="78">
        <f>C96</f>
        <v>0</v>
      </c>
      <c r="F189" s="15"/>
      <c r="G189" s="15"/>
      <c r="H189" s="15"/>
      <c r="I189" s="45"/>
    </row>
    <row r="190" s="1" customFormat="1" ht="35" customHeight="1" spans="1:9">
      <c r="A190" s="72"/>
      <c r="B190" s="73"/>
      <c r="C190" s="37" t="s">
        <v>61</v>
      </c>
      <c r="D190" s="37"/>
      <c r="E190" s="65">
        <f ca="1">(F40+E170)-(SUM(E172:E181)+SUM(E183:E189))</f>
        <v>0</v>
      </c>
      <c r="F190" s="15"/>
      <c r="G190" s="15"/>
      <c r="H190" s="15"/>
      <c r="I190" s="45"/>
    </row>
    <row r="191" s="1" customFormat="1" ht="35" customHeight="1" spans="1:9">
      <c r="A191" s="15"/>
      <c r="B191" s="15"/>
      <c r="C191" s="15"/>
      <c r="D191" s="15"/>
      <c r="E191" s="15"/>
      <c r="F191" s="15"/>
      <c r="G191" s="15"/>
      <c r="H191" s="15"/>
      <c r="I191" s="45"/>
    </row>
    <row r="192" ht="24.75" customHeight="1" spans="1:9">
      <c r="A192" s="82"/>
      <c r="B192" s="82"/>
      <c r="C192" s="82"/>
      <c r="D192" s="82"/>
      <c r="E192" s="82"/>
      <c r="F192" s="82"/>
      <c r="G192" s="82"/>
      <c r="H192" s="82"/>
      <c r="I192" s="82"/>
    </row>
    <row r="193" spans="1:9">
      <c r="A193" s="82"/>
      <c r="B193" s="82"/>
      <c r="C193" s="82"/>
      <c r="D193" s="82"/>
      <c r="E193" s="82"/>
      <c r="F193" s="82"/>
      <c r="G193" s="82"/>
      <c r="H193" s="82"/>
      <c r="I193" s="82"/>
    </row>
  </sheetData>
  <sheetProtection sheet="1" formatCells="0" formatColumns="0" formatRows="0" objects="1"/>
  <protectedRanges>
    <protectedRange sqref="A10:G15" name="R1"/>
    <protectedRange sqref="A22:G27" name="R2"/>
    <protectedRange sqref="A34:G39" name="R3"/>
    <protectedRange sqref="A46:C46 C47:C54" name="F1"/>
    <protectedRange sqref="C56:C65" name="F2"/>
    <protectedRange sqref="C67:C74" name="F3"/>
    <protectedRange sqref="C76:C84" name="F4"/>
    <protectedRange sqref="C86:C94" name="F5"/>
    <protectedRange sqref="C117:E134" name="E1"/>
    <protectedRange sqref="C144:E161" name="E2"/>
    <protectedRange sqref="C171:E188" name="E3"/>
    <protectedRange sqref="A56:B56" name="F2_1"/>
    <protectedRange sqref="A67:B67" name="F3_1"/>
    <protectedRange sqref="A76:B76" name="F4_1"/>
    <protectedRange sqref="A86:B86" name="F5_1"/>
  </protectedRanges>
  <mergeCells count="174">
    <mergeCell ref="A1:G1"/>
    <mergeCell ref="C2:G2"/>
    <mergeCell ref="C3:G3"/>
    <mergeCell ref="A4:B4"/>
    <mergeCell ref="C4:G4"/>
    <mergeCell ref="A5:B5"/>
    <mergeCell ref="C5:G5"/>
    <mergeCell ref="A8:G8"/>
    <mergeCell ref="B9:C9"/>
    <mergeCell ref="D9:E9"/>
    <mergeCell ref="F9:G9"/>
    <mergeCell ref="B10:C10"/>
    <mergeCell ref="D10:E10"/>
    <mergeCell ref="F10:G10"/>
    <mergeCell ref="B11:C11"/>
    <mergeCell ref="D11:E11"/>
    <mergeCell ref="F11:G11"/>
    <mergeCell ref="B12:C12"/>
    <mergeCell ref="D12:E12"/>
    <mergeCell ref="F12:G12"/>
    <mergeCell ref="B13:C13"/>
    <mergeCell ref="D13:E13"/>
    <mergeCell ref="F13:G13"/>
    <mergeCell ref="B14:C14"/>
    <mergeCell ref="D14:E14"/>
    <mergeCell ref="F14:G14"/>
    <mergeCell ref="B15:C15"/>
    <mergeCell ref="D15:E15"/>
    <mergeCell ref="F15:G15"/>
    <mergeCell ref="B16:C16"/>
    <mergeCell ref="D16:E16"/>
    <mergeCell ref="F16:G16"/>
    <mergeCell ref="A20:G20"/>
    <mergeCell ref="B21:C21"/>
    <mergeCell ref="D21:E21"/>
    <mergeCell ref="F21:G21"/>
    <mergeCell ref="B22:C22"/>
    <mergeCell ref="D22:E22"/>
    <mergeCell ref="F22:G22"/>
    <mergeCell ref="B23:C23"/>
    <mergeCell ref="D23:E23"/>
    <mergeCell ref="F23:G23"/>
    <mergeCell ref="B24:C24"/>
    <mergeCell ref="D24:E24"/>
    <mergeCell ref="F24:G24"/>
    <mergeCell ref="B25:C25"/>
    <mergeCell ref="D25:E25"/>
    <mergeCell ref="F25:G25"/>
    <mergeCell ref="B26:C26"/>
    <mergeCell ref="D26:E26"/>
    <mergeCell ref="F26:G26"/>
    <mergeCell ref="B27:C27"/>
    <mergeCell ref="D27:E27"/>
    <mergeCell ref="F27:G27"/>
    <mergeCell ref="B28:C28"/>
    <mergeCell ref="D28:E28"/>
    <mergeCell ref="F28:G28"/>
    <mergeCell ref="A32:G32"/>
    <mergeCell ref="B33:C33"/>
    <mergeCell ref="D33:E33"/>
    <mergeCell ref="F33:G33"/>
    <mergeCell ref="B34:C34"/>
    <mergeCell ref="D34:E34"/>
    <mergeCell ref="F34:G34"/>
    <mergeCell ref="B35:C35"/>
    <mergeCell ref="D35:E35"/>
    <mergeCell ref="F35:G35"/>
    <mergeCell ref="B36:C36"/>
    <mergeCell ref="D36:E36"/>
    <mergeCell ref="F36:G36"/>
    <mergeCell ref="B37:C37"/>
    <mergeCell ref="D37:E37"/>
    <mergeCell ref="F37:G37"/>
    <mergeCell ref="B38:C38"/>
    <mergeCell ref="D38:E38"/>
    <mergeCell ref="F38:G38"/>
    <mergeCell ref="B39:C39"/>
    <mergeCell ref="D39:E39"/>
    <mergeCell ref="F39:G39"/>
    <mergeCell ref="B40:C40"/>
    <mergeCell ref="D40:E40"/>
    <mergeCell ref="F40:G40"/>
    <mergeCell ref="A44:C44"/>
    <mergeCell ref="A46:C46"/>
    <mergeCell ref="A56:C56"/>
    <mergeCell ref="A67:C67"/>
    <mergeCell ref="A76:C76"/>
    <mergeCell ref="A86:C86"/>
    <mergeCell ref="A97:C97"/>
    <mergeCell ref="A114:E114"/>
    <mergeCell ref="A115:B115"/>
    <mergeCell ref="C115:D115"/>
    <mergeCell ref="A116:B116"/>
    <mergeCell ref="C116:D116"/>
    <mergeCell ref="C117:D117"/>
    <mergeCell ref="C118:D118"/>
    <mergeCell ref="C119:D119"/>
    <mergeCell ref="C120:D120"/>
    <mergeCell ref="C121:D121"/>
    <mergeCell ref="C122:D122"/>
    <mergeCell ref="C123:D123"/>
    <mergeCell ref="C124:D124"/>
    <mergeCell ref="C125:D125"/>
    <mergeCell ref="C126:D126"/>
    <mergeCell ref="C127:D127"/>
    <mergeCell ref="C128:D128"/>
    <mergeCell ref="C129:D129"/>
    <mergeCell ref="C130:D130"/>
    <mergeCell ref="C131:D131"/>
    <mergeCell ref="C132:D132"/>
    <mergeCell ref="C133:D133"/>
    <mergeCell ref="C134:D134"/>
    <mergeCell ref="A135:B135"/>
    <mergeCell ref="C135:D135"/>
    <mergeCell ref="A136:B136"/>
    <mergeCell ref="C136:D136"/>
    <mergeCell ref="A141:E141"/>
    <mergeCell ref="A142:B142"/>
    <mergeCell ref="C142:D142"/>
    <mergeCell ref="A143:B143"/>
    <mergeCell ref="C143:D143"/>
    <mergeCell ref="C144:D144"/>
    <mergeCell ref="C145:D145"/>
    <mergeCell ref="C146:D146"/>
    <mergeCell ref="C147:D147"/>
    <mergeCell ref="C148:D148"/>
    <mergeCell ref="C149:D149"/>
    <mergeCell ref="C150:D150"/>
    <mergeCell ref="C151:D151"/>
    <mergeCell ref="C152:D152"/>
    <mergeCell ref="C153:D153"/>
    <mergeCell ref="C154:D154"/>
    <mergeCell ref="C155:D155"/>
    <mergeCell ref="C156:D156"/>
    <mergeCell ref="C157:D157"/>
    <mergeCell ref="C158:D158"/>
    <mergeCell ref="C159:D159"/>
    <mergeCell ref="C160:D160"/>
    <mergeCell ref="C161:D161"/>
    <mergeCell ref="A162:B162"/>
    <mergeCell ref="C162:D162"/>
    <mergeCell ref="A163:B163"/>
    <mergeCell ref="C163:D163"/>
    <mergeCell ref="A168:E168"/>
    <mergeCell ref="A169:B169"/>
    <mergeCell ref="C169:D169"/>
    <mergeCell ref="A170:B170"/>
    <mergeCell ref="C170:D170"/>
    <mergeCell ref="C171:D171"/>
    <mergeCell ref="C172:D172"/>
    <mergeCell ref="C173:D173"/>
    <mergeCell ref="C174:D174"/>
    <mergeCell ref="C175:D175"/>
    <mergeCell ref="C176:D176"/>
    <mergeCell ref="C177:D177"/>
    <mergeCell ref="C178:D178"/>
    <mergeCell ref="C179:D179"/>
    <mergeCell ref="C180:D180"/>
    <mergeCell ref="C181:D181"/>
    <mergeCell ref="C182:D182"/>
    <mergeCell ref="C183:D183"/>
    <mergeCell ref="C184:D184"/>
    <mergeCell ref="C185:D185"/>
    <mergeCell ref="C186:D186"/>
    <mergeCell ref="C187:D187"/>
    <mergeCell ref="C188:D188"/>
    <mergeCell ref="A189:B189"/>
    <mergeCell ref="C189:D189"/>
    <mergeCell ref="A190:B190"/>
    <mergeCell ref="C190:D190"/>
    <mergeCell ref="A2:A3"/>
    <mergeCell ref="A117:B134"/>
    <mergeCell ref="A144:B161"/>
    <mergeCell ref="A171:B188"/>
  </mergeCells>
  <conditionalFormatting sqref="C5">
    <cfRule type="cellIs" dxfId="0" priority="6" operator="greaterThanOrEqual">
      <formula>0</formula>
    </cfRule>
    <cfRule type="cellIs" dxfId="1" priority="5" operator="lessThan">
      <formula>0</formula>
    </cfRule>
  </conditionalFormatting>
  <conditionalFormatting sqref="C75">
    <cfRule type="cellIs" dxfId="0" priority="51" operator="equal">
      <formula>0</formula>
    </cfRule>
    <cfRule type="cellIs" dxfId="1" priority="50" operator="greaterThan">
      <formula>0</formula>
    </cfRule>
  </conditionalFormatting>
  <conditionalFormatting sqref="C77">
    <cfRule type="cellIs" dxfId="0" priority="49" operator="equal">
      <formula>0</formula>
    </cfRule>
    <cfRule type="cellIs" dxfId="1" priority="48" operator="greaterThan">
      <formula>0</formula>
    </cfRule>
  </conditionalFormatting>
  <conditionalFormatting sqref="C108">
    <cfRule type="cellIs" dxfId="0" priority="4" operator="greaterThanOrEqual">
      <formula>0</formula>
    </cfRule>
    <cfRule type="cellIs" dxfId="1" priority="3" operator="lessThan">
      <formula>0</formula>
    </cfRule>
  </conditionalFormatting>
  <conditionalFormatting sqref="C109">
    <cfRule type="cellIs" dxfId="0" priority="2" operator="greaterThanOrEqual">
      <formula>0</formula>
    </cfRule>
    <cfRule type="cellIs" dxfId="1" priority="1" operator="lessThan">
      <formula>0</formula>
    </cfRule>
  </conditionalFormatting>
  <conditionalFormatting sqref="E116">
    <cfRule type="cellIs" dxfId="3" priority="12" operator="greaterThanOrEqual">
      <formula>0</formula>
    </cfRule>
    <cfRule type="cellIs" dxfId="4" priority="11" operator="lessThan">
      <formula>0</formula>
    </cfRule>
  </conditionalFormatting>
  <conditionalFormatting sqref="E136">
    <cfRule type="cellIs" dxfId="3" priority="43" operator="greaterThanOrEqual">
      <formula>0</formula>
    </cfRule>
    <cfRule type="cellIs" dxfId="4" priority="42" operator="lessThan">
      <formula>0</formula>
    </cfRule>
  </conditionalFormatting>
  <conditionalFormatting sqref="E143">
    <cfRule type="cellIs" dxfId="3" priority="30" operator="greaterThanOrEqual">
      <formula>0</formula>
    </cfRule>
    <cfRule type="cellIs" dxfId="4" priority="29" operator="lessThan">
      <formula>0</formula>
    </cfRule>
  </conditionalFormatting>
  <conditionalFormatting sqref="E163">
    <cfRule type="cellIs" dxfId="3" priority="32" operator="greaterThanOrEqual">
      <formula>0</formula>
    </cfRule>
    <cfRule type="cellIs" dxfId="4" priority="31" operator="lessThan">
      <formula>0</formula>
    </cfRule>
  </conditionalFormatting>
  <conditionalFormatting sqref="E170">
    <cfRule type="cellIs" dxfId="3" priority="24" operator="greaterThanOrEqual">
      <formula>0</formula>
    </cfRule>
    <cfRule type="cellIs" dxfId="4" priority="23" operator="lessThan">
      <formula>0</formula>
    </cfRule>
  </conditionalFormatting>
  <conditionalFormatting sqref="E190">
    <cfRule type="cellIs" dxfId="3" priority="26" operator="greaterThanOrEqual">
      <formula>0</formula>
    </cfRule>
    <cfRule type="cellIs" dxfId="4" priority="25" operator="lessThan">
      <formula>0</formula>
    </cfRule>
  </conditionalFormatting>
  <conditionalFormatting sqref="C57:C66">
    <cfRule type="cellIs" dxfId="0" priority="55" operator="equal">
      <formula>0</formula>
    </cfRule>
    <cfRule type="cellIs" dxfId="1" priority="54" operator="greaterThan">
      <formula>0</formula>
    </cfRule>
  </conditionalFormatting>
  <conditionalFormatting sqref="C68:C69">
    <cfRule type="cellIs" dxfId="0" priority="53" operator="equal">
      <formula>0</formula>
    </cfRule>
    <cfRule type="cellIs" dxfId="1" priority="52" operator="greaterThan">
      <formula>0</formula>
    </cfRule>
  </conditionalFormatting>
  <conditionalFormatting sqref="C70:C74">
    <cfRule type="cellIs" dxfId="0" priority="41" operator="equal">
      <formula>0</formula>
    </cfRule>
    <cfRule type="cellIs" dxfId="1" priority="40" operator="greaterThan">
      <formula>0</formula>
    </cfRule>
  </conditionalFormatting>
  <conditionalFormatting sqref="C78:C79">
    <cfRule type="cellIs" dxfId="0" priority="10" operator="equal">
      <formula>0</formula>
    </cfRule>
    <cfRule type="cellIs" dxfId="1" priority="9" operator="greaterThan">
      <formula>0</formula>
    </cfRule>
  </conditionalFormatting>
  <conditionalFormatting sqref="C80:C84">
    <cfRule type="cellIs" dxfId="0" priority="39" operator="equal">
      <formula>0</formula>
    </cfRule>
    <cfRule type="cellIs" dxfId="1" priority="38" operator="greaterThan">
      <formula>0</formula>
    </cfRule>
  </conditionalFormatting>
  <conditionalFormatting sqref="C87:C89">
    <cfRule type="cellIs" dxfId="0" priority="47" operator="equal">
      <formula>0</formula>
    </cfRule>
    <cfRule type="cellIs" dxfId="1" priority="46" operator="greaterThan">
      <formula>0</formula>
    </cfRule>
  </conditionalFormatting>
  <conditionalFormatting sqref="C90:C91">
    <cfRule type="cellIs" dxfId="0" priority="8" operator="equal">
      <formula>0</formula>
    </cfRule>
    <cfRule type="cellIs" dxfId="1" priority="7" operator="greaterThan">
      <formula>0</formula>
    </cfRule>
  </conditionalFormatting>
  <conditionalFormatting sqref="C92:C94">
    <cfRule type="cellIs" dxfId="0" priority="37" operator="equal">
      <formula>0</formula>
    </cfRule>
    <cfRule type="cellIs" dxfId="1" priority="36" operator="greaterThan">
      <formula>0</formula>
    </cfRule>
  </conditionalFormatting>
  <conditionalFormatting sqref="C98:C107">
    <cfRule type="cellIs" dxfId="1" priority="20" operator="lessThan">
      <formula>0</formula>
    </cfRule>
    <cfRule type="cellIs" dxfId="2" priority="19" operator="greaterThanOrEqual">
      <formula>0</formula>
    </cfRule>
  </conditionalFormatting>
  <conditionalFormatting sqref="E118:E127">
    <cfRule type="cellIs" dxfId="0" priority="18" operator="equal">
      <formula>0</formula>
    </cfRule>
    <cfRule type="cellIs" dxfId="1" priority="17" operator="greaterThan">
      <formula>0</formula>
    </cfRule>
  </conditionalFormatting>
  <conditionalFormatting sqref="E145:E154">
    <cfRule type="cellIs" dxfId="0" priority="16" operator="equal">
      <formula>0</formula>
    </cfRule>
    <cfRule type="cellIs" dxfId="1" priority="15" operator="greaterThan">
      <formula>0</formula>
    </cfRule>
  </conditionalFormatting>
  <conditionalFormatting sqref="E172:E181">
    <cfRule type="cellIs" dxfId="0" priority="14" operator="equal">
      <formula>0</formula>
    </cfRule>
    <cfRule type="cellIs" dxfId="1" priority="13" operator="greaterThan">
      <formula>0</formula>
    </cfRule>
  </conditionalFormatting>
  <conditionalFormatting sqref="C47:C55 C85 C95:C96">
    <cfRule type="cellIs" dxfId="0" priority="57" operator="equal">
      <formula>0</formula>
    </cfRule>
  </conditionalFormatting>
  <conditionalFormatting sqref="C47:C55 C85 C95:C96 E144 E155:E162">
    <cfRule type="cellIs" dxfId="1" priority="56" operator="greaterThan">
      <formula>0</formula>
    </cfRule>
  </conditionalFormatting>
  <conditionalFormatting sqref="E117 E128:E135">
    <cfRule type="cellIs" dxfId="0" priority="45" operator="equal">
      <formula>0</formula>
    </cfRule>
    <cfRule type="cellIs" dxfId="1" priority="44" operator="greaterThan">
      <formula>0</formula>
    </cfRule>
  </conditionalFormatting>
  <conditionalFormatting sqref="E144 E155:E162">
    <cfRule type="cellIs" dxfId="2" priority="33" operator="equal">
      <formula>0</formula>
    </cfRule>
  </conditionalFormatting>
  <conditionalFormatting sqref="E171 E182:E189">
    <cfRule type="cellIs" dxfId="2" priority="28" operator="equal">
      <formula>0</formula>
    </cfRule>
    <cfRule type="cellIs" dxfId="1" priority="27" operator="greaterThan">
      <formula>0</formula>
    </cfRule>
  </conditionalFormatting>
  <pageMargins left="0.7" right="0.7" top="0.75" bottom="0.75" header="0.3" footer="0.3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93"/>
  <sheetViews>
    <sheetView workbookViewId="0">
      <selection activeCell="C7" sqref="C7"/>
    </sheetView>
  </sheetViews>
  <sheetFormatPr defaultColWidth="9" defaultRowHeight="17.6"/>
  <cols>
    <col min="1" max="7" width="25.6111111111111" customWidth="1"/>
    <col min="8" max="8" width="20.625" customWidth="1"/>
  </cols>
  <sheetData>
    <row r="1" s="1" customFormat="1" ht="35" customHeight="1" spans="1:9">
      <c r="A1" s="2" t="str">
        <f>"Forecasts For the Year "&amp;IF(Main!B2,TEXT(EDATE(Main!B3,21),"mmmm yyyy"),TEXT(Main!B3+((Main!B5-Main!B3)*21+21),"mmmm yyyy"))&amp;" to "&amp;IF(Main!B2,TEXT(EDATE(Main!B3,24)-1,"mmmm yyyy"),TEXT(Main!B3+((Main!B5-Main!B3)*24+23),"mmmm yyyy"))</f>
        <v>Forecasts For the Year February 2027 to April 2027</v>
      </c>
      <c r="B1" s="2"/>
      <c r="C1" s="2"/>
      <c r="D1" s="2"/>
      <c r="E1" s="2"/>
      <c r="F1" s="2"/>
      <c r="G1" s="2"/>
      <c r="H1" s="38"/>
      <c r="I1" s="38"/>
    </row>
    <row r="2" s="1" customFormat="1" ht="35" customHeight="1" spans="1:9">
      <c r="A2" s="3" t="s">
        <v>33</v>
      </c>
      <c r="B2" s="4" t="s">
        <v>62</v>
      </c>
      <c r="C2" s="5" cm="1">
        <f ca="1" t="array" ref="C2">INDIRECT("'"&amp;Main!B9&amp;"'!$C$16")</f>
        <v>0</v>
      </c>
      <c r="D2" s="5"/>
      <c r="E2" s="5"/>
      <c r="F2" s="5"/>
      <c r="G2" s="5"/>
      <c r="H2" s="38"/>
      <c r="I2" s="38"/>
    </row>
    <row r="3" s="1" customFormat="1" ht="35" customHeight="1" spans="1:9">
      <c r="A3" s="6"/>
      <c r="B3" s="7" t="s">
        <v>63</v>
      </c>
      <c r="C3" s="8">
        <f ca="1">E190</f>
        <v>0</v>
      </c>
      <c r="D3" s="8"/>
      <c r="E3" s="8"/>
      <c r="F3" s="8"/>
      <c r="G3" s="8"/>
      <c r="H3" s="38"/>
      <c r="I3" s="38"/>
    </row>
    <row r="4" s="1" customFormat="1" ht="35" customHeight="1" spans="1:9">
      <c r="A4" s="9" t="s">
        <v>42</v>
      </c>
      <c r="B4" s="10"/>
      <c r="C4" s="11">
        <f ca="1">SUM(C2:G3)</f>
        <v>0</v>
      </c>
      <c r="D4" s="11"/>
      <c r="E4" s="11"/>
      <c r="F4" s="11"/>
      <c r="G4" s="11"/>
      <c r="H4" s="15"/>
      <c r="I4" s="45"/>
    </row>
    <row r="5" s="1" customFormat="1" ht="35" customHeight="1" spans="1:9">
      <c r="A5" s="12" t="s">
        <v>64</v>
      </c>
      <c r="B5" s="12"/>
      <c r="C5" s="13">
        <f ca="1">C108</f>
        <v>0</v>
      </c>
      <c r="D5" s="14"/>
      <c r="E5" s="14"/>
      <c r="F5" s="14"/>
      <c r="G5" s="14"/>
      <c r="H5" s="15"/>
      <c r="I5" s="45"/>
    </row>
    <row r="6" s="1" customFormat="1" ht="35" customHeight="1" spans="1:9">
      <c r="A6" s="15"/>
      <c r="B6" s="15"/>
      <c r="C6" s="15"/>
      <c r="D6" s="15"/>
      <c r="E6" s="15"/>
      <c r="F6" s="15"/>
      <c r="G6" s="15"/>
      <c r="H6" s="15"/>
      <c r="I6" s="45"/>
    </row>
    <row r="7" s="1" customFormat="1" ht="35" customHeight="1" spans="1:9">
      <c r="A7" s="15"/>
      <c r="B7" s="15"/>
      <c r="C7" s="15"/>
      <c r="D7" s="15"/>
      <c r="E7" s="15"/>
      <c r="F7" s="15"/>
      <c r="G7" s="15"/>
      <c r="H7" s="15"/>
      <c r="I7" s="45"/>
    </row>
    <row r="8" s="1" customFormat="1" ht="35" customHeight="1" spans="1:9">
      <c r="A8" s="16" t="str">
        <f>IF(Main!B2,TEXT(EDATE(Main!B3,21),"dd mmmm yyyy"),TEXT(Main!B3+((Main!B5-Main!B3)*21+21),"dd mmmm yyyy"))&amp;" - "&amp;IF(Main!B2,TEXT(EDATE(Main!B3,22)-1,"dd mmmm yyyy"),TEXT(Main!B3+((Main!B5-Main!B3)*22+21),"dd mmmm yyyy"))&amp;" / "&amp;" (Revenue / Deferred Debts Or Expenses)"</f>
        <v>01 February 2027 - 28 February 2027 /  (Revenue / Deferred Debts Or Expenses)</v>
      </c>
      <c r="B8" s="17"/>
      <c r="C8" s="17"/>
      <c r="D8" s="17"/>
      <c r="E8" s="17"/>
      <c r="F8" s="17"/>
      <c r="G8" s="17"/>
      <c r="H8" s="15"/>
      <c r="I8" s="45"/>
    </row>
    <row r="9" s="1" customFormat="1" ht="35" customHeight="1" spans="1:9">
      <c r="A9" s="18" t="s">
        <v>29</v>
      </c>
      <c r="B9" s="18" t="s">
        <v>43</v>
      </c>
      <c r="C9" s="18"/>
      <c r="D9" s="18" t="s">
        <v>44</v>
      </c>
      <c r="E9" s="18"/>
      <c r="F9" s="18" t="s">
        <v>45</v>
      </c>
      <c r="G9" s="18"/>
      <c r="H9" s="15"/>
      <c r="I9" s="45"/>
    </row>
    <row r="10" s="1" customFormat="1" ht="35" customHeight="1" spans="1:9">
      <c r="A10" s="19"/>
      <c r="B10" s="20"/>
      <c r="C10" s="20"/>
      <c r="D10" s="20"/>
      <c r="E10" s="20"/>
      <c r="F10" s="39">
        <v>0</v>
      </c>
      <c r="G10" s="40"/>
      <c r="H10" s="15"/>
      <c r="I10" s="45"/>
    </row>
    <row r="11" s="1" customFormat="1" ht="35" customHeight="1" spans="1:9">
      <c r="A11" s="19"/>
      <c r="B11" s="21"/>
      <c r="C11" s="22"/>
      <c r="D11" s="23"/>
      <c r="E11" s="41"/>
      <c r="F11" s="39">
        <v>0</v>
      </c>
      <c r="G11" s="40"/>
      <c r="H11" s="15"/>
      <c r="I11" s="45"/>
    </row>
    <row r="12" s="1" customFormat="1" ht="35" customHeight="1" spans="1:9">
      <c r="A12" s="19"/>
      <c r="B12" s="21"/>
      <c r="C12" s="22"/>
      <c r="D12" s="23"/>
      <c r="E12" s="41"/>
      <c r="F12" s="39">
        <v>0</v>
      </c>
      <c r="G12" s="40"/>
      <c r="H12" s="15"/>
      <c r="I12" s="45"/>
    </row>
    <row r="13" s="1" customFormat="1" ht="35" customHeight="1" spans="1:9">
      <c r="A13" s="19"/>
      <c r="B13" s="21"/>
      <c r="C13" s="22"/>
      <c r="D13" s="23"/>
      <c r="E13" s="41"/>
      <c r="F13" s="39">
        <v>0</v>
      </c>
      <c r="G13" s="40"/>
      <c r="H13" s="15"/>
      <c r="I13" s="45"/>
    </row>
    <row r="14" s="1" customFormat="1" ht="35" customHeight="1" spans="1:9">
      <c r="A14" s="19"/>
      <c r="B14" s="21"/>
      <c r="C14" s="22"/>
      <c r="D14" s="23"/>
      <c r="E14" s="41"/>
      <c r="F14" s="39">
        <v>0</v>
      </c>
      <c r="G14" s="40"/>
      <c r="H14" s="15"/>
      <c r="I14" s="45"/>
    </row>
    <row r="15" s="1" customFormat="1" ht="35" customHeight="1" spans="1:9">
      <c r="A15" s="19"/>
      <c r="B15" s="21"/>
      <c r="C15" s="22"/>
      <c r="D15" s="23"/>
      <c r="E15" s="41"/>
      <c r="F15" s="39">
        <v>0</v>
      </c>
      <c r="G15" s="40"/>
      <c r="H15" s="15"/>
      <c r="I15" s="45"/>
    </row>
    <row r="16" s="1" customFormat="1" ht="35" customHeight="1" spans="1:9">
      <c r="A16" s="24"/>
      <c r="B16" s="25"/>
      <c r="C16" s="26"/>
      <c r="D16" s="27" t="s">
        <v>46</v>
      </c>
      <c r="E16" s="42"/>
      <c r="F16" s="43">
        <f>SUM(F10:G15)</f>
        <v>0</v>
      </c>
      <c r="G16" s="44"/>
      <c r="H16" s="15"/>
      <c r="I16" s="45"/>
    </row>
    <row r="17" s="1" customFormat="1" ht="35" customHeight="1" spans="1:9">
      <c r="A17" s="15"/>
      <c r="B17" s="15"/>
      <c r="C17" s="15"/>
      <c r="D17" s="15"/>
      <c r="E17" s="15"/>
      <c r="F17" s="15"/>
      <c r="G17" s="15"/>
      <c r="H17" s="15"/>
      <c r="I17" s="45"/>
    </row>
    <row r="18" s="1" customFormat="1" ht="35" customHeight="1" spans="1:9">
      <c r="A18" s="15"/>
      <c r="B18" s="15"/>
      <c r="C18" s="15"/>
      <c r="D18" s="15"/>
      <c r="E18" s="15"/>
      <c r="F18" s="15"/>
      <c r="G18" s="15"/>
      <c r="H18" s="15"/>
      <c r="I18" s="45"/>
    </row>
    <row r="19" s="1" customFormat="1" ht="35" customHeight="1" spans="1:9">
      <c r="A19" s="15"/>
      <c r="B19" s="15"/>
      <c r="C19" s="15"/>
      <c r="D19" s="15"/>
      <c r="E19" s="15"/>
      <c r="F19" s="15"/>
      <c r="G19" s="15"/>
      <c r="H19" s="15"/>
      <c r="I19" s="45"/>
    </row>
    <row r="20" s="1" customFormat="1" ht="35" customHeight="1" spans="1:9">
      <c r="A20" s="16" t="str">
        <f>IF(Main!B2,TEXT(EDATE(Main!B3,22),"dd mmmm yyyy"),TEXT(Main!B3+((Main!B5-Main!B3)*22+22),"dd mmmm yyyy"))&amp;" - "&amp;IF(Main!B2,TEXT(EDATE(Main!B3,23)-1,"dd mmmm yyyy"),TEXT(Main!B3+((Main!B5-Main!B3)*23+22),"dd mmmm yyyy"))&amp;" / "&amp;" (Revenue / Deferred Debts Or Expenses)"</f>
        <v>01 March 2027 - 31 March 2027 /  (Revenue / Deferred Debts Or Expenses)</v>
      </c>
      <c r="B20" s="17"/>
      <c r="C20" s="17"/>
      <c r="D20" s="17"/>
      <c r="E20" s="17"/>
      <c r="F20" s="17"/>
      <c r="G20" s="17"/>
      <c r="H20" s="15"/>
      <c r="I20" s="45"/>
    </row>
    <row r="21" s="1" customFormat="1" ht="35" customHeight="1" spans="1:9">
      <c r="A21" s="18" t="s">
        <v>29</v>
      </c>
      <c r="B21" s="18" t="s">
        <v>43</v>
      </c>
      <c r="C21" s="18"/>
      <c r="D21" s="18" t="s">
        <v>44</v>
      </c>
      <c r="E21" s="18"/>
      <c r="F21" s="18" t="s">
        <v>45</v>
      </c>
      <c r="G21" s="18"/>
      <c r="H21" s="15"/>
      <c r="I21" s="45"/>
    </row>
    <row r="22" s="1" customFormat="1" ht="35" customHeight="1" spans="1:9">
      <c r="A22" s="19"/>
      <c r="B22" s="20"/>
      <c r="C22" s="20"/>
      <c r="D22" s="20"/>
      <c r="E22" s="20"/>
      <c r="F22" s="39">
        <v>0</v>
      </c>
      <c r="G22" s="40"/>
      <c r="H22" s="15"/>
      <c r="I22" s="45"/>
    </row>
    <row r="23" s="1" customFormat="1" ht="35" customHeight="1" spans="1:9">
      <c r="A23" s="19"/>
      <c r="B23" s="21"/>
      <c r="C23" s="22"/>
      <c r="D23" s="23"/>
      <c r="E23" s="41"/>
      <c r="F23" s="39">
        <v>0</v>
      </c>
      <c r="G23" s="40"/>
      <c r="H23" s="15"/>
      <c r="I23" s="45"/>
    </row>
    <row r="24" s="1" customFormat="1" ht="35" customHeight="1" spans="1:9">
      <c r="A24" s="19"/>
      <c r="B24" s="21"/>
      <c r="C24" s="22"/>
      <c r="D24" s="23"/>
      <c r="E24" s="41"/>
      <c r="F24" s="39">
        <v>0</v>
      </c>
      <c r="G24" s="40"/>
      <c r="H24" s="15"/>
      <c r="I24" s="45"/>
    </row>
    <row r="25" s="1" customFormat="1" ht="35" customHeight="1" spans="1:9">
      <c r="A25" s="19"/>
      <c r="B25" s="21"/>
      <c r="C25" s="22"/>
      <c r="D25" s="23"/>
      <c r="E25" s="41"/>
      <c r="F25" s="39">
        <v>0</v>
      </c>
      <c r="G25" s="40"/>
      <c r="H25" s="15"/>
      <c r="I25" s="45"/>
    </row>
    <row r="26" s="1" customFormat="1" ht="35" customHeight="1" spans="1:9">
      <c r="A26" s="19"/>
      <c r="B26" s="21"/>
      <c r="C26" s="22"/>
      <c r="D26" s="23"/>
      <c r="E26" s="41"/>
      <c r="F26" s="39">
        <v>0</v>
      </c>
      <c r="G26" s="40"/>
      <c r="H26" s="15"/>
      <c r="I26" s="45"/>
    </row>
    <row r="27" s="1" customFormat="1" ht="35" customHeight="1" spans="1:9">
      <c r="A27" s="19"/>
      <c r="B27" s="21"/>
      <c r="C27" s="22"/>
      <c r="D27" s="23"/>
      <c r="E27" s="41"/>
      <c r="F27" s="39">
        <v>0</v>
      </c>
      <c r="G27" s="40"/>
      <c r="H27" s="15"/>
      <c r="I27" s="45"/>
    </row>
    <row r="28" s="1" customFormat="1" ht="35" customHeight="1" spans="1:9">
      <c r="A28" s="24"/>
      <c r="B28" s="25"/>
      <c r="C28" s="26"/>
      <c r="D28" s="27" t="s">
        <v>46</v>
      </c>
      <c r="E28" s="42"/>
      <c r="F28" s="43">
        <f>SUM(F22:G27)</f>
        <v>0</v>
      </c>
      <c r="G28" s="44"/>
      <c r="H28" s="15"/>
      <c r="I28" s="45"/>
    </row>
    <row r="29" s="1" customFormat="1" ht="35" customHeight="1" spans="1:9">
      <c r="A29" s="15"/>
      <c r="B29" s="15"/>
      <c r="C29" s="15"/>
      <c r="D29" s="15"/>
      <c r="E29" s="15"/>
      <c r="F29" s="15"/>
      <c r="G29" s="15"/>
      <c r="H29" s="15"/>
      <c r="I29" s="45"/>
    </row>
    <row r="30" s="1" customFormat="1" ht="35" customHeight="1" spans="1:9">
      <c r="A30" s="15"/>
      <c r="B30" s="15"/>
      <c r="C30" s="15"/>
      <c r="D30" s="15"/>
      <c r="E30" s="15"/>
      <c r="F30" s="15"/>
      <c r="G30" s="15"/>
      <c r="H30" s="15"/>
      <c r="I30" s="45"/>
    </row>
    <row r="31" s="1" customFormat="1" ht="35" customHeight="1" spans="1:9">
      <c r="A31" s="15"/>
      <c r="B31" s="15"/>
      <c r="C31" s="15"/>
      <c r="D31" s="15"/>
      <c r="E31" s="15"/>
      <c r="F31" s="15"/>
      <c r="G31" s="15"/>
      <c r="H31" s="15"/>
      <c r="I31" s="45"/>
    </row>
    <row r="32" s="1" customFormat="1" ht="35" customHeight="1" spans="1:9">
      <c r="A32" s="16" t="str">
        <f>IF(Main!B2,TEXT(EDATE(Main!B3,23),"dd mmmm yyyy"),TEXT(Main!B3+((Main!B5-Main!B3)*23+23),"dd mmmm yyyy"))&amp;" - "&amp;IF(Main!B2,TEXT(EDATE(Main!B3,24)-1,"dd mmmm yyyy"),TEXT(Main!B3+((Main!B5-Main!B3)*24+23),"dd mmmm yyyy"))&amp;" / "&amp;" (Revenue / Deferred Debts Or Expenses)"</f>
        <v>01 April 2027 - 30 April 2027 /  (Revenue / Deferred Debts Or Expenses)</v>
      </c>
      <c r="B32" s="17"/>
      <c r="C32" s="17"/>
      <c r="D32" s="17"/>
      <c r="E32" s="17"/>
      <c r="F32" s="17"/>
      <c r="G32" s="17"/>
      <c r="H32" s="15"/>
      <c r="I32" s="45"/>
    </row>
    <row r="33" s="1" customFormat="1" ht="35" customHeight="1" spans="1:9">
      <c r="A33" s="18" t="s">
        <v>29</v>
      </c>
      <c r="B33" s="18" t="s">
        <v>43</v>
      </c>
      <c r="C33" s="18"/>
      <c r="D33" s="18" t="s">
        <v>44</v>
      </c>
      <c r="E33" s="18"/>
      <c r="F33" s="18" t="s">
        <v>45</v>
      </c>
      <c r="G33" s="18"/>
      <c r="H33" s="15"/>
      <c r="I33" s="45"/>
    </row>
    <row r="34" s="1" customFormat="1" ht="35" customHeight="1" spans="1:9">
      <c r="A34" s="19"/>
      <c r="B34" s="20"/>
      <c r="C34" s="20"/>
      <c r="D34" s="20"/>
      <c r="E34" s="20"/>
      <c r="F34" s="39">
        <v>0</v>
      </c>
      <c r="G34" s="40"/>
      <c r="H34" s="15"/>
      <c r="I34" s="45"/>
    </row>
    <row r="35" s="1" customFormat="1" ht="35" customHeight="1" spans="1:9">
      <c r="A35" s="19"/>
      <c r="B35" s="21"/>
      <c r="C35" s="22"/>
      <c r="D35" s="23"/>
      <c r="E35" s="41"/>
      <c r="F35" s="39">
        <v>0</v>
      </c>
      <c r="G35" s="40"/>
      <c r="H35" s="15"/>
      <c r="I35" s="45"/>
    </row>
    <row r="36" s="1" customFormat="1" ht="35" customHeight="1" spans="1:9">
      <c r="A36" s="19"/>
      <c r="B36" s="21"/>
      <c r="C36" s="22"/>
      <c r="D36" s="23"/>
      <c r="E36" s="41"/>
      <c r="F36" s="39">
        <v>0</v>
      </c>
      <c r="G36" s="40"/>
      <c r="H36" s="15"/>
      <c r="I36" s="45"/>
    </row>
    <row r="37" s="1" customFormat="1" ht="35" customHeight="1" spans="1:9">
      <c r="A37" s="19"/>
      <c r="B37" s="21"/>
      <c r="C37" s="22"/>
      <c r="D37" s="23"/>
      <c r="E37" s="41"/>
      <c r="F37" s="39">
        <v>0</v>
      </c>
      <c r="G37" s="40"/>
      <c r="H37" s="15"/>
      <c r="I37" s="45"/>
    </row>
    <row r="38" s="1" customFormat="1" ht="35" customHeight="1" spans="1:9">
      <c r="A38" s="19"/>
      <c r="B38" s="21"/>
      <c r="C38" s="22"/>
      <c r="D38" s="23"/>
      <c r="E38" s="41"/>
      <c r="F38" s="39">
        <v>0</v>
      </c>
      <c r="G38" s="40"/>
      <c r="H38" s="15"/>
      <c r="I38" s="45"/>
    </row>
    <row r="39" s="1" customFormat="1" ht="35" customHeight="1" spans="1:9">
      <c r="A39" s="19"/>
      <c r="B39" s="21"/>
      <c r="C39" s="22"/>
      <c r="D39" s="23"/>
      <c r="E39" s="41"/>
      <c r="F39" s="39">
        <v>0</v>
      </c>
      <c r="G39" s="40"/>
      <c r="H39" s="15"/>
      <c r="I39" s="45"/>
    </row>
    <row r="40" s="1" customFormat="1" ht="35" customHeight="1" spans="1:9">
      <c r="A40" s="24"/>
      <c r="B40" s="25"/>
      <c r="C40" s="26"/>
      <c r="D40" s="27" t="s">
        <v>46</v>
      </c>
      <c r="E40" s="42"/>
      <c r="F40" s="43">
        <f>SUM(F34:G39)</f>
        <v>0</v>
      </c>
      <c r="G40" s="44"/>
      <c r="H40" s="15"/>
      <c r="I40" s="45"/>
    </row>
    <row r="41" s="1" customFormat="1" ht="35" customHeight="1" spans="1:9">
      <c r="A41" s="15"/>
      <c r="B41" s="15"/>
      <c r="C41" s="15"/>
      <c r="D41" s="15"/>
      <c r="E41" s="15"/>
      <c r="F41" s="15"/>
      <c r="G41" s="15"/>
      <c r="H41" s="15"/>
      <c r="I41" s="45"/>
    </row>
    <row r="42" s="1" customFormat="1" ht="35" customHeight="1" spans="1:9">
      <c r="A42" s="15"/>
      <c r="B42" s="15"/>
      <c r="C42" s="15"/>
      <c r="D42" s="15"/>
      <c r="E42" s="15"/>
      <c r="F42" s="15"/>
      <c r="G42" s="15"/>
      <c r="H42" s="15"/>
      <c r="I42" s="45"/>
    </row>
    <row r="43" s="1" customFormat="1" ht="35" customHeight="1" spans="1:9">
      <c r="A43" s="15"/>
      <c r="B43" s="15"/>
      <c r="C43" s="15"/>
      <c r="D43" s="15"/>
      <c r="E43" s="15"/>
      <c r="F43" s="15"/>
      <c r="G43" s="15"/>
      <c r="H43" s="15"/>
      <c r="I43" s="45"/>
    </row>
    <row r="44" s="1" customFormat="1" ht="35" customHeight="1" spans="1:9">
      <c r="A44" s="28" t="str">
        <f>"Fixed Expense For the Year "&amp;IF(Main!B2,TEXT(EDATE(Main!B3,21),"mmmm yyyy"),TEXT(Main!B3+((Main!B5-Main!B3)*21+21),"mmmm yyyy"))&amp;" to "&amp;IF(Main!B2,TEXT(EDATE(Main!B3,24)-1,"mmmm yyyy"),TEXT(Main!B3+((Main!B5-Main!B3)*24+23),"mmmm yyyy"))</f>
        <v>Fixed Expense For the Year February 2027 to April 2027</v>
      </c>
      <c r="B44" s="29"/>
      <c r="C44" s="30"/>
      <c r="D44" s="15"/>
      <c r="E44" s="15"/>
      <c r="F44" s="15"/>
      <c r="G44" s="15"/>
      <c r="H44" s="15"/>
      <c r="I44" s="45"/>
    </row>
    <row r="45" s="1" customFormat="1" ht="35" customHeight="1" spans="1:9">
      <c r="A45" s="2" t="s">
        <v>43</v>
      </c>
      <c r="B45" s="2" t="s">
        <v>44</v>
      </c>
      <c r="C45" s="2" t="s">
        <v>45</v>
      </c>
      <c r="D45" s="15"/>
      <c r="E45" s="15"/>
      <c r="F45" s="15"/>
      <c r="G45" s="15"/>
      <c r="H45" s="15"/>
      <c r="I45" s="45"/>
    </row>
    <row r="46" s="1" customFormat="1" ht="35" customHeight="1" spans="1:9">
      <c r="A46" s="31" t="s">
        <v>47</v>
      </c>
      <c r="B46" s="32"/>
      <c r="C46" s="33"/>
      <c r="D46" s="15"/>
      <c r="E46" s="15"/>
      <c r="F46" s="15"/>
      <c r="G46" s="15"/>
      <c r="H46" s="15"/>
      <c r="I46" s="45"/>
    </row>
    <row r="47" s="1" customFormat="1" ht="35" customHeight="1" spans="1:9">
      <c r="A47" s="34" t="str" cm="1">
        <f ca="1" t="array" ref="A47">IF((INDIRECT("'"&amp;INDIRECT("Main!B9")&amp;"'!A61"))=0,"",(INDIRECT("'"&amp;INDIRECT("Main!B9")&amp;"'!A61")))</f>
        <v/>
      </c>
      <c r="B47" s="34" t="str" cm="1">
        <f ca="1" t="array" ref="B47">IF((INDIRECT("'"&amp;INDIRECT("Main!B9")&amp;"'!B61"))=0,"",(INDIRECT("'"&amp;INDIRECT("Main!B9")&amp;"'!B61")))</f>
        <v/>
      </c>
      <c r="C47" s="35">
        <v>0</v>
      </c>
      <c r="D47" s="15"/>
      <c r="E47" s="15"/>
      <c r="F47" s="15"/>
      <c r="G47" s="15"/>
      <c r="H47" s="15"/>
      <c r="I47" s="45"/>
    </row>
    <row r="48" s="1" customFormat="1" ht="35" customHeight="1" spans="1:9">
      <c r="A48" s="34" t="str" cm="1">
        <f ca="1" t="array" ref="A48">IF((INDIRECT("'"&amp;INDIRECT("Main!B9")&amp;"'!A62"))=0,"",(INDIRECT("'"&amp;INDIRECT("Main!B9")&amp;"'!A62")))</f>
        <v/>
      </c>
      <c r="B48" s="34" t="str" cm="1">
        <f ca="1" t="array" ref="B48">IF((INDIRECT("'"&amp;INDIRECT("Main!B9")&amp;"'!B62"))=0,"",(INDIRECT("'"&amp;INDIRECT("Main!B9")&amp;"'!B62")))</f>
        <v/>
      </c>
      <c r="C48" s="35">
        <v>0</v>
      </c>
      <c r="D48" s="15"/>
      <c r="E48" s="15"/>
      <c r="F48" s="15"/>
      <c r="G48" s="15"/>
      <c r="H48" s="15"/>
      <c r="I48" s="45"/>
    </row>
    <row r="49" s="1" customFormat="1" ht="35" customHeight="1" spans="1:9">
      <c r="A49" s="34" t="str" cm="1">
        <f ca="1" t="array" ref="A49">IF((INDIRECT("'"&amp;INDIRECT("Main!B9")&amp;"'!A63"))=0,"",(INDIRECT("'"&amp;INDIRECT("Main!B9")&amp;"'!A63")))</f>
        <v/>
      </c>
      <c r="B49" s="34" t="str" cm="1">
        <f ca="1" t="array" ref="B49">IF((INDIRECT("'"&amp;INDIRECT("Main!B9")&amp;"'!B63"))=0,"",(INDIRECT("'"&amp;INDIRECT("Main!B9")&amp;"'!B63")))</f>
        <v/>
      </c>
      <c r="C49" s="35">
        <v>0</v>
      </c>
      <c r="D49" s="15"/>
      <c r="E49" s="15"/>
      <c r="F49" s="15"/>
      <c r="G49" s="15"/>
      <c r="H49" s="15"/>
      <c r="I49" s="45"/>
    </row>
    <row r="50" s="1" customFormat="1" ht="35" customHeight="1" spans="1:9">
      <c r="A50" s="34" t="str" cm="1">
        <f ca="1" t="array" ref="A50">IF((INDIRECT("'"&amp;INDIRECT("Main!B9")&amp;"'!A64"))=0,"",(INDIRECT("'"&amp;INDIRECT("Main!B9")&amp;"'!A64")))</f>
        <v/>
      </c>
      <c r="B50" s="34" t="str" cm="1">
        <f ca="1" t="array" ref="B50">IF((INDIRECT("'"&amp;INDIRECT("Main!B9")&amp;"'!B64"))=0,"",(INDIRECT("'"&amp;INDIRECT("Main!B9")&amp;"'!B64")))</f>
        <v/>
      </c>
      <c r="C50" s="35">
        <v>0</v>
      </c>
      <c r="D50" s="15"/>
      <c r="E50" s="15"/>
      <c r="F50" s="15"/>
      <c r="G50" s="15"/>
      <c r="H50" s="15"/>
      <c r="I50" s="45"/>
    </row>
    <row r="51" s="1" customFormat="1" ht="35" customHeight="1" spans="1:9">
      <c r="A51" s="34" t="str" cm="1">
        <f ca="1" t="array" ref="A51">IF((INDIRECT("'"&amp;INDIRECT("Main!B9")&amp;"'!A65"))=0,"",(INDIRECT("'"&amp;INDIRECT("Main!B9")&amp;"'!A65")))</f>
        <v/>
      </c>
      <c r="B51" s="34" t="str" cm="1">
        <f ca="1" t="array" ref="B51">IF((INDIRECT("'"&amp;INDIRECT("Main!B9")&amp;"'!B65"))=0,"",(INDIRECT("'"&amp;INDIRECT("Main!B9")&amp;"'!B65")))</f>
        <v/>
      </c>
      <c r="C51" s="35">
        <v>0</v>
      </c>
      <c r="D51" s="15"/>
      <c r="E51" s="15"/>
      <c r="F51" s="15"/>
      <c r="G51" s="15"/>
      <c r="H51" s="15"/>
      <c r="I51" s="45"/>
    </row>
    <row r="52" s="1" customFormat="1" ht="35" customHeight="1" spans="1:9">
      <c r="A52" s="34" t="str" cm="1">
        <f ca="1" t="array" ref="A52">IF((INDIRECT("'"&amp;INDIRECT("Main!B9")&amp;"'!A66"))=0,"",(INDIRECT("'"&amp;INDIRECT("Main!B9")&amp;"'!A66")))</f>
        <v/>
      </c>
      <c r="B52" s="34" t="str" cm="1">
        <f ca="1" t="array" ref="B52">IF((INDIRECT("'"&amp;INDIRECT("Main!B9")&amp;"'!B66"))=0,"",(INDIRECT("'"&amp;INDIRECT("Main!B9")&amp;"'!B66")))</f>
        <v/>
      </c>
      <c r="C52" s="35">
        <v>0</v>
      </c>
      <c r="D52" s="15"/>
      <c r="E52" s="15"/>
      <c r="F52" s="15"/>
      <c r="G52" s="15"/>
      <c r="H52" s="15"/>
      <c r="I52" s="45"/>
    </row>
    <row r="53" s="1" customFormat="1" ht="35" customHeight="1" spans="1:9">
      <c r="A53" s="34" t="str" cm="1">
        <f ca="1" t="array" ref="A53">IF((INDIRECT("'"&amp;INDIRECT("Main!B9")&amp;"'!A67"))=0,"",(INDIRECT("'"&amp;INDIRECT("Main!B9")&amp;"'!A67")))</f>
        <v/>
      </c>
      <c r="B53" s="34" t="str" cm="1">
        <f ca="1" t="array" ref="B53">IF((INDIRECT("'"&amp;INDIRECT("Main!B9")&amp;"'!B67"))=0,"",(INDIRECT("'"&amp;INDIRECT("Main!B9")&amp;"'!B67")))</f>
        <v/>
      </c>
      <c r="C53" s="35">
        <v>0</v>
      </c>
      <c r="D53" s="15"/>
      <c r="E53" s="15"/>
      <c r="F53" s="15"/>
      <c r="G53" s="15"/>
      <c r="H53" s="15"/>
      <c r="I53" s="45"/>
    </row>
    <row r="54" s="1" customFormat="1" ht="35" customHeight="1" spans="1:9">
      <c r="A54" s="34" t="str" cm="1">
        <f ca="1" t="array" ref="A54">IF((INDIRECT("'"&amp;INDIRECT("Main!B9")&amp;"'!A68"))=0,"",(INDIRECT("'"&amp;INDIRECT("Main!B9")&amp;"'!A68")))</f>
        <v/>
      </c>
      <c r="B54" s="34" t="str" cm="1">
        <f ca="1" t="array" ref="B54">IF((INDIRECT("'"&amp;INDIRECT("Main!B9")&amp;"'!B68"))=0,"",(INDIRECT("'"&amp;INDIRECT("Main!B9")&amp;"'!B68")))</f>
        <v/>
      </c>
      <c r="C54" s="35">
        <v>0</v>
      </c>
      <c r="D54" s="15"/>
      <c r="E54" s="15"/>
      <c r="F54" s="15"/>
      <c r="G54" s="15"/>
      <c r="H54" s="15"/>
      <c r="I54" s="45"/>
    </row>
    <row r="55" s="1" customFormat="1" ht="35" customHeight="1" spans="1:9">
      <c r="A55" s="36"/>
      <c r="B55" s="37" t="s">
        <v>48</v>
      </c>
      <c r="C55" s="35">
        <f>SUM(C47:C54)</f>
        <v>0</v>
      </c>
      <c r="D55" s="15"/>
      <c r="E55" s="15"/>
      <c r="F55" s="15"/>
      <c r="G55" s="15"/>
      <c r="H55" s="15"/>
      <c r="I55" s="45"/>
    </row>
    <row r="56" s="1" customFormat="1" ht="35" customHeight="1" spans="1:9">
      <c r="A56" s="83" t="s">
        <v>49</v>
      </c>
      <c r="B56" s="84"/>
      <c r="C56" s="85"/>
      <c r="D56" s="15"/>
      <c r="E56" s="15"/>
      <c r="F56" s="15"/>
      <c r="G56" s="15"/>
      <c r="H56" s="15"/>
      <c r="I56" s="45"/>
    </row>
    <row r="57" s="1" customFormat="1" ht="35" customHeight="1" spans="1:9">
      <c r="A57" s="34" t="str" cm="1">
        <f ca="1" t="array" ref="A57">IF((INDIRECT("'"&amp;INDIRECT("Main!B9")&amp;"'!A71"))=0,"",(INDIRECT("'"&amp;INDIRECT("Main!B9")&amp;"'!A71")))</f>
        <v/>
      </c>
      <c r="B57" s="34" t="str" cm="1">
        <f ca="1" t="array" ref="B57">IF((INDIRECT("'"&amp;INDIRECT("Main!B9")&amp;"'!B71"))=0,"",(INDIRECT("'"&amp;INDIRECT("Main!B9")&amp;"'!B71")))</f>
        <v/>
      </c>
      <c r="C57" s="35">
        <v>0</v>
      </c>
      <c r="D57" s="15"/>
      <c r="E57" s="15"/>
      <c r="F57" s="15"/>
      <c r="G57" s="15"/>
      <c r="H57" s="15"/>
      <c r="I57" s="45"/>
    </row>
    <row r="58" s="1" customFormat="1" ht="35" customHeight="1" spans="1:9">
      <c r="A58" s="34" t="str" cm="1">
        <f ca="1" t="array" ref="A58">IF((INDIRECT("'"&amp;INDIRECT("Main!B9")&amp;"'!A72"))=0,"",(INDIRECT("'"&amp;INDIRECT("Main!B9")&amp;"'!A72")))</f>
        <v/>
      </c>
      <c r="B58" s="34" t="str" cm="1">
        <f ca="1" t="array" ref="B58">IF((INDIRECT("'"&amp;INDIRECT("Main!B9")&amp;"'!B72"))=0,"",(INDIRECT("'"&amp;INDIRECT("Main!B9")&amp;"'!B72")))</f>
        <v/>
      </c>
      <c r="C58" s="35">
        <v>0</v>
      </c>
      <c r="D58" s="15"/>
      <c r="E58" s="15"/>
      <c r="F58" s="15"/>
      <c r="G58" s="15"/>
      <c r="H58" s="15"/>
      <c r="I58" s="45"/>
    </row>
    <row r="59" s="1" customFormat="1" ht="35" customHeight="1" spans="1:9">
      <c r="A59" s="34" t="str" cm="1">
        <f ca="1" t="array" ref="A59">IF((INDIRECT("'"&amp;INDIRECT("Main!B9")&amp;"'!A73"))=0,"",(INDIRECT("'"&amp;INDIRECT("Main!B9")&amp;"'!A73")))</f>
        <v/>
      </c>
      <c r="B59" s="34" t="str" cm="1">
        <f ca="1" t="array" ref="B59">IF((INDIRECT("'"&amp;INDIRECT("Main!B9")&amp;"'!B73"))=0,"",(INDIRECT("'"&amp;INDIRECT("Main!B9")&amp;"'!B73")))</f>
        <v/>
      </c>
      <c r="C59" s="35">
        <v>0</v>
      </c>
      <c r="D59" s="15"/>
      <c r="E59" s="15"/>
      <c r="F59" s="15"/>
      <c r="G59" s="15"/>
      <c r="H59" s="15"/>
      <c r="I59" s="45"/>
    </row>
    <row r="60" s="1" customFormat="1" ht="35" customHeight="1" spans="1:9">
      <c r="A60" s="34" t="str" cm="1">
        <f ca="1" t="array" ref="A60">IF((INDIRECT("'"&amp;INDIRECT("Main!B9")&amp;"'!A74"))=0,"",(INDIRECT("'"&amp;INDIRECT("Main!B9")&amp;"'!A74")))</f>
        <v/>
      </c>
      <c r="B60" s="34" t="str" cm="1">
        <f ca="1" t="array" ref="B60">IF((INDIRECT("'"&amp;INDIRECT("Main!B9")&amp;"'!B74"))=0,"",(INDIRECT("'"&amp;INDIRECT("Main!B9")&amp;"'!B74")))</f>
        <v/>
      </c>
      <c r="C60" s="35">
        <v>0</v>
      </c>
      <c r="D60" s="15"/>
      <c r="E60" s="15"/>
      <c r="F60" s="15"/>
      <c r="G60" s="15"/>
      <c r="H60" s="15"/>
      <c r="I60" s="45"/>
    </row>
    <row r="61" s="1" customFormat="1" ht="35" customHeight="1" spans="1:9">
      <c r="A61" s="34" t="str" cm="1">
        <f ca="1" t="array" ref="A61">IF((INDIRECT("'"&amp;INDIRECT("Main!B9")&amp;"'!A75"))=0,"",(INDIRECT("'"&amp;INDIRECT("Main!B9")&amp;"'!A75")))</f>
        <v/>
      </c>
      <c r="B61" s="34" t="str" cm="1">
        <f ca="1" t="array" ref="B61">IF((INDIRECT("'"&amp;INDIRECT("Main!B9")&amp;"'!B75"))=0,"",(INDIRECT("'"&amp;INDIRECT("Main!B9")&amp;"'!B75")))</f>
        <v/>
      </c>
      <c r="C61" s="35">
        <v>0</v>
      </c>
      <c r="D61" s="15"/>
      <c r="E61" s="15"/>
      <c r="F61" s="15"/>
      <c r="G61" s="15"/>
      <c r="H61" s="15"/>
      <c r="I61" s="45"/>
    </row>
    <row r="62" s="1" customFormat="1" ht="35" customHeight="1" spans="1:9">
      <c r="A62" s="34" t="str" cm="1">
        <f ca="1" t="array" ref="A62">IF((INDIRECT("'"&amp;INDIRECT("Main!B9")&amp;"'!A76"))=0,"",(INDIRECT("'"&amp;INDIRECT("Main!B9")&amp;"'!A76")))</f>
        <v/>
      </c>
      <c r="B62" s="34" t="str" cm="1">
        <f ca="1" t="array" ref="B62">IF((INDIRECT("'"&amp;INDIRECT("Main!B9")&amp;"'!B76"))=0,"",(INDIRECT("'"&amp;INDIRECT("Main!B9")&amp;"'!B76")))</f>
        <v/>
      </c>
      <c r="C62" s="35">
        <v>0</v>
      </c>
      <c r="D62" s="15"/>
      <c r="E62" s="15"/>
      <c r="F62" s="15"/>
      <c r="G62" s="15"/>
      <c r="H62" s="15"/>
      <c r="I62" s="45"/>
    </row>
    <row r="63" s="1" customFormat="1" ht="35" customHeight="1" spans="1:9">
      <c r="A63" s="34" t="str" cm="1">
        <f ca="1" t="array" ref="A63">IF((INDIRECT("'"&amp;INDIRECT("Main!B9")&amp;"'!A77"))=0,"",(INDIRECT("'"&amp;INDIRECT("Main!B9")&amp;"'!A77")))</f>
        <v/>
      </c>
      <c r="B63" s="34" t="str" cm="1">
        <f ca="1" t="array" ref="B63">IF((INDIRECT("'"&amp;INDIRECT("Main!B9")&amp;"'!B77"))=0,"",(INDIRECT("'"&amp;INDIRECT("Main!B9")&amp;"'!B77")))</f>
        <v/>
      </c>
      <c r="C63" s="35">
        <v>0</v>
      </c>
      <c r="D63" s="15"/>
      <c r="E63" s="15"/>
      <c r="F63" s="15"/>
      <c r="G63" s="15"/>
      <c r="H63" s="15"/>
      <c r="I63" s="45"/>
    </row>
    <row r="64" s="1" customFormat="1" ht="35" customHeight="1" spans="1:9">
      <c r="A64" s="34" t="str" cm="1">
        <f ca="1" t="array" ref="A64">IF((INDIRECT("'"&amp;INDIRECT("Main!B9")&amp;"'!A78"))=0,"",(INDIRECT("'"&amp;INDIRECT("Main!B9")&amp;"'!A78")))</f>
        <v/>
      </c>
      <c r="B64" s="34" t="str" cm="1">
        <f ca="1" t="array" ref="B64">IF((INDIRECT("'"&amp;INDIRECT("Main!B9")&amp;"'!B78"))=0,"",(INDIRECT("'"&amp;INDIRECT("Main!B9")&amp;"'!B78")))</f>
        <v/>
      </c>
      <c r="C64" s="35">
        <v>0</v>
      </c>
      <c r="D64" s="15"/>
      <c r="E64" s="15"/>
      <c r="F64" s="15"/>
      <c r="G64" s="15"/>
      <c r="H64" s="15"/>
      <c r="I64" s="45"/>
    </row>
    <row r="65" s="1" customFormat="1" ht="35" customHeight="1" spans="1:9">
      <c r="A65" s="34" t="str" cm="1">
        <f ca="1" t="array" ref="A65">IF((INDIRECT("'"&amp;INDIRECT("Main!B9")&amp;"'!A79"))=0,"",(INDIRECT("'"&amp;INDIRECT("Main!B9")&amp;"'!A79")))</f>
        <v/>
      </c>
      <c r="B65" s="34" t="str" cm="1">
        <f ca="1" t="array" ref="B65">IF((INDIRECT("'"&amp;INDIRECT("Main!B9")&amp;"'!B79"))=0,"",(INDIRECT("'"&amp;INDIRECT("Main!B9")&amp;"'!B79")))</f>
        <v/>
      </c>
      <c r="C65" s="35">
        <v>0</v>
      </c>
      <c r="D65" s="15"/>
      <c r="E65" s="15"/>
      <c r="F65" s="15"/>
      <c r="G65" s="15"/>
      <c r="H65" s="15"/>
      <c r="I65" s="45"/>
    </row>
    <row r="66" s="1" customFormat="1" ht="35" customHeight="1" spans="1:9">
      <c r="A66" s="46"/>
      <c r="B66" s="37" t="s">
        <v>48</v>
      </c>
      <c r="C66" s="35">
        <f>SUM(C57:C65)</f>
        <v>0</v>
      </c>
      <c r="D66" s="15"/>
      <c r="E66" s="15"/>
      <c r="F66" s="15"/>
      <c r="G66" s="15"/>
      <c r="H66" s="15"/>
      <c r="I66" s="45"/>
    </row>
    <row r="67" s="1" customFormat="1" ht="35" customHeight="1" spans="1:9">
      <c r="A67" s="83" t="s">
        <v>50</v>
      </c>
      <c r="B67" s="84"/>
      <c r="C67" s="85"/>
      <c r="D67" s="15"/>
      <c r="E67" s="15"/>
      <c r="F67" s="15"/>
      <c r="G67" s="15"/>
      <c r="H67" s="15"/>
      <c r="I67" s="45"/>
    </row>
    <row r="68" s="1" customFormat="1" ht="35" customHeight="1" spans="1:9">
      <c r="A68" s="47" t="str" cm="1">
        <f ca="1" t="array" ref="A68">IF((INDIRECT("'"&amp;INDIRECT("Main!B9")&amp;"'!A82"))=0,"",(INDIRECT("'"&amp;INDIRECT("Main!B9")&amp;"'!A82")))</f>
        <v/>
      </c>
      <c r="B68" s="47" t="str" cm="1">
        <f ca="1" t="array" ref="B68">IF((INDIRECT("'"&amp;INDIRECT("Main!B9")&amp;"'!B82"))=0,"",(INDIRECT("'"&amp;INDIRECT("Main!B9")&amp;"'!B82")))</f>
        <v/>
      </c>
      <c r="C68" s="35">
        <v>0</v>
      </c>
      <c r="D68" s="15"/>
      <c r="E68" s="15"/>
      <c r="F68" s="15"/>
      <c r="G68" s="15"/>
      <c r="H68" s="15"/>
      <c r="I68" s="45"/>
    </row>
    <row r="69" s="1" customFormat="1" ht="35" customHeight="1" spans="1:9">
      <c r="A69" s="47" t="str" cm="1">
        <f ca="1" t="array" ref="A69">IF((INDIRECT("'"&amp;INDIRECT("Main!B9")&amp;"'!A83"))=0,"",(INDIRECT("'"&amp;INDIRECT("Main!B9")&amp;"'!A83")))</f>
        <v/>
      </c>
      <c r="B69" s="47" t="str" cm="1">
        <f ca="1" t="array" ref="B69">IF((INDIRECT("'"&amp;INDIRECT("Main!B9")&amp;"'!B83"))=0,"",(INDIRECT("'"&amp;INDIRECT("Main!B9")&amp;"'!B83")))</f>
        <v/>
      </c>
      <c r="C69" s="35">
        <v>0</v>
      </c>
      <c r="D69" s="15"/>
      <c r="E69" s="15"/>
      <c r="F69" s="15"/>
      <c r="G69" s="15"/>
      <c r="H69" s="15"/>
      <c r="I69" s="45"/>
    </row>
    <row r="70" s="1" customFormat="1" ht="35" customHeight="1" spans="1:9">
      <c r="A70" s="47" t="str" cm="1">
        <f ca="1" t="array" ref="A70">IF((INDIRECT("'"&amp;INDIRECT("Main!B9")&amp;"'!A84"))=0,"",(INDIRECT("'"&amp;INDIRECT("Main!B9")&amp;"'!A84")))</f>
        <v/>
      </c>
      <c r="B70" s="47" t="str" cm="1">
        <f ca="1" t="array" ref="B70">IF((INDIRECT("'"&amp;INDIRECT("Main!B9")&amp;"'!B84"))=0,"",(INDIRECT("'"&amp;INDIRECT("Main!B9")&amp;"'!B84")))</f>
        <v/>
      </c>
      <c r="C70" s="35">
        <v>0</v>
      </c>
      <c r="D70" s="15"/>
      <c r="E70" s="15"/>
      <c r="F70" s="15"/>
      <c r="G70" s="15"/>
      <c r="H70" s="15"/>
      <c r="I70" s="45"/>
    </row>
    <row r="71" s="1" customFormat="1" ht="35" customHeight="1" spans="1:9">
      <c r="A71" s="47" t="str" cm="1">
        <f ca="1" t="array" ref="A71">IF((INDIRECT("'"&amp;INDIRECT("Main!B9")&amp;"'!A85"))=0,"",(INDIRECT("'"&amp;INDIRECT("Main!B9")&amp;"'!A85")))</f>
        <v/>
      </c>
      <c r="B71" s="47" t="str" cm="1">
        <f ca="1" t="array" ref="B71">IF((INDIRECT("'"&amp;INDIRECT("Main!B9")&amp;"'!B85"))=0,"",(INDIRECT("'"&amp;INDIRECT("Main!B9")&amp;"'!B85")))</f>
        <v/>
      </c>
      <c r="C71" s="35">
        <v>0</v>
      </c>
      <c r="D71" s="15"/>
      <c r="E71" s="15"/>
      <c r="F71" s="15"/>
      <c r="G71" s="15"/>
      <c r="H71" s="15"/>
      <c r="I71" s="45"/>
    </row>
    <row r="72" s="1" customFormat="1" ht="35" customHeight="1" spans="1:9">
      <c r="A72" s="47" t="str" cm="1">
        <f ca="1" t="array" ref="A72">IF((INDIRECT("'"&amp;INDIRECT("Main!B9")&amp;"'!A86"))=0,"",(INDIRECT("'"&amp;INDIRECT("Main!B9")&amp;"'!A86")))</f>
        <v/>
      </c>
      <c r="B72" s="47" t="str" cm="1">
        <f ca="1" t="array" ref="B72">IF((INDIRECT("'"&amp;INDIRECT("Main!B9")&amp;"'!B86"))=0,"",(INDIRECT("'"&amp;INDIRECT("Main!B9")&amp;"'!B86")))</f>
        <v/>
      </c>
      <c r="C72" s="35">
        <v>0</v>
      </c>
      <c r="D72" s="15"/>
      <c r="E72" s="15"/>
      <c r="F72" s="15"/>
      <c r="G72" s="15"/>
      <c r="H72" s="15"/>
      <c r="I72" s="45"/>
    </row>
    <row r="73" s="1" customFormat="1" ht="35" customHeight="1" spans="1:9">
      <c r="A73" s="47" t="str" cm="1">
        <f ca="1" t="array" ref="A73">IF((INDIRECT("'"&amp;INDIRECT("Main!B9")&amp;"'!A87"))=0,"",(INDIRECT("'"&amp;INDIRECT("Main!B9")&amp;"'!A87")))</f>
        <v/>
      </c>
      <c r="B73" s="47" t="str" cm="1">
        <f ca="1" t="array" ref="B73">IF((INDIRECT("'"&amp;INDIRECT("Main!B9")&amp;"'!B87"))=0,"",(INDIRECT("'"&amp;INDIRECT("Main!B9")&amp;"'!B87")))</f>
        <v/>
      </c>
      <c r="C73" s="35">
        <v>0</v>
      </c>
      <c r="D73" s="15"/>
      <c r="E73" s="15"/>
      <c r="F73" s="15"/>
      <c r="G73" s="15"/>
      <c r="H73" s="15"/>
      <c r="I73" s="45"/>
    </row>
    <row r="74" s="1" customFormat="1" ht="35" customHeight="1" spans="1:9">
      <c r="A74" s="47" t="str" cm="1">
        <f ca="1" t="array" ref="A74">IF((INDIRECT("'"&amp;INDIRECT("Main!B9")&amp;"'!A88"))=0,"",(INDIRECT("'"&amp;INDIRECT("Main!B9")&amp;"'!A88")))</f>
        <v/>
      </c>
      <c r="B74" s="47" t="str" cm="1">
        <f ca="1" t="array" ref="B74">IF((INDIRECT("'"&amp;INDIRECT("Main!B9")&amp;"'!B88"))=0,"",(INDIRECT("'"&amp;INDIRECT("Main!B9")&amp;"'!B88")))</f>
        <v/>
      </c>
      <c r="C74" s="35">
        <v>0</v>
      </c>
      <c r="D74" s="15"/>
      <c r="E74" s="15"/>
      <c r="F74" s="15"/>
      <c r="G74" s="15"/>
      <c r="H74" s="15"/>
      <c r="I74" s="45"/>
    </row>
    <row r="75" s="1" customFormat="1" ht="35" customHeight="1" spans="1:9">
      <c r="A75" s="46"/>
      <c r="B75" s="37" t="s">
        <v>48</v>
      </c>
      <c r="C75" s="35">
        <f>SUM(C68:C74)</f>
        <v>0</v>
      </c>
      <c r="D75" s="15"/>
      <c r="E75" s="15"/>
      <c r="F75" s="15"/>
      <c r="G75" s="15"/>
      <c r="H75" s="15"/>
      <c r="I75" s="45"/>
    </row>
    <row r="76" s="1" customFormat="1" ht="35" customHeight="1" spans="1:9">
      <c r="A76" s="83" t="s">
        <v>51</v>
      </c>
      <c r="B76" s="84"/>
      <c r="C76" s="85"/>
      <c r="D76" s="15"/>
      <c r="E76" s="15"/>
      <c r="F76" s="15"/>
      <c r="G76" s="15"/>
      <c r="H76" s="15"/>
      <c r="I76" s="45"/>
    </row>
    <row r="77" s="1" customFormat="1" ht="35" customHeight="1" spans="1:9">
      <c r="A77" s="34" t="str" cm="1">
        <f ca="1" t="array" ref="A77">IF((INDIRECT("'"&amp;INDIRECT("Main!B9")&amp;"'!A91"))=0,"",(INDIRECT("'"&amp;INDIRECT("Main!B9")&amp;"'!A91")))</f>
        <v/>
      </c>
      <c r="B77" s="34" t="str" cm="1">
        <f ca="1" t="array" ref="B77">IF((INDIRECT("'"&amp;INDIRECT("Main!B9")&amp;"'!B91"))=0,"",(INDIRECT("'"&amp;INDIRECT("Main!B9")&amp;"'!B91")))</f>
        <v/>
      </c>
      <c r="C77" s="35">
        <v>0</v>
      </c>
      <c r="D77" s="15"/>
      <c r="E77" s="15"/>
      <c r="F77" s="15"/>
      <c r="G77" s="15"/>
      <c r="H77" s="15"/>
      <c r="I77" s="45"/>
    </row>
    <row r="78" s="1" customFormat="1" ht="35" customHeight="1" spans="1:9">
      <c r="A78" s="34" t="str" cm="1">
        <f ca="1" t="array" ref="A78">IF((INDIRECT("'"&amp;INDIRECT("Main!B9")&amp;"'!A92"))=0,"",(INDIRECT("'"&amp;INDIRECT("Main!B9")&amp;"'!A92")))</f>
        <v/>
      </c>
      <c r="B78" s="34" t="str" cm="1">
        <f ca="1" t="array" ref="B78">IF((INDIRECT("'"&amp;INDIRECT("Main!B9")&amp;"'!B92"))=0,"",(INDIRECT("'"&amp;INDIRECT("Main!B9")&amp;"'!B92")))</f>
        <v/>
      </c>
      <c r="C78" s="35">
        <v>0</v>
      </c>
      <c r="D78" s="15"/>
      <c r="E78" s="15"/>
      <c r="F78" s="15"/>
      <c r="G78" s="15"/>
      <c r="H78" s="15"/>
      <c r="I78" s="45"/>
    </row>
    <row r="79" s="1" customFormat="1" ht="35" customHeight="1" spans="1:9">
      <c r="A79" s="34" t="str" cm="1">
        <f ca="1" t="array" ref="A79">IF((INDIRECT("'"&amp;INDIRECT("Main!B9")&amp;"'!A93"))=0,"",(INDIRECT("'"&amp;INDIRECT("Main!B9")&amp;"'!A93")))</f>
        <v/>
      </c>
      <c r="B79" s="34" t="str" cm="1">
        <f ca="1" t="array" ref="B79">IF((INDIRECT("'"&amp;INDIRECT("Main!B9")&amp;"'!B93"))=0,"",(INDIRECT("'"&amp;INDIRECT("Main!B9")&amp;"'!B93")))</f>
        <v/>
      </c>
      <c r="C79" s="35">
        <v>0</v>
      </c>
      <c r="D79" s="15"/>
      <c r="E79" s="15"/>
      <c r="F79" s="15"/>
      <c r="G79" s="15"/>
      <c r="H79" s="15"/>
      <c r="I79" s="45"/>
    </row>
    <row r="80" s="1" customFormat="1" ht="35" customHeight="1" spans="1:9">
      <c r="A80" s="34" t="str" cm="1">
        <f ca="1" t="array" ref="A80">IF((INDIRECT("'"&amp;INDIRECT("Main!B9")&amp;"'!A94"))=0,"",(INDIRECT("'"&amp;INDIRECT("Main!B9")&amp;"'!A94")))</f>
        <v/>
      </c>
      <c r="B80" s="34" t="str" cm="1">
        <f ca="1" t="array" ref="B80">IF((INDIRECT("'"&amp;INDIRECT("Main!B9")&amp;"'!B94"))=0,"",(INDIRECT("'"&amp;INDIRECT("Main!B9")&amp;"'!B94")))</f>
        <v/>
      </c>
      <c r="C80" s="35">
        <v>0</v>
      </c>
      <c r="D80" s="15"/>
      <c r="E80" s="15"/>
      <c r="F80" s="15"/>
      <c r="G80" s="15"/>
      <c r="H80" s="15"/>
      <c r="I80" s="45"/>
    </row>
    <row r="81" s="1" customFormat="1" ht="35" customHeight="1" spans="1:9">
      <c r="A81" s="34" t="str" cm="1">
        <f ca="1" t="array" ref="A81">IF((INDIRECT("'"&amp;INDIRECT("Main!B9")&amp;"'!A95"))=0,"",(INDIRECT("'"&amp;INDIRECT("Main!B9")&amp;"'!A95")))</f>
        <v/>
      </c>
      <c r="B81" s="34" t="str" cm="1">
        <f ca="1" t="array" ref="B81">IF((INDIRECT("'"&amp;INDIRECT("Main!B9")&amp;"'!B95"))=0,"",(INDIRECT("'"&amp;INDIRECT("Main!B9")&amp;"'!B95")))</f>
        <v/>
      </c>
      <c r="C81" s="35">
        <v>0</v>
      </c>
      <c r="D81" s="15"/>
      <c r="E81" s="15"/>
      <c r="F81" s="15"/>
      <c r="G81" s="15"/>
      <c r="H81" s="15"/>
      <c r="I81" s="45"/>
    </row>
    <row r="82" s="1" customFormat="1" ht="35" customHeight="1" spans="1:9">
      <c r="A82" s="34" t="str" cm="1">
        <f ca="1" t="array" ref="A82">IF((INDIRECT("'"&amp;INDIRECT("Main!B9")&amp;"'!A96"))=0,"",(INDIRECT("'"&amp;INDIRECT("Main!B9")&amp;"'!A96")))</f>
        <v/>
      </c>
      <c r="B82" s="34" t="str" cm="1">
        <f ca="1" t="array" ref="B82">IF((INDIRECT("'"&amp;INDIRECT("Main!B9")&amp;"'!B96"))=0,"",(INDIRECT("'"&amp;INDIRECT("Main!B9")&amp;"'!B96")))</f>
        <v/>
      </c>
      <c r="C82" s="35">
        <v>0</v>
      </c>
      <c r="D82" s="15"/>
      <c r="E82" s="15"/>
      <c r="F82" s="15"/>
      <c r="G82" s="15"/>
      <c r="H82" s="15"/>
      <c r="I82" s="45"/>
    </row>
    <row r="83" s="1" customFormat="1" ht="35" customHeight="1" spans="1:9">
      <c r="A83" s="34" t="str" cm="1">
        <f ca="1" t="array" ref="A83">IF((INDIRECT("'"&amp;INDIRECT("Main!B9")&amp;"'!A97"))=0,"",(INDIRECT("'"&amp;INDIRECT("Main!B9")&amp;"'!A97")))</f>
        <v/>
      </c>
      <c r="B83" s="34" t="str" cm="1">
        <f ca="1" t="array" ref="B83">IF((INDIRECT("'"&amp;INDIRECT("Main!B9")&amp;"'!B97"))=0,"",(INDIRECT("'"&amp;INDIRECT("Main!B9")&amp;"'!B97")))</f>
        <v/>
      </c>
      <c r="C83" s="35">
        <v>0</v>
      </c>
      <c r="D83" s="15"/>
      <c r="E83" s="15"/>
      <c r="F83" s="15"/>
      <c r="G83" s="15"/>
      <c r="H83" s="15"/>
      <c r="I83" s="45"/>
    </row>
    <row r="84" s="1" customFormat="1" ht="35" customHeight="1" spans="1:9">
      <c r="A84" s="34" t="str" cm="1">
        <f ca="1" t="array" ref="A84">IF((INDIRECT("'"&amp;INDIRECT("Main!B9")&amp;"'!A98"))=0,"",(INDIRECT("'"&amp;INDIRECT("Main!B9")&amp;"'!A98")))</f>
        <v/>
      </c>
      <c r="B84" s="34" t="str" cm="1">
        <f ca="1" t="array" ref="B84">IF((INDIRECT("'"&amp;INDIRECT("Main!B9")&amp;"'!B98"))=0,"",(INDIRECT("'"&amp;INDIRECT("Main!B9")&amp;"'!B98")))</f>
        <v/>
      </c>
      <c r="C84" s="35">
        <v>0</v>
      </c>
      <c r="D84" s="15"/>
      <c r="E84" s="15"/>
      <c r="F84" s="15"/>
      <c r="G84" s="15"/>
      <c r="H84" s="15"/>
      <c r="I84" s="45"/>
    </row>
    <row r="85" s="1" customFormat="1" ht="35" customHeight="1" spans="1:9">
      <c r="A85" s="46"/>
      <c r="B85" s="37" t="s">
        <v>48</v>
      </c>
      <c r="C85" s="35">
        <f>SUM(C77:C84)</f>
        <v>0</v>
      </c>
      <c r="D85" s="15"/>
      <c r="E85" s="15"/>
      <c r="F85" s="15"/>
      <c r="G85" s="15"/>
      <c r="H85" s="15"/>
      <c r="I85" s="45"/>
    </row>
    <row r="86" s="1" customFormat="1" ht="35" customHeight="1" spans="1:9">
      <c r="A86" s="83" t="s">
        <v>52</v>
      </c>
      <c r="B86" s="84"/>
      <c r="C86" s="85"/>
      <c r="D86" s="15"/>
      <c r="E86" s="15"/>
      <c r="F86" s="15"/>
      <c r="G86" s="15"/>
      <c r="H86" s="15"/>
      <c r="I86" s="45"/>
    </row>
    <row r="87" s="1" customFormat="1" ht="35" customHeight="1" spans="1:9">
      <c r="A87" s="34" t="str" cm="1">
        <f ca="1" t="array" ref="A87">IF((INDIRECT("'"&amp;INDIRECT("Main!B9")&amp;"'!A101"))=0,"",(INDIRECT("'"&amp;INDIRECT("Main!B9")&amp;"'!A101")))</f>
        <v/>
      </c>
      <c r="B87" s="34" t="str" cm="1">
        <f ca="1" t="array" ref="B87">IF((INDIRECT("'"&amp;INDIRECT("Main!B9")&amp;"'!B101"))=0,"",(INDIRECT("'"&amp;INDIRECT("Main!B9")&amp;"'!B101")))</f>
        <v/>
      </c>
      <c r="C87" s="35">
        <v>0</v>
      </c>
      <c r="D87" s="15"/>
      <c r="E87" s="15"/>
      <c r="F87" s="15"/>
      <c r="G87" s="15"/>
      <c r="H87" s="15"/>
      <c r="I87" s="45"/>
    </row>
    <row r="88" s="1" customFormat="1" ht="35" customHeight="1" spans="1:9">
      <c r="A88" s="34" t="str" cm="1">
        <f ca="1" t="array" ref="A88">IF((INDIRECT("'"&amp;INDIRECT("Main!B9")&amp;"'!A102"))=0,"",(INDIRECT("'"&amp;INDIRECT("Main!B9")&amp;"'!A102")))</f>
        <v/>
      </c>
      <c r="B88" s="34" t="str" cm="1">
        <f ca="1" t="array" ref="B88">IF((INDIRECT("'"&amp;INDIRECT("Main!B9")&amp;"'!B102"))=0,"",(INDIRECT("'"&amp;INDIRECT("Main!B9")&amp;"'!B102")))</f>
        <v/>
      </c>
      <c r="C88" s="35">
        <v>0</v>
      </c>
      <c r="D88" s="15"/>
      <c r="E88" s="15"/>
      <c r="F88" s="15"/>
      <c r="G88" s="15"/>
      <c r="H88" s="15"/>
      <c r="I88" s="45"/>
    </row>
    <row r="89" s="1" customFormat="1" ht="35" customHeight="1" spans="1:9">
      <c r="A89" s="34" t="str" cm="1">
        <f ca="1" t="array" ref="A89">IF((INDIRECT("'"&amp;INDIRECT("Main!B9")&amp;"'!A103"))=0,"",(INDIRECT("'"&amp;INDIRECT("Main!B9")&amp;"'!A103")))</f>
        <v/>
      </c>
      <c r="B89" s="34" t="str" cm="1">
        <f ca="1" t="array" ref="B89">IF((INDIRECT("'"&amp;INDIRECT("Main!B9")&amp;"'!B103"))=0,"",(INDIRECT("'"&amp;INDIRECT("Main!B9")&amp;"'!B103")))</f>
        <v/>
      </c>
      <c r="C89" s="35">
        <v>0</v>
      </c>
      <c r="D89" s="15"/>
      <c r="E89" s="15"/>
      <c r="F89" s="15"/>
      <c r="G89" s="15"/>
      <c r="H89" s="15"/>
      <c r="I89" s="45"/>
    </row>
    <row r="90" s="1" customFormat="1" ht="35" customHeight="1" spans="1:9">
      <c r="A90" s="34" t="str" cm="1">
        <f ca="1" t="array" ref="A90">IF((INDIRECT("'"&amp;INDIRECT("Main!B9")&amp;"'!A104"))=0,"",(INDIRECT("'"&amp;INDIRECT("Main!B9")&amp;"'!A104")))</f>
        <v/>
      </c>
      <c r="B90" s="34" t="str" cm="1">
        <f ca="1" t="array" ref="B90">IF((INDIRECT("'"&amp;INDIRECT("Main!B9")&amp;"'!B104"))=0,"",(INDIRECT("'"&amp;INDIRECT("Main!B9")&amp;"'!B104")))</f>
        <v/>
      </c>
      <c r="C90" s="35">
        <v>0</v>
      </c>
      <c r="D90" s="15"/>
      <c r="E90" s="62"/>
      <c r="F90" s="15"/>
      <c r="G90" s="15"/>
      <c r="H90" s="15"/>
      <c r="I90" s="45"/>
    </row>
    <row r="91" s="1" customFormat="1" ht="35" customHeight="1" spans="1:9">
      <c r="A91" s="34" t="str" cm="1">
        <f ca="1" t="array" ref="A91">IF((INDIRECT("'"&amp;INDIRECT("Main!B9")&amp;"'!A105"))=0,"",(INDIRECT("'"&amp;INDIRECT("Main!B9")&amp;"'!A105")))</f>
        <v/>
      </c>
      <c r="B91" s="34" t="str" cm="1">
        <f ca="1" t="array" ref="B91">IF((INDIRECT("'"&amp;INDIRECT("Main!B9")&amp;"'!B105"))=0,"",(INDIRECT("'"&amp;INDIRECT("Main!B9")&amp;"'!B105")))</f>
        <v/>
      </c>
      <c r="C91" s="35">
        <v>0</v>
      </c>
      <c r="D91" s="15"/>
      <c r="E91" s="15"/>
      <c r="F91" s="15"/>
      <c r="G91" s="15"/>
      <c r="H91" s="15"/>
      <c r="I91" s="45"/>
    </row>
    <row r="92" s="1" customFormat="1" ht="35" customHeight="1" spans="1:9">
      <c r="A92" s="34" t="str" cm="1">
        <f ca="1" t="array" ref="A92">IF((INDIRECT("'"&amp;INDIRECT("Main!B9")&amp;"'!A106"))=0,"",(INDIRECT("'"&amp;INDIRECT("Main!B9")&amp;"'!A106")))</f>
        <v/>
      </c>
      <c r="B92" s="34" t="str" cm="1">
        <f ca="1" t="array" ref="B92">IF((INDIRECT("'"&amp;INDIRECT("Main!B9")&amp;"'!B106"))=0,"",(INDIRECT("'"&amp;INDIRECT("Main!B9")&amp;"'!B106")))</f>
        <v/>
      </c>
      <c r="C92" s="35">
        <v>0</v>
      </c>
      <c r="D92" s="15"/>
      <c r="E92" s="15"/>
      <c r="F92" s="15"/>
      <c r="G92" s="15"/>
      <c r="H92" s="15"/>
      <c r="I92" s="45"/>
    </row>
    <row r="93" s="1" customFormat="1" ht="35" customHeight="1" spans="1:9">
      <c r="A93" s="34" t="str" cm="1">
        <f ca="1" t="array" ref="A93">IF((INDIRECT("'"&amp;INDIRECT("Main!B9")&amp;"'!A107"))=0,"",(INDIRECT("'"&amp;INDIRECT("Main!B9")&amp;"'!A107")))</f>
        <v/>
      </c>
      <c r="B93" s="34" t="str" cm="1">
        <f ca="1" t="array" ref="B93">IF((INDIRECT("'"&amp;INDIRECT("Main!B9")&amp;"'!B107"))=0,"",(INDIRECT("'"&amp;INDIRECT("Main!B9")&amp;"'!B107")))</f>
        <v/>
      </c>
      <c r="C93" s="35">
        <v>0</v>
      </c>
      <c r="D93" s="15"/>
      <c r="E93" s="15"/>
      <c r="F93" s="15"/>
      <c r="G93" s="15"/>
      <c r="H93" s="15"/>
      <c r="I93" s="45"/>
    </row>
    <row r="94" s="1" customFormat="1" ht="35" customHeight="1" spans="1:9">
      <c r="A94" s="34" t="str" cm="1">
        <f ca="1" t="array" ref="A94">IF((INDIRECT("'"&amp;INDIRECT("Main!B9")&amp;"'!A108"))=0,"",(INDIRECT("'"&amp;INDIRECT("Main!B9")&amp;"'!A108")))</f>
        <v/>
      </c>
      <c r="B94" s="34" t="str" cm="1">
        <f ca="1" t="array" ref="B94">IF((INDIRECT("'"&amp;INDIRECT("Main!B9")&amp;"'!B108"))=0,"",(INDIRECT("'"&amp;INDIRECT("Main!B9")&amp;"'!B108")))</f>
        <v/>
      </c>
      <c r="C94" s="35">
        <v>0</v>
      </c>
      <c r="D94" s="15"/>
      <c r="E94" s="15"/>
      <c r="F94" s="15"/>
      <c r="G94" s="15"/>
      <c r="H94" s="15"/>
      <c r="I94" s="45"/>
    </row>
    <row r="95" s="1" customFormat="1" ht="35" customHeight="1" spans="1:9">
      <c r="A95" s="47"/>
      <c r="B95" s="37" t="s">
        <v>48</v>
      </c>
      <c r="C95" s="35">
        <f>SUM(C87:C94)</f>
        <v>0</v>
      </c>
      <c r="D95" s="15"/>
      <c r="E95" s="15"/>
      <c r="F95" s="15"/>
      <c r="G95" s="15"/>
      <c r="H95" s="15"/>
      <c r="I95" s="45"/>
    </row>
    <row r="96" s="1" customFormat="1" ht="35" customHeight="1" spans="1:9">
      <c r="A96" s="46"/>
      <c r="B96" s="37" t="s">
        <v>53</v>
      </c>
      <c r="C96" s="35">
        <f>C55+C66+C75+C85+C95</f>
        <v>0</v>
      </c>
      <c r="D96" s="15"/>
      <c r="E96" s="15"/>
      <c r="F96" s="15"/>
      <c r="G96" s="15"/>
      <c r="H96" s="15"/>
      <c r="I96" s="45"/>
    </row>
    <row r="97" s="1" customFormat="1" ht="35" customHeight="1" spans="1:9">
      <c r="A97" s="83" t="s">
        <v>54</v>
      </c>
      <c r="B97" s="84"/>
      <c r="C97" s="85"/>
      <c r="D97" s="15"/>
      <c r="E97" s="15"/>
      <c r="F97" s="15"/>
      <c r="G97" s="15"/>
      <c r="H97" s="15"/>
      <c r="I97" s="45"/>
    </row>
    <row r="98" s="1" customFormat="1" ht="35" customHeight="1" spans="1:9">
      <c r="A98" s="34" t="str" cm="1">
        <f ca="1" t="array" ref="A98">IF((INDIRECT("'"&amp;INDIRECT("Main!B9")&amp;"'!A112"))=0,"",(INDIRECT("'"&amp;INDIRECT("Main!B9")&amp;"'!A112")))</f>
        <v/>
      </c>
      <c r="B98" s="34" t="str" cm="1">
        <f ca="1" t="array" ref="B98">IF((INDIRECT("'"&amp;INDIRECT("Main!B9")&amp;"'!B112"))=0,"",(INDIRECT("'"&amp;INDIRECT("Main!B9")&amp;"'!B112")))</f>
        <v/>
      </c>
      <c r="C98" s="35" cm="1">
        <f ca="1" t="array" ref="C98">INDIRECT("'"&amp;INDIRECT("Main!B27")&amp;"'!C98")+SUM(E118+E145+E172)</f>
        <v>0</v>
      </c>
      <c r="D98" s="15"/>
      <c r="E98" s="15"/>
      <c r="F98" s="15"/>
      <c r="G98" s="15"/>
      <c r="H98" s="15"/>
      <c r="I98" s="45"/>
    </row>
    <row r="99" s="1" customFormat="1" ht="35" customHeight="1" spans="1:9">
      <c r="A99" s="34" t="str" cm="1">
        <f ca="1" t="array" ref="A99">IF((INDIRECT("'"&amp;INDIRECT("Main!B9")&amp;"'!A113"))=0,"",(INDIRECT("'"&amp;INDIRECT("Main!B9")&amp;"'!A113")))</f>
        <v/>
      </c>
      <c r="B99" s="34" t="str" cm="1">
        <f ca="1" t="array" ref="B99">IF((INDIRECT("'"&amp;INDIRECT("Main!B9")&amp;"'!B113"))=0,"",(INDIRECT("'"&amp;INDIRECT("Main!B9")&amp;"'!B113")))</f>
        <v/>
      </c>
      <c r="C99" s="35" cm="1">
        <f ca="1" t="array" ref="C99">INDIRECT("'"&amp;INDIRECT("Main!B27")&amp;"'!C99")+SUM(E119+E146+E173)</f>
        <v>0</v>
      </c>
      <c r="D99" s="15"/>
      <c r="E99" s="15"/>
      <c r="F99" s="15"/>
      <c r="G99" s="15"/>
      <c r="H99" s="15"/>
      <c r="I99" s="45"/>
    </row>
    <row r="100" s="1" customFormat="1" ht="35" customHeight="1" spans="1:9">
      <c r="A100" s="34" t="str" cm="1">
        <f ca="1" t="array" ref="A100">IF((INDIRECT("'"&amp;INDIRECT("Main!B9")&amp;"'!A114"))=0,"",(INDIRECT("'"&amp;INDIRECT("Main!B9")&amp;"'!A114")))</f>
        <v/>
      </c>
      <c r="B100" s="34" t="str" cm="1">
        <f ca="1" t="array" ref="B100">IF((INDIRECT("'"&amp;INDIRECT("Main!B9")&amp;"'!B114"))=0,"",(INDIRECT("'"&amp;INDIRECT("Main!B9")&amp;"'!B114")))</f>
        <v/>
      </c>
      <c r="C100" s="35" cm="1">
        <f ca="1" t="array" ref="C100">INDIRECT("'"&amp;INDIRECT("Main!B27")&amp;"'!C100")+SUM(E120+E147+E174)</f>
        <v>0</v>
      </c>
      <c r="D100" s="15"/>
      <c r="E100" s="15"/>
      <c r="F100" s="15"/>
      <c r="G100" s="15"/>
      <c r="H100" s="15"/>
      <c r="I100" s="45"/>
    </row>
    <row r="101" s="1" customFormat="1" ht="35" customHeight="1" spans="1:9">
      <c r="A101" s="34" t="str" cm="1">
        <f ca="1" t="array" ref="A101">IF((INDIRECT("'"&amp;INDIRECT("Main!B9")&amp;"'!A115"))=0,"",(INDIRECT("'"&amp;INDIRECT("Main!B9")&amp;"'!A115")))</f>
        <v/>
      </c>
      <c r="B101" s="34" t="str" cm="1">
        <f ca="1" t="array" ref="B101">IF((INDIRECT("'"&amp;INDIRECT("Main!B9")&amp;"'!B115"))=0,"",(INDIRECT("'"&amp;INDIRECT("Main!B9")&amp;"'!B115")))</f>
        <v/>
      </c>
      <c r="C101" s="35" cm="1">
        <f ca="1" t="array" ref="C101">INDIRECT("'"&amp;INDIRECT("Main!B27")&amp;"'!C101")+SUM(E121+E148+E175)</f>
        <v>0</v>
      </c>
      <c r="D101" s="15"/>
      <c r="E101" s="15"/>
      <c r="F101" s="15"/>
      <c r="G101" s="15"/>
      <c r="H101" s="15"/>
      <c r="I101" s="45"/>
    </row>
    <row r="102" s="1" customFormat="1" ht="35" customHeight="1" spans="1:9">
      <c r="A102" s="34" t="str" cm="1">
        <f ca="1" t="array" ref="A102">IF((INDIRECT("'"&amp;INDIRECT("Main!B9")&amp;"'!A116"))=0,"",(INDIRECT("'"&amp;INDIRECT("Main!B9")&amp;"'!A116")))</f>
        <v/>
      </c>
      <c r="B102" s="34" t="str" cm="1">
        <f ca="1" t="array" ref="B102">IF((INDIRECT("'"&amp;INDIRECT("Main!B9")&amp;"'!B116"))=0,"",(INDIRECT("'"&amp;INDIRECT("Main!B9")&amp;"'!B116")))</f>
        <v/>
      </c>
      <c r="C102" s="35" cm="1">
        <f ca="1" t="array" ref="C102">INDIRECT("'"&amp;INDIRECT("Main!B27")&amp;"'!C102")+SUM(E122+E149+E176)</f>
        <v>0</v>
      </c>
      <c r="D102" s="15"/>
      <c r="E102" s="15"/>
      <c r="F102" s="15"/>
      <c r="G102" s="15"/>
      <c r="H102" s="15"/>
      <c r="I102" s="45"/>
    </row>
    <row r="103" s="1" customFormat="1" ht="35" customHeight="1" spans="1:9">
      <c r="A103" s="34" t="str" cm="1">
        <f ca="1" t="array" ref="A103">IF((INDIRECT("'"&amp;INDIRECT("Main!B9")&amp;"'!A117"))=0,"",(INDIRECT("'"&amp;INDIRECT("Main!B9")&amp;"'!A117")))</f>
        <v/>
      </c>
      <c r="B103" s="34" t="str" cm="1">
        <f ca="1" t="array" ref="B103">IF((INDIRECT("'"&amp;INDIRECT("Main!B9")&amp;"'!B117"))=0,"",(INDIRECT("'"&amp;INDIRECT("Main!B9")&amp;"'!B117")))</f>
        <v/>
      </c>
      <c r="C103" s="35" cm="1">
        <f ca="1" t="array" ref="C103">INDIRECT("'"&amp;INDIRECT("Main!B27")&amp;"'!C103")+SUM(E123+E150+E177)</f>
        <v>0</v>
      </c>
      <c r="D103" s="15"/>
      <c r="E103" s="15"/>
      <c r="F103" s="15"/>
      <c r="G103" s="15"/>
      <c r="H103" s="15"/>
      <c r="I103" s="45"/>
    </row>
    <row r="104" s="1" customFormat="1" ht="35" customHeight="1" spans="1:9">
      <c r="A104" s="34" t="str" cm="1">
        <f ca="1" t="array" ref="A104">IF((INDIRECT("'"&amp;INDIRECT("Main!B9")&amp;"'!A118"))=0,"",(INDIRECT("'"&amp;INDIRECT("Main!B9")&amp;"'!A118")))</f>
        <v/>
      </c>
      <c r="B104" s="34" t="str" cm="1">
        <f ca="1" t="array" ref="B104">IF((INDIRECT("'"&amp;INDIRECT("Main!B9")&amp;"'!B118"))=0,"",(INDIRECT("'"&amp;INDIRECT("Main!B9")&amp;"'!B118")))</f>
        <v/>
      </c>
      <c r="C104" s="35" cm="1">
        <f ca="1" t="array" ref="C104">INDIRECT("'"&amp;INDIRECT("Main!B27")&amp;"'!C104")+SUM(E124+E151+E178)</f>
        <v>0</v>
      </c>
      <c r="D104" s="15"/>
      <c r="E104" s="15"/>
      <c r="F104" s="15"/>
      <c r="G104" s="15"/>
      <c r="H104" s="15"/>
      <c r="I104" s="45"/>
    </row>
    <row r="105" s="1" customFormat="1" ht="35" customHeight="1" spans="1:9">
      <c r="A105" s="34" t="str" cm="1">
        <f ca="1" t="array" ref="A105">IF((INDIRECT("'"&amp;INDIRECT("Main!B9")&amp;"'!A119"))=0,"",(INDIRECT("'"&amp;INDIRECT("Main!B9")&amp;"'!A119")))</f>
        <v/>
      </c>
      <c r="B105" s="34" t="str" cm="1">
        <f ca="1" t="array" ref="B105">IF((INDIRECT("'"&amp;INDIRECT("Main!B9")&amp;"'!B119"))=0,"",(INDIRECT("'"&amp;INDIRECT("Main!B9")&amp;"'!B119")))</f>
        <v/>
      </c>
      <c r="C105" s="35" cm="1">
        <f ca="1" t="array" ref="C105">INDIRECT("'"&amp;INDIRECT("Main!B27")&amp;"'!C105")+SUM(E125+E152+E179)</f>
        <v>0</v>
      </c>
      <c r="D105" s="15"/>
      <c r="E105" s="15"/>
      <c r="F105" s="15"/>
      <c r="G105" s="15"/>
      <c r="H105" s="15"/>
      <c r="I105" s="45"/>
    </row>
    <row r="106" s="1" customFormat="1" ht="35" customHeight="1" spans="1:9">
      <c r="A106" s="34" t="str" cm="1">
        <f ca="1" t="array" ref="A106">IF((INDIRECT("'"&amp;INDIRECT("Main!B9")&amp;"'!A120"))=0,"",(INDIRECT("'"&amp;INDIRECT("Main!B9")&amp;"'!A120")))</f>
        <v/>
      </c>
      <c r="B106" s="34" t="str" cm="1">
        <f ca="1" t="array" ref="B106">IF((INDIRECT("'"&amp;INDIRECT("Main!B9")&amp;"'!B120"))=0,"",(INDIRECT("'"&amp;INDIRECT("Main!B9")&amp;"'!B120")))</f>
        <v/>
      </c>
      <c r="C106" s="35" cm="1">
        <f ca="1" t="array" ref="C106">INDIRECT("'"&amp;INDIRECT("Main!B27")&amp;"'!C106")+SUM(E126+E153+E180)</f>
        <v>0</v>
      </c>
      <c r="D106" s="15"/>
      <c r="E106" s="15"/>
      <c r="F106" s="15"/>
      <c r="G106" s="15"/>
      <c r="H106" s="15"/>
      <c r="I106" s="45"/>
    </row>
    <row r="107" s="1" customFormat="1" ht="35" customHeight="1" spans="1:9">
      <c r="A107" s="34" t="str" cm="1">
        <f ca="1" t="array" ref="A107">IF((INDIRECT("'"&amp;INDIRECT("Main!B9")&amp;"'!A121"))=0,"",(INDIRECT("'"&amp;INDIRECT("Main!B9")&amp;"'!A121")))</f>
        <v/>
      </c>
      <c r="B107" s="34" t="str" cm="1">
        <f ca="1" t="array" ref="B107">IF((INDIRECT("'"&amp;INDIRECT("Main!B9")&amp;"'!B121"))=0,"",(INDIRECT("'"&amp;INDIRECT("Main!B9")&amp;"'!B121")))</f>
        <v/>
      </c>
      <c r="C107" s="35" cm="1">
        <f ca="1" t="array" ref="C107">INDIRECT("'"&amp;INDIRECT("Main!B27")&amp;"'!C107")+SUM(E127+E154+E181)</f>
        <v>0</v>
      </c>
      <c r="D107" s="15"/>
      <c r="E107" s="15"/>
      <c r="F107" s="15"/>
      <c r="G107" s="15"/>
      <c r="H107" s="15"/>
      <c r="I107" s="45"/>
    </row>
    <row r="108" s="1" customFormat="1" ht="35" customHeight="1" spans="1:9">
      <c r="A108" s="46"/>
      <c r="B108" s="37" t="s">
        <v>55</v>
      </c>
      <c r="C108" s="35">
        <f ca="1">SUM(C98:C107)</f>
        <v>0</v>
      </c>
      <c r="D108" s="15"/>
      <c r="E108" s="15"/>
      <c r="F108" s="15"/>
      <c r="G108" s="15"/>
      <c r="H108" s="15"/>
      <c r="I108" s="45"/>
    </row>
    <row r="109" s="1" customFormat="1" ht="35" customHeight="1" spans="1:9">
      <c r="A109" s="46"/>
      <c r="B109" s="37" t="s">
        <v>56</v>
      </c>
      <c r="C109" s="35">
        <f ca="1">C108-C96</f>
        <v>0</v>
      </c>
      <c r="D109" s="15"/>
      <c r="E109" s="15"/>
      <c r="F109" s="15"/>
      <c r="G109" s="15"/>
      <c r="H109" s="15"/>
      <c r="I109" s="45"/>
    </row>
    <row r="110" s="1" customFormat="1" ht="35" customHeight="1" spans="1:9">
      <c r="A110" s="15"/>
      <c r="B110" s="15"/>
      <c r="C110" s="15"/>
      <c r="D110" s="15"/>
      <c r="E110" s="15"/>
      <c r="F110" s="15"/>
      <c r="G110" s="15"/>
      <c r="H110" s="15"/>
      <c r="I110" s="45"/>
    </row>
    <row r="111" s="1" customFormat="1" ht="35" customHeight="1" spans="1:9">
      <c r="A111" s="15"/>
      <c r="B111" s="15"/>
      <c r="C111" s="15"/>
      <c r="D111" s="15"/>
      <c r="E111" s="15"/>
      <c r="F111" s="15"/>
      <c r="G111" s="15"/>
      <c r="H111" s="15"/>
      <c r="I111" s="45"/>
    </row>
    <row r="112" s="1" customFormat="1" ht="35" customHeight="1" spans="1:9">
      <c r="A112" s="15"/>
      <c r="B112" s="15"/>
      <c r="C112" s="15"/>
      <c r="D112" s="15"/>
      <c r="E112" s="15"/>
      <c r="F112" s="15"/>
      <c r="G112" s="15"/>
      <c r="H112" s="15"/>
      <c r="I112" s="45"/>
    </row>
    <row r="113" s="1" customFormat="1" ht="35" customHeight="1" spans="1:9">
      <c r="A113" s="15"/>
      <c r="B113" s="15"/>
      <c r="C113" s="15"/>
      <c r="D113" s="15"/>
      <c r="E113" s="15"/>
      <c r="F113" s="15"/>
      <c r="G113" s="15"/>
      <c r="H113" s="15"/>
      <c r="I113" s="45"/>
    </row>
    <row r="114" s="1" customFormat="1" ht="35" customHeight="1" spans="1:9">
      <c r="A114" s="48" t="str">
        <f>"Debts Or Credits For the Comming "&amp;IF(Main!B2,TEXT(EDATE(Main!B3,21),"mmmm dd yyyy"),TEXT(Main!B3+((Main!B5-Main!B3)*21+21),"mmmm dd yyyy"))&amp;" to "&amp;IF(Main!B2,TEXT(EDATE(Main!B3,22)-1,"mmmm dd yyyy"),TEXT(Main!B3+((Main!B5-Main!B3)*22+21),"mmmm dd yyyy"))</f>
        <v>Debts Or Credits For the Comming February 01 2027 to February 28 2027</v>
      </c>
      <c r="B114" s="49"/>
      <c r="C114" s="49"/>
      <c r="D114" s="49"/>
      <c r="E114" s="50"/>
      <c r="F114" s="15"/>
      <c r="G114" s="15"/>
      <c r="H114" s="15"/>
      <c r="I114" s="45"/>
    </row>
    <row r="115" s="1" customFormat="1" ht="35" customHeight="1" spans="1:9">
      <c r="A115" s="48" t="s">
        <v>57</v>
      </c>
      <c r="B115" s="50"/>
      <c r="C115" s="48" t="s">
        <v>44</v>
      </c>
      <c r="D115" s="50"/>
      <c r="E115" s="64" t="s">
        <v>45</v>
      </c>
      <c r="F115" s="15"/>
      <c r="G115" s="15"/>
      <c r="H115" s="15"/>
      <c r="I115" s="45"/>
    </row>
    <row r="116" s="1" customFormat="1" ht="35" customHeight="1" spans="1:9">
      <c r="A116" s="51" t="str">
        <f>"Balance Brought Forward From "&amp;IF(Main!B2,TEXT(EDATE(Main!B3,21)-1,"mmmm yyyy"),TEXT(Main!B3+((Main!B5-Main!B3)*21+20),"mmmm yyyy"))</f>
        <v>Balance Brought Forward From January 2027</v>
      </c>
      <c r="B116" s="52"/>
      <c r="C116" s="53"/>
      <c r="D116" s="53"/>
      <c r="E116" s="65" cm="1">
        <f ca="1" t="array" ref="E116">INDIRECT("'"&amp;INDIRECT("Main!B27")&amp;"'!E190")</f>
        <v>0</v>
      </c>
      <c r="F116" s="15"/>
      <c r="G116" s="15"/>
      <c r="H116" s="15"/>
      <c r="I116" s="45"/>
    </row>
    <row r="117" s="1" customFormat="1" ht="35" customHeight="1" spans="1:9">
      <c r="A117" s="54" t="s">
        <v>52</v>
      </c>
      <c r="B117" s="55"/>
      <c r="C117" s="56" t="s">
        <v>58</v>
      </c>
      <c r="D117" s="57"/>
      <c r="E117" s="66"/>
      <c r="F117" s="15"/>
      <c r="G117" s="15"/>
      <c r="H117" s="15"/>
      <c r="I117" s="45"/>
    </row>
    <row r="118" s="1" customFormat="1" ht="35" customHeight="1" spans="1:9">
      <c r="A118" s="58"/>
      <c r="B118" s="59"/>
      <c r="C118" s="60"/>
      <c r="D118" s="61"/>
      <c r="E118" s="35">
        <v>0</v>
      </c>
      <c r="F118" s="15"/>
      <c r="G118" s="15"/>
      <c r="H118" s="15"/>
      <c r="I118" s="45"/>
    </row>
    <row r="119" s="1" customFormat="1" ht="35" customHeight="1" spans="1:9">
      <c r="A119" s="58"/>
      <c r="B119" s="59"/>
      <c r="C119" s="60"/>
      <c r="D119" s="61"/>
      <c r="E119" s="35">
        <v>0</v>
      </c>
      <c r="F119" s="15"/>
      <c r="G119" s="15"/>
      <c r="H119" s="15"/>
      <c r="I119" s="45"/>
    </row>
    <row r="120" s="1" customFormat="1" ht="35" customHeight="1" spans="1:9">
      <c r="A120" s="58"/>
      <c r="B120" s="59"/>
      <c r="C120" s="60"/>
      <c r="D120" s="61"/>
      <c r="E120" s="35">
        <v>0</v>
      </c>
      <c r="F120" s="15"/>
      <c r="G120" s="15"/>
      <c r="H120" s="15"/>
      <c r="I120" s="45"/>
    </row>
    <row r="121" s="1" customFormat="1" ht="35" customHeight="1" spans="1:9">
      <c r="A121" s="58"/>
      <c r="B121" s="59"/>
      <c r="C121" s="60"/>
      <c r="D121" s="61"/>
      <c r="E121" s="35">
        <v>0</v>
      </c>
      <c r="F121" s="15"/>
      <c r="G121" s="15"/>
      <c r="H121" s="15"/>
      <c r="I121" s="45"/>
    </row>
    <row r="122" s="1" customFormat="1" ht="35" customHeight="1" spans="1:9">
      <c r="A122" s="58"/>
      <c r="B122" s="59"/>
      <c r="C122" s="60"/>
      <c r="D122" s="61"/>
      <c r="E122" s="35">
        <v>0</v>
      </c>
      <c r="F122" s="15"/>
      <c r="G122" s="15"/>
      <c r="H122" s="15"/>
      <c r="I122" s="45"/>
    </row>
    <row r="123" s="1" customFormat="1" ht="35" customHeight="1" spans="1:9">
      <c r="A123" s="58"/>
      <c r="B123" s="59"/>
      <c r="C123" s="60"/>
      <c r="D123" s="61"/>
      <c r="E123" s="35">
        <v>0</v>
      </c>
      <c r="F123" s="15"/>
      <c r="G123" s="15"/>
      <c r="H123" s="15"/>
      <c r="I123" s="45"/>
    </row>
    <row r="124" s="1" customFormat="1" ht="35" customHeight="1" spans="1:9">
      <c r="A124" s="58"/>
      <c r="B124" s="59"/>
      <c r="C124" s="60"/>
      <c r="D124" s="61"/>
      <c r="E124" s="35">
        <v>0</v>
      </c>
      <c r="F124" s="15"/>
      <c r="G124" s="15"/>
      <c r="H124" s="15"/>
      <c r="I124" s="45"/>
    </row>
    <row r="125" s="1" customFormat="1" ht="35" customHeight="1" spans="1:9">
      <c r="A125" s="58"/>
      <c r="B125" s="59"/>
      <c r="C125" s="60"/>
      <c r="D125" s="61"/>
      <c r="E125" s="35">
        <v>0</v>
      </c>
      <c r="F125" s="15"/>
      <c r="G125" s="15"/>
      <c r="H125" s="15"/>
      <c r="I125" s="45"/>
    </row>
    <row r="126" s="1" customFormat="1" ht="35" customHeight="1" spans="1:9">
      <c r="A126" s="58"/>
      <c r="B126" s="59"/>
      <c r="C126" s="60"/>
      <c r="D126" s="61"/>
      <c r="E126" s="35">
        <v>0</v>
      </c>
      <c r="F126" s="15"/>
      <c r="G126" s="15"/>
      <c r="H126" s="15"/>
      <c r="I126" s="45"/>
    </row>
    <row r="127" s="1" customFormat="1" ht="35" customHeight="1" spans="1:9">
      <c r="A127" s="58"/>
      <c r="B127" s="59"/>
      <c r="C127" s="60"/>
      <c r="D127" s="61"/>
      <c r="E127" s="35">
        <v>0</v>
      </c>
      <c r="F127" s="15"/>
      <c r="G127" s="15"/>
      <c r="H127" s="15"/>
      <c r="I127" s="45"/>
    </row>
    <row r="128" s="1" customFormat="1" ht="35" customHeight="1" spans="1:9">
      <c r="A128" s="58"/>
      <c r="B128" s="59"/>
      <c r="C128" s="56" t="s">
        <v>59</v>
      </c>
      <c r="D128" s="57"/>
      <c r="E128" s="66"/>
      <c r="F128" s="15"/>
      <c r="G128" s="15"/>
      <c r="H128" s="15"/>
      <c r="I128" s="45"/>
    </row>
    <row r="129" s="1" customFormat="1" ht="35" customHeight="1" spans="1:9">
      <c r="A129" s="58"/>
      <c r="B129" s="59"/>
      <c r="C129" s="60"/>
      <c r="D129" s="61"/>
      <c r="E129" s="78">
        <v>0</v>
      </c>
      <c r="F129" s="15"/>
      <c r="G129" s="15"/>
      <c r="H129" s="15"/>
      <c r="I129" s="45"/>
    </row>
    <row r="130" s="1" customFormat="1" ht="35" customHeight="1" spans="1:9">
      <c r="A130" s="58"/>
      <c r="B130" s="59"/>
      <c r="C130" s="60"/>
      <c r="D130" s="61"/>
      <c r="E130" s="78">
        <v>0</v>
      </c>
      <c r="F130" s="15"/>
      <c r="G130" s="15"/>
      <c r="H130" s="15"/>
      <c r="I130" s="45"/>
    </row>
    <row r="131" s="1" customFormat="1" ht="35" customHeight="1" spans="1:9">
      <c r="A131" s="58"/>
      <c r="B131" s="59"/>
      <c r="C131" s="60"/>
      <c r="D131" s="61"/>
      <c r="E131" s="78">
        <v>0</v>
      </c>
      <c r="F131" s="15"/>
      <c r="G131" s="15"/>
      <c r="H131" s="15"/>
      <c r="I131" s="45"/>
    </row>
    <row r="132" s="1" customFormat="1" ht="35" customHeight="1" spans="1:9">
      <c r="A132" s="58"/>
      <c r="B132" s="59"/>
      <c r="C132" s="60"/>
      <c r="D132" s="61"/>
      <c r="E132" s="78">
        <v>0</v>
      </c>
      <c r="F132" s="15"/>
      <c r="G132" s="15"/>
      <c r="H132" s="15"/>
      <c r="I132" s="45"/>
    </row>
    <row r="133" s="1" customFormat="1" ht="35" customHeight="1" spans="1:9">
      <c r="A133" s="58"/>
      <c r="B133" s="59"/>
      <c r="C133" s="60"/>
      <c r="D133" s="61"/>
      <c r="E133" s="78">
        <v>0</v>
      </c>
      <c r="F133" s="15"/>
      <c r="G133" s="15"/>
      <c r="H133" s="15"/>
      <c r="I133" s="45"/>
    </row>
    <row r="134" s="1" customFormat="1" ht="35" customHeight="1" spans="1:9">
      <c r="A134" s="67"/>
      <c r="B134" s="68"/>
      <c r="C134" s="60"/>
      <c r="D134" s="61"/>
      <c r="E134" s="78">
        <v>0</v>
      </c>
      <c r="F134" s="15"/>
      <c r="G134" s="15"/>
      <c r="H134" s="15"/>
      <c r="I134" s="45"/>
    </row>
    <row r="135" s="1" customFormat="1" ht="35" customHeight="1" spans="1:9">
      <c r="A135" s="51" t="s">
        <v>60</v>
      </c>
      <c r="B135" s="69"/>
      <c r="C135" s="70"/>
      <c r="D135" s="71"/>
      <c r="E135" s="78">
        <f>C96</f>
        <v>0</v>
      </c>
      <c r="F135" s="15"/>
      <c r="G135" s="15"/>
      <c r="H135" s="15"/>
      <c r="I135" s="45"/>
    </row>
    <row r="136" s="1" customFormat="1" ht="35" customHeight="1" spans="1:9">
      <c r="A136" s="72"/>
      <c r="B136" s="73"/>
      <c r="C136" s="37" t="s">
        <v>61</v>
      </c>
      <c r="D136" s="37"/>
      <c r="E136" s="79">
        <f ca="1">(F16+E116)-(SUM(E118:E127)+SUM(E129:E135))</f>
        <v>0</v>
      </c>
      <c r="F136" s="15"/>
      <c r="G136" s="15"/>
      <c r="H136" s="15"/>
      <c r="I136" s="45"/>
    </row>
    <row r="137" s="1" customFormat="1" ht="35" customHeight="1" spans="1:9">
      <c r="A137" s="15"/>
      <c r="B137" s="15"/>
      <c r="C137" s="15"/>
      <c r="D137" s="15"/>
      <c r="E137" s="15"/>
      <c r="F137" s="15"/>
      <c r="G137" s="15"/>
      <c r="H137" s="15"/>
      <c r="I137" s="45"/>
    </row>
    <row r="138" s="1" customFormat="1" ht="35" customHeight="1" spans="1:9">
      <c r="A138" s="15"/>
      <c r="B138" s="15"/>
      <c r="C138" s="15"/>
      <c r="D138" s="15"/>
      <c r="E138" s="15"/>
      <c r="F138" s="15"/>
      <c r="G138" s="15"/>
      <c r="H138" s="15"/>
      <c r="I138" s="45"/>
    </row>
    <row r="139" s="1" customFormat="1" ht="35" customHeight="1" spans="1:9">
      <c r="A139" s="15"/>
      <c r="B139" s="15"/>
      <c r="C139" s="15"/>
      <c r="D139" s="15"/>
      <c r="E139" s="15"/>
      <c r="F139" s="15"/>
      <c r="G139" s="15"/>
      <c r="H139" s="15"/>
      <c r="I139" s="45"/>
    </row>
    <row r="140" s="1" customFormat="1" ht="35" customHeight="1" spans="1:9">
      <c r="A140" s="15"/>
      <c r="B140" s="15"/>
      <c r="C140" s="15"/>
      <c r="D140" s="15"/>
      <c r="E140" s="15"/>
      <c r="F140" s="15"/>
      <c r="G140" s="15"/>
      <c r="H140" s="15"/>
      <c r="I140" s="45"/>
    </row>
    <row r="141" s="1" customFormat="1" ht="35" customHeight="1" spans="1:9">
      <c r="A141" s="48" t="str">
        <f>"Debts Or Credits For the Comming "&amp;IF(Main!B2,TEXT(EDATE(Main!B3,22),"mmmm dd yyyy"),TEXT(Main!B3+((Main!B5-Main!B3)*22+22),"dd mmmm yyyy"))&amp;" to "&amp;IF(Main!B2,TEXT(EDATE(Main!B3,23)-1,"mmmm dd yyyy"),TEXT(Main!B3+((Main!B5-Main!B3)*23+22),"mmmm dd yyyy"))</f>
        <v>Debts Or Credits For the Comming March 01 2027 to March 31 2027</v>
      </c>
      <c r="B141" s="49"/>
      <c r="C141" s="49"/>
      <c r="D141" s="49"/>
      <c r="E141" s="50"/>
      <c r="F141" s="15"/>
      <c r="G141" s="15"/>
      <c r="H141" s="15"/>
      <c r="I141" s="45"/>
    </row>
    <row r="142" s="1" customFormat="1" ht="35" customHeight="1" spans="1:9">
      <c r="A142" s="48" t="s">
        <v>57</v>
      </c>
      <c r="B142" s="50"/>
      <c r="C142" s="74" t="s">
        <v>44</v>
      </c>
      <c r="D142" s="75"/>
      <c r="E142" s="80" t="s">
        <v>45</v>
      </c>
      <c r="F142" s="15"/>
      <c r="G142" s="15"/>
      <c r="H142" s="15"/>
      <c r="I142" s="45"/>
    </row>
    <row r="143" s="1" customFormat="1" ht="35" customHeight="1" spans="1:9">
      <c r="A143" s="51" t="str">
        <f>"Balance Brought Forward From "&amp;IF(Main!B2,TEXT(EDATE(Main!B3,22)-1,"mmmm yyyy"),TEXT(Main!B3+((Main!B5-Main!B3)*22+21),"mmmm yyyy"))</f>
        <v>Balance Brought Forward From February 2027</v>
      </c>
      <c r="B143" s="52"/>
      <c r="C143" s="53"/>
      <c r="D143" s="53"/>
      <c r="E143" s="79">
        <f ca="1">E136</f>
        <v>0</v>
      </c>
      <c r="F143" s="15"/>
      <c r="G143" s="15"/>
      <c r="H143" s="15"/>
      <c r="I143" s="45"/>
    </row>
    <row r="144" s="1" customFormat="1" ht="35" customHeight="1" spans="1:9">
      <c r="A144" s="54" t="s">
        <v>52</v>
      </c>
      <c r="B144" s="55"/>
      <c r="C144" s="76" t="s">
        <v>58</v>
      </c>
      <c r="D144" s="77"/>
      <c r="E144" s="81"/>
      <c r="F144" s="15"/>
      <c r="G144" s="15"/>
      <c r="H144" s="15"/>
      <c r="I144" s="45"/>
    </row>
    <row r="145" s="1" customFormat="1" ht="35" customHeight="1" spans="1:9">
      <c r="A145" s="58"/>
      <c r="B145" s="59"/>
      <c r="C145" s="60"/>
      <c r="D145" s="61"/>
      <c r="E145" s="35">
        <v>0</v>
      </c>
      <c r="F145" s="15"/>
      <c r="G145" s="15"/>
      <c r="H145" s="15"/>
      <c r="I145" s="45"/>
    </row>
    <row r="146" s="1" customFormat="1" ht="35" customHeight="1" spans="1:9">
      <c r="A146" s="58"/>
      <c r="B146" s="59"/>
      <c r="C146" s="60"/>
      <c r="D146" s="61"/>
      <c r="E146" s="35">
        <v>0</v>
      </c>
      <c r="F146" s="15"/>
      <c r="G146" s="15"/>
      <c r="H146" s="15"/>
      <c r="I146" s="45"/>
    </row>
    <row r="147" s="1" customFormat="1" ht="35" customHeight="1" spans="1:9">
      <c r="A147" s="58"/>
      <c r="B147" s="59"/>
      <c r="C147" s="60"/>
      <c r="D147" s="61"/>
      <c r="E147" s="35">
        <v>0</v>
      </c>
      <c r="F147" s="15"/>
      <c r="G147" s="15"/>
      <c r="H147" s="15"/>
      <c r="I147" s="45"/>
    </row>
    <row r="148" s="1" customFormat="1" ht="35" customHeight="1" spans="1:9">
      <c r="A148" s="58"/>
      <c r="B148" s="59"/>
      <c r="C148" s="60"/>
      <c r="D148" s="61"/>
      <c r="E148" s="35">
        <v>0</v>
      </c>
      <c r="F148" s="15"/>
      <c r="G148" s="15"/>
      <c r="H148" s="15"/>
      <c r="I148" s="45"/>
    </row>
    <row r="149" s="1" customFormat="1" ht="35" customHeight="1" spans="1:9">
      <c r="A149" s="58"/>
      <c r="B149" s="59"/>
      <c r="C149" s="60"/>
      <c r="D149" s="61"/>
      <c r="E149" s="35">
        <v>0</v>
      </c>
      <c r="F149" s="15"/>
      <c r="G149" s="15"/>
      <c r="H149" s="15"/>
      <c r="I149" s="45"/>
    </row>
    <row r="150" s="1" customFormat="1" ht="35" customHeight="1" spans="1:9">
      <c r="A150" s="58"/>
      <c r="B150" s="59"/>
      <c r="C150" s="60"/>
      <c r="D150" s="61"/>
      <c r="E150" s="35">
        <v>0</v>
      </c>
      <c r="F150" s="15"/>
      <c r="G150" s="15"/>
      <c r="H150" s="15"/>
      <c r="I150" s="45"/>
    </row>
    <row r="151" s="1" customFormat="1" ht="35" customHeight="1" spans="1:9">
      <c r="A151" s="58"/>
      <c r="B151" s="59"/>
      <c r="C151" s="60"/>
      <c r="D151" s="61"/>
      <c r="E151" s="35">
        <v>0</v>
      </c>
      <c r="F151" s="15"/>
      <c r="G151" s="15"/>
      <c r="H151" s="15"/>
      <c r="I151" s="45"/>
    </row>
    <row r="152" s="1" customFormat="1" ht="35" customHeight="1" spans="1:9">
      <c r="A152" s="58"/>
      <c r="B152" s="59"/>
      <c r="C152" s="60"/>
      <c r="D152" s="61"/>
      <c r="E152" s="35">
        <v>0</v>
      </c>
      <c r="F152" s="15"/>
      <c r="G152" s="15"/>
      <c r="H152" s="15"/>
      <c r="I152" s="45"/>
    </row>
    <row r="153" s="1" customFormat="1" ht="35" customHeight="1" spans="1:9">
      <c r="A153" s="58"/>
      <c r="B153" s="59"/>
      <c r="C153" s="60"/>
      <c r="D153" s="61"/>
      <c r="E153" s="35">
        <v>0</v>
      </c>
      <c r="F153" s="15"/>
      <c r="G153" s="15"/>
      <c r="H153" s="15"/>
      <c r="I153" s="45"/>
    </row>
    <row r="154" s="1" customFormat="1" ht="35" customHeight="1" spans="1:9">
      <c r="A154" s="58"/>
      <c r="B154" s="59"/>
      <c r="C154" s="60"/>
      <c r="D154" s="61"/>
      <c r="E154" s="35">
        <v>0</v>
      </c>
      <c r="F154" s="15"/>
      <c r="G154" s="15"/>
      <c r="H154" s="15"/>
      <c r="I154" s="45"/>
    </row>
    <row r="155" s="1" customFormat="1" ht="35" customHeight="1" spans="1:9">
      <c r="A155" s="58"/>
      <c r="B155" s="59"/>
      <c r="C155" s="56" t="s">
        <v>59</v>
      </c>
      <c r="D155" s="57"/>
      <c r="E155" s="66"/>
      <c r="F155" s="15"/>
      <c r="G155" s="15"/>
      <c r="H155" s="15"/>
      <c r="I155" s="45"/>
    </row>
    <row r="156" s="1" customFormat="1" ht="35" customHeight="1" spans="1:9">
      <c r="A156" s="58"/>
      <c r="B156" s="59"/>
      <c r="C156" s="60"/>
      <c r="D156" s="61"/>
      <c r="E156" s="78">
        <v>0</v>
      </c>
      <c r="F156" s="15"/>
      <c r="G156" s="15"/>
      <c r="H156" s="15"/>
      <c r="I156" s="45"/>
    </row>
    <row r="157" s="1" customFormat="1" ht="35" customHeight="1" spans="1:9">
      <c r="A157" s="58"/>
      <c r="B157" s="59"/>
      <c r="C157" s="60"/>
      <c r="D157" s="61"/>
      <c r="E157" s="78">
        <v>0</v>
      </c>
      <c r="F157" s="15"/>
      <c r="G157" s="15"/>
      <c r="H157" s="15"/>
      <c r="I157" s="45"/>
    </row>
    <row r="158" s="1" customFormat="1" ht="35" customHeight="1" spans="1:9">
      <c r="A158" s="58"/>
      <c r="B158" s="59"/>
      <c r="C158" s="60"/>
      <c r="D158" s="61"/>
      <c r="E158" s="78">
        <v>0</v>
      </c>
      <c r="F158" s="15"/>
      <c r="G158" s="15"/>
      <c r="H158" s="15"/>
      <c r="I158" s="45"/>
    </row>
    <row r="159" s="1" customFormat="1" ht="35" customHeight="1" spans="1:9">
      <c r="A159" s="58"/>
      <c r="B159" s="59"/>
      <c r="C159" s="60"/>
      <c r="D159" s="61"/>
      <c r="E159" s="78">
        <v>0</v>
      </c>
      <c r="F159" s="15"/>
      <c r="G159" s="15"/>
      <c r="H159" s="15"/>
      <c r="I159" s="45"/>
    </row>
    <row r="160" s="1" customFormat="1" ht="35" customHeight="1" spans="1:9">
      <c r="A160" s="58"/>
      <c r="B160" s="59"/>
      <c r="C160" s="60"/>
      <c r="D160" s="61"/>
      <c r="E160" s="78">
        <v>0</v>
      </c>
      <c r="F160" s="15"/>
      <c r="G160" s="15"/>
      <c r="H160" s="15"/>
      <c r="I160" s="45"/>
    </row>
    <row r="161" s="1" customFormat="1" ht="35" customHeight="1" spans="1:9">
      <c r="A161" s="67"/>
      <c r="B161" s="68"/>
      <c r="C161" s="60"/>
      <c r="D161" s="61"/>
      <c r="E161" s="78">
        <v>0</v>
      </c>
      <c r="F161" s="15"/>
      <c r="G161" s="15"/>
      <c r="H161" s="15"/>
      <c r="I161" s="45"/>
    </row>
    <row r="162" s="1" customFormat="1" ht="35" customHeight="1" spans="1:9">
      <c r="A162" s="51" t="s">
        <v>60</v>
      </c>
      <c r="B162" s="69"/>
      <c r="C162" s="70"/>
      <c r="D162" s="71"/>
      <c r="E162" s="78">
        <f>C96</f>
        <v>0</v>
      </c>
      <c r="F162" s="15"/>
      <c r="G162" s="15"/>
      <c r="H162" s="15"/>
      <c r="I162" s="45"/>
    </row>
    <row r="163" s="1" customFormat="1" ht="35" customHeight="1" spans="1:9">
      <c r="A163" s="72"/>
      <c r="B163" s="73"/>
      <c r="C163" s="37" t="s">
        <v>61</v>
      </c>
      <c r="D163" s="37"/>
      <c r="E163" s="65">
        <f ca="1">(F28+E143)-(SUM(E145:E154)+SUM(E156:E162))</f>
        <v>0</v>
      </c>
      <c r="F163" s="15"/>
      <c r="G163" s="15"/>
      <c r="H163" s="15"/>
      <c r="I163" s="45"/>
    </row>
    <row r="164" s="1" customFormat="1" ht="35" customHeight="1" spans="1:9">
      <c r="A164" s="15"/>
      <c r="B164" s="15"/>
      <c r="C164" s="15"/>
      <c r="D164" s="15"/>
      <c r="E164" s="15"/>
      <c r="F164" s="15"/>
      <c r="G164" s="15"/>
      <c r="H164" s="15"/>
      <c r="I164" s="45"/>
    </row>
    <row r="165" s="1" customFormat="1" ht="35" customHeight="1" spans="1:9">
      <c r="A165" s="15"/>
      <c r="B165" s="15"/>
      <c r="C165" s="15"/>
      <c r="D165" s="15"/>
      <c r="E165" s="15"/>
      <c r="F165" s="15"/>
      <c r="G165" s="15"/>
      <c r="H165" s="15"/>
      <c r="I165" s="45"/>
    </row>
    <row r="166" s="1" customFormat="1" ht="35" customHeight="1" spans="1:9">
      <c r="A166" s="15"/>
      <c r="B166" s="15"/>
      <c r="C166" s="15"/>
      <c r="D166" s="15"/>
      <c r="E166" s="15"/>
      <c r="F166" s="15"/>
      <c r="G166" s="15"/>
      <c r="H166" s="15"/>
      <c r="I166" s="45"/>
    </row>
    <row r="167" s="1" customFormat="1" ht="35" customHeight="1" spans="1:9">
      <c r="A167" s="15"/>
      <c r="B167" s="15"/>
      <c r="C167" s="15"/>
      <c r="D167" s="15"/>
      <c r="E167" s="15"/>
      <c r="F167" s="15"/>
      <c r="G167" s="15"/>
      <c r="H167" s="15"/>
      <c r="I167" s="45"/>
    </row>
    <row r="168" s="1" customFormat="1" ht="35" customHeight="1" spans="1:9">
      <c r="A168" s="48" t="str">
        <f>"Debts Or Credits For the Comming "&amp;IF(Main!B2,TEXT(EDATE(Main!B3,23),"mmmm dd yyyy"),TEXT(Main!B3+((Main!B5-Main!B3)*23+23),"mmmm dd yyyy"))&amp;" to "&amp;IF(Main!B2,TEXT(EDATE(Main!B3,24)-1,"mmmm dd yyyy"),TEXT(Main!B3+((Main!B5-Main!B3)*24+23),"mmmm dd yyyy"))</f>
        <v>Debts Or Credits For the Comming April 01 2027 to April 30 2027</v>
      </c>
      <c r="B168" s="49"/>
      <c r="C168" s="49"/>
      <c r="D168" s="49"/>
      <c r="E168" s="50"/>
      <c r="F168" s="15"/>
      <c r="G168" s="15"/>
      <c r="H168" s="15"/>
      <c r="I168" s="45"/>
    </row>
    <row r="169" s="1" customFormat="1" ht="35" customHeight="1" spans="1:9">
      <c r="A169" s="48" t="s">
        <v>57</v>
      </c>
      <c r="B169" s="50"/>
      <c r="C169" s="74" t="s">
        <v>44</v>
      </c>
      <c r="D169" s="75"/>
      <c r="E169" s="80" t="s">
        <v>45</v>
      </c>
      <c r="F169" s="15"/>
      <c r="G169" s="15"/>
      <c r="H169" s="15"/>
      <c r="I169" s="45"/>
    </row>
    <row r="170" s="1" customFormat="1" ht="35" customHeight="1" spans="1:9">
      <c r="A170" s="51" t="str">
        <f>"Balance Brought Forward From "&amp;IF(Main!B2,TEXT(EDATE(Main!B3,23)-1,"mmmm yyyy"),TEXT(Main!B3+((Main!B5-Main!B3)*23+22),"mmmm yyyy"))</f>
        <v>Balance Brought Forward From March 2027</v>
      </c>
      <c r="B170" s="52"/>
      <c r="C170" s="53"/>
      <c r="D170" s="53"/>
      <c r="E170" s="65">
        <f ca="1">E163</f>
        <v>0</v>
      </c>
      <c r="F170" s="15"/>
      <c r="G170" s="15"/>
      <c r="H170" s="15"/>
      <c r="I170" s="45"/>
    </row>
    <row r="171" s="1" customFormat="1" ht="35" customHeight="1" spans="1:9">
      <c r="A171" s="54" t="s">
        <v>52</v>
      </c>
      <c r="B171" s="55"/>
      <c r="C171" s="76" t="s">
        <v>58</v>
      </c>
      <c r="D171" s="77"/>
      <c r="E171" s="81"/>
      <c r="F171" s="15"/>
      <c r="G171" s="15"/>
      <c r="H171" s="15"/>
      <c r="I171" s="45"/>
    </row>
    <row r="172" s="1" customFormat="1" ht="35" customHeight="1" spans="1:9">
      <c r="A172" s="58"/>
      <c r="B172" s="59"/>
      <c r="C172" s="60"/>
      <c r="D172" s="61"/>
      <c r="E172" s="35">
        <v>0</v>
      </c>
      <c r="F172" s="15"/>
      <c r="G172" s="15"/>
      <c r="H172" s="15"/>
      <c r="I172" s="45"/>
    </row>
    <row r="173" s="1" customFormat="1" ht="35" customHeight="1" spans="1:9">
      <c r="A173" s="58"/>
      <c r="B173" s="59"/>
      <c r="C173" s="60"/>
      <c r="D173" s="61"/>
      <c r="E173" s="35">
        <v>0</v>
      </c>
      <c r="F173" s="15"/>
      <c r="G173" s="15"/>
      <c r="H173" s="15"/>
      <c r="I173" s="45"/>
    </row>
    <row r="174" s="1" customFormat="1" ht="35" customHeight="1" spans="1:9">
      <c r="A174" s="58"/>
      <c r="B174" s="59"/>
      <c r="C174" s="60"/>
      <c r="D174" s="61"/>
      <c r="E174" s="35">
        <v>0</v>
      </c>
      <c r="F174" s="15"/>
      <c r="G174" s="15"/>
      <c r="H174" s="15"/>
      <c r="I174" s="45"/>
    </row>
    <row r="175" s="1" customFormat="1" ht="35" customHeight="1" spans="1:9">
      <c r="A175" s="58"/>
      <c r="B175" s="59"/>
      <c r="C175" s="60"/>
      <c r="D175" s="61"/>
      <c r="E175" s="35">
        <v>0</v>
      </c>
      <c r="F175" s="15"/>
      <c r="G175" s="15"/>
      <c r="H175" s="15"/>
      <c r="I175" s="45"/>
    </row>
    <row r="176" s="1" customFormat="1" ht="35" customHeight="1" spans="1:9">
      <c r="A176" s="58"/>
      <c r="B176" s="59"/>
      <c r="C176" s="60"/>
      <c r="D176" s="61"/>
      <c r="E176" s="35">
        <v>0</v>
      </c>
      <c r="F176" s="15"/>
      <c r="G176" s="15"/>
      <c r="H176" s="15"/>
      <c r="I176" s="45"/>
    </row>
    <row r="177" s="1" customFormat="1" ht="35" customHeight="1" spans="1:9">
      <c r="A177" s="58"/>
      <c r="B177" s="59"/>
      <c r="C177" s="60"/>
      <c r="D177" s="61"/>
      <c r="E177" s="35">
        <v>0</v>
      </c>
      <c r="F177" s="15"/>
      <c r="G177" s="15"/>
      <c r="H177" s="15"/>
      <c r="I177" s="45"/>
    </row>
    <row r="178" s="1" customFormat="1" ht="35" customHeight="1" spans="1:9">
      <c r="A178" s="58"/>
      <c r="B178" s="59"/>
      <c r="C178" s="60"/>
      <c r="D178" s="61"/>
      <c r="E178" s="35">
        <v>0</v>
      </c>
      <c r="F178" s="15"/>
      <c r="G178" s="15"/>
      <c r="H178" s="15"/>
      <c r="I178" s="45"/>
    </row>
    <row r="179" s="1" customFormat="1" ht="35" customHeight="1" spans="1:9">
      <c r="A179" s="58"/>
      <c r="B179" s="59"/>
      <c r="C179" s="60"/>
      <c r="D179" s="61"/>
      <c r="E179" s="35">
        <v>0</v>
      </c>
      <c r="F179" s="15"/>
      <c r="G179" s="15"/>
      <c r="H179" s="15"/>
      <c r="I179" s="45"/>
    </row>
    <row r="180" s="1" customFormat="1" ht="35" customHeight="1" spans="1:9">
      <c r="A180" s="58"/>
      <c r="B180" s="59"/>
      <c r="C180" s="60"/>
      <c r="D180" s="61"/>
      <c r="E180" s="35">
        <v>0</v>
      </c>
      <c r="F180" s="15"/>
      <c r="G180" s="15"/>
      <c r="H180" s="15"/>
      <c r="I180" s="45"/>
    </row>
    <row r="181" s="1" customFormat="1" ht="35" customHeight="1" spans="1:9">
      <c r="A181" s="58"/>
      <c r="B181" s="59"/>
      <c r="C181" s="60"/>
      <c r="D181" s="61"/>
      <c r="E181" s="35">
        <v>0</v>
      </c>
      <c r="F181" s="15"/>
      <c r="G181" s="15"/>
      <c r="H181" s="15"/>
      <c r="I181" s="45"/>
    </row>
    <row r="182" s="1" customFormat="1" ht="35" customHeight="1" spans="1:9">
      <c r="A182" s="58"/>
      <c r="B182" s="59"/>
      <c r="C182" s="56" t="s">
        <v>59</v>
      </c>
      <c r="D182" s="57"/>
      <c r="E182" s="66"/>
      <c r="F182" s="15"/>
      <c r="G182" s="15"/>
      <c r="H182" s="15"/>
      <c r="I182" s="45"/>
    </row>
    <row r="183" s="1" customFormat="1" ht="35" customHeight="1" spans="1:9">
      <c r="A183" s="58"/>
      <c r="B183" s="59"/>
      <c r="C183" s="60"/>
      <c r="D183" s="61"/>
      <c r="E183" s="78">
        <v>0</v>
      </c>
      <c r="F183" s="15"/>
      <c r="G183" s="15"/>
      <c r="H183" s="15"/>
      <c r="I183" s="45"/>
    </row>
    <row r="184" s="1" customFormat="1" ht="35" customHeight="1" spans="1:9">
      <c r="A184" s="58"/>
      <c r="B184" s="59"/>
      <c r="C184" s="60"/>
      <c r="D184" s="61"/>
      <c r="E184" s="78">
        <v>0</v>
      </c>
      <c r="F184" s="15"/>
      <c r="G184" s="15"/>
      <c r="H184" s="15"/>
      <c r="I184" s="45"/>
    </row>
    <row r="185" s="1" customFormat="1" ht="35" customHeight="1" spans="1:9">
      <c r="A185" s="58"/>
      <c r="B185" s="59"/>
      <c r="C185" s="60"/>
      <c r="D185" s="61"/>
      <c r="E185" s="78">
        <v>0</v>
      </c>
      <c r="F185" s="15"/>
      <c r="G185" s="15"/>
      <c r="H185" s="15"/>
      <c r="I185" s="45"/>
    </row>
    <row r="186" s="1" customFormat="1" ht="35" customHeight="1" spans="1:9">
      <c r="A186" s="58"/>
      <c r="B186" s="59"/>
      <c r="C186" s="60"/>
      <c r="D186" s="61"/>
      <c r="E186" s="78">
        <v>0</v>
      </c>
      <c r="F186" s="15"/>
      <c r="G186" s="15"/>
      <c r="H186" s="15"/>
      <c r="I186" s="45"/>
    </row>
    <row r="187" s="1" customFormat="1" ht="35" customHeight="1" spans="1:9">
      <c r="A187" s="58"/>
      <c r="B187" s="59"/>
      <c r="C187" s="60"/>
      <c r="D187" s="61"/>
      <c r="E187" s="78">
        <v>0</v>
      </c>
      <c r="F187" s="15"/>
      <c r="G187" s="15"/>
      <c r="H187" s="15"/>
      <c r="I187" s="45"/>
    </row>
    <row r="188" s="1" customFormat="1" ht="35" customHeight="1" spans="1:9">
      <c r="A188" s="67"/>
      <c r="B188" s="68"/>
      <c r="C188" s="60"/>
      <c r="D188" s="61"/>
      <c r="E188" s="78">
        <v>0</v>
      </c>
      <c r="F188" s="15"/>
      <c r="G188" s="15"/>
      <c r="H188" s="15"/>
      <c r="I188" s="45"/>
    </row>
    <row r="189" s="1" customFormat="1" ht="35" customHeight="1" spans="1:9">
      <c r="A189" s="51" t="s">
        <v>60</v>
      </c>
      <c r="B189" s="69"/>
      <c r="C189" s="70"/>
      <c r="D189" s="71"/>
      <c r="E189" s="78">
        <f>C96</f>
        <v>0</v>
      </c>
      <c r="F189" s="15"/>
      <c r="G189" s="15"/>
      <c r="H189" s="15"/>
      <c r="I189" s="45"/>
    </row>
    <row r="190" s="1" customFormat="1" ht="35" customHeight="1" spans="1:9">
      <c r="A190" s="72"/>
      <c r="B190" s="73"/>
      <c r="C190" s="37" t="s">
        <v>61</v>
      </c>
      <c r="D190" s="37"/>
      <c r="E190" s="65">
        <f ca="1">(F40+E170)-(SUM(E172:E181)+SUM(E183:E189))</f>
        <v>0</v>
      </c>
      <c r="F190" s="15"/>
      <c r="G190" s="15"/>
      <c r="H190" s="15"/>
      <c r="I190" s="45"/>
    </row>
    <row r="191" s="1" customFormat="1" ht="35" customHeight="1" spans="1:9">
      <c r="A191" s="15"/>
      <c r="B191" s="15"/>
      <c r="C191" s="15"/>
      <c r="D191" s="15"/>
      <c r="E191" s="15"/>
      <c r="F191" s="15"/>
      <c r="G191" s="15"/>
      <c r="H191" s="15"/>
      <c r="I191" s="45"/>
    </row>
    <row r="192" ht="24.75" customHeight="1" spans="1:9">
      <c r="A192" s="82"/>
      <c r="B192" s="82"/>
      <c r="C192" s="82"/>
      <c r="D192" s="82"/>
      <c r="E192" s="82"/>
      <c r="F192" s="82"/>
      <c r="G192" s="82"/>
      <c r="H192" s="82"/>
      <c r="I192" s="82"/>
    </row>
    <row r="193" ht="24.75" customHeight="1" spans="1:9">
      <c r="A193" s="82"/>
      <c r="B193" s="82"/>
      <c r="C193" s="82"/>
      <c r="D193" s="82"/>
      <c r="E193" s="82"/>
      <c r="F193" s="82"/>
      <c r="G193" s="82"/>
      <c r="H193" s="82"/>
      <c r="I193" s="82"/>
    </row>
  </sheetData>
  <sheetProtection sheet="1" formatCells="0" formatColumns="0" formatRows="0" objects="1"/>
  <protectedRanges>
    <protectedRange sqref="A10:G15" name="R1"/>
    <protectedRange sqref="A22:G27" name="R2"/>
    <protectedRange sqref="A34:G39" name="R3"/>
    <protectedRange sqref="A46:C46 C47:C54" name="F1"/>
    <protectedRange sqref="C56:C65" name="F2"/>
    <protectedRange sqref="C67:C74" name="F3"/>
    <protectedRange sqref="C76:C84" name="F4"/>
    <protectedRange sqref="C86:C95" name="F5"/>
    <protectedRange sqref="C117:E134" name="E1"/>
    <protectedRange sqref="C144:E161" name="E2"/>
    <protectedRange sqref="C171:E188" name="E3"/>
    <protectedRange sqref="A56:B56" name="F2_1"/>
    <protectedRange sqref="A67:B67" name="F3_1"/>
    <protectedRange sqref="A76:B76" name="F4_1"/>
    <protectedRange sqref="A86:B86" name="F5_1"/>
  </protectedRanges>
  <mergeCells count="174">
    <mergeCell ref="A1:G1"/>
    <mergeCell ref="C2:G2"/>
    <mergeCell ref="C3:G3"/>
    <mergeCell ref="A4:B4"/>
    <mergeCell ref="C4:G4"/>
    <mergeCell ref="A5:B5"/>
    <mergeCell ref="C5:G5"/>
    <mergeCell ref="A8:G8"/>
    <mergeCell ref="B9:C9"/>
    <mergeCell ref="D9:E9"/>
    <mergeCell ref="F9:G9"/>
    <mergeCell ref="B10:C10"/>
    <mergeCell ref="D10:E10"/>
    <mergeCell ref="F10:G10"/>
    <mergeCell ref="B11:C11"/>
    <mergeCell ref="D11:E11"/>
    <mergeCell ref="F11:G11"/>
    <mergeCell ref="B12:C12"/>
    <mergeCell ref="D12:E12"/>
    <mergeCell ref="F12:G12"/>
    <mergeCell ref="B13:C13"/>
    <mergeCell ref="D13:E13"/>
    <mergeCell ref="F13:G13"/>
    <mergeCell ref="B14:C14"/>
    <mergeCell ref="D14:E14"/>
    <mergeCell ref="F14:G14"/>
    <mergeCell ref="B15:C15"/>
    <mergeCell ref="D15:E15"/>
    <mergeCell ref="F15:G15"/>
    <mergeCell ref="B16:C16"/>
    <mergeCell ref="D16:E16"/>
    <mergeCell ref="F16:G16"/>
    <mergeCell ref="A20:G20"/>
    <mergeCell ref="B21:C21"/>
    <mergeCell ref="D21:E21"/>
    <mergeCell ref="F21:G21"/>
    <mergeCell ref="B22:C22"/>
    <mergeCell ref="D22:E22"/>
    <mergeCell ref="F22:G22"/>
    <mergeCell ref="B23:C23"/>
    <mergeCell ref="D23:E23"/>
    <mergeCell ref="F23:G23"/>
    <mergeCell ref="B24:C24"/>
    <mergeCell ref="D24:E24"/>
    <mergeCell ref="F24:G24"/>
    <mergeCell ref="B25:C25"/>
    <mergeCell ref="D25:E25"/>
    <mergeCell ref="F25:G25"/>
    <mergeCell ref="B26:C26"/>
    <mergeCell ref="D26:E26"/>
    <mergeCell ref="F26:G26"/>
    <mergeCell ref="B27:C27"/>
    <mergeCell ref="D27:E27"/>
    <mergeCell ref="F27:G27"/>
    <mergeCell ref="B28:C28"/>
    <mergeCell ref="D28:E28"/>
    <mergeCell ref="F28:G28"/>
    <mergeCell ref="A32:G32"/>
    <mergeCell ref="B33:C33"/>
    <mergeCell ref="D33:E33"/>
    <mergeCell ref="F33:G33"/>
    <mergeCell ref="B34:C34"/>
    <mergeCell ref="D34:E34"/>
    <mergeCell ref="F34:G34"/>
    <mergeCell ref="B35:C35"/>
    <mergeCell ref="D35:E35"/>
    <mergeCell ref="F35:G35"/>
    <mergeCell ref="B36:C36"/>
    <mergeCell ref="D36:E36"/>
    <mergeCell ref="F36:G36"/>
    <mergeCell ref="B37:C37"/>
    <mergeCell ref="D37:E37"/>
    <mergeCell ref="F37:G37"/>
    <mergeCell ref="B38:C38"/>
    <mergeCell ref="D38:E38"/>
    <mergeCell ref="F38:G38"/>
    <mergeCell ref="B39:C39"/>
    <mergeCell ref="D39:E39"/>
    <mergeCell ref="F39:G39"/>
    <mergeCell ref="B40:C40"/>
    <mergeCell ref="D40:E40"/>
    <mergeCell ref="F40:G40"/>
    <mergeCell ref="A44:C44"/>
    <mergeCell ref="A46:C46"/>
    <mergeCell ref="A56:C56"/>
    <mergeCell ref="A67:C67"/>
    <mergeCell ref="A76:C76"/>
    <mergeCell ref="A86:C86"/>
    <mergeCell ref="A97:C97"/>
    <mergeCell ref="A114:E114"/>
    <mergeCell ref="A115:B115"/>
    <mergeCell ref="C115:D115"/>
    <mergeCell ref="A116:B116"/>
    <mergeCell ref="C116:D116"/>
    <mergeCell ref="C117:D117"/>
    <mergeCell ref="C118:D118"/>
    <mergeCell ref="C119:D119"/>
    <mergeCell ref="C120:D120"/>
    <mergeCell ref="C121:D121"/>
    <mergeCell ref="C122:D122"/>
    <mergeCell ref="C123:D123"/>
    <mergeCell ref="C124:D124"/>
    <mergeCell ref="C125:D125"/>
    <mergeCell ref="C126:D126"/>
    <mergeCell ref="C127:D127"/>
    <mergeCell ref="C128:D128"/>
    <mergeCell ref="C129:D129"/>
    <mergeCell ref="C130:D130"/>
    <mergeCell ref="C131:D131"/>
    <mergeCell ref="C132:D132"/>
    <mergeCell ref="C133:D133"/>
    <mergeCell ref="C134:D134"/>
    <mergeCell ref="A135:B135"/>
    <mergeCell ref="C135:D135"/>
    <mergeCell ref="A136:B136"/>
    <mergeCell ref="C136:D136"/>
    <mergeCell ref="A141:E141"/>
    <mergeCell ref="A142:B142"/>
    <mergeCell ref="C142:D142"/>
    <mergeCell ref="A143:B143"/>
    <mergeCell ref="C143:D143"/>
    <mergeCell ref="C144:D144"/>
    <mergeCell ref="C145:D145"/>
    <mergeCell ref="C146:D146"/>
    <mergeCell ref="C147:D147"/>
    <mergeCell ref="C148:D148"/>
    <mergeCell ref="C149:D149"/>
    <mergeCell ref="C150:D150"/>
    <mergeCell ref="C151:D151"/>
    <mergeCell ref="C152:D152"/>
    <mergeCell ref="C153:D153"/>
    <mergeCell ref="C154:D154"/>
    <mergeCell ref="C155:D155"/>
    <mergeCell ref="C156:D156"/>
    <mergeCell ref="C157:D157"/>
    <mergeCell ref="C158:D158"/>
    <mergeCell ref="C159:D159"/>
    <mergeCell ref="C160:D160"/>
    <mergeCell ref="C161:D161"/>
    <mergeCell ref="A162:B162"/>
    <mergeCell ref="C162:D162"/>
    <mergeCell ref="A163:B163"/>
    <mergeCell ref="C163:D163"/>
    <mergeCell ref="A168:E168"/>
    <mergeCell ref="A169:B169"/>
    <mergeCell ref="C169:D169"/>
    <mergeCell ref="A170:B170"/>
    <mergeCell ref="C170:D170"/>
    <mergeCell ref="C171:D171"/>
    <mergeCell ref="C172:D172"/>
    <mergeCell ref="C173:D173"/>
    <mergeCell ref="C174:D174"/>
    <mergeCell ref="C175:D175"/>
    <mergeCell ref="C176:D176"/>
    <mergeCell ref="C177:D177"/>
    <mergeCell ref="C178:D178"/>
    <mergeCell ref="C179:D179"/>
    <mergeCell ref="C180:D180"/>
    <mergeCell ref="C181:D181"/>
    <mergeCell ref="C182:D182"/>
    <mergeCell ref="C183:D183"/>
    <mergeCell ref="C184:D184"/>
    <mergeCell ref="C185:D185"/>
    <mergeCell ref="C186:D186"/>
    <mergeCell ref="C187:D187"/>
    <mergeCell ref="C188:D188"/>
    <mergeCell ref="A189:B189"/>
    <mergeCell ref="C189:D189"/>
    <mergeCell ref="A190:B190"/>
    <mergeCell ref="C190:D190"/>
    <mergeCell ref="A2:A3"/>
    <mergeCell ref="A117:B134"/>
    <mergeCell ref="A144:B161"/>
    <mergeCell ref="A171:B188"/>
  </mergeCells>
  <conditionalFormatting sqref="C5">
    <cfRule type="cellIs" dxfId="0" priority="6" operator="equal">
      <formula>0</formula>
    </cfRule>
    <cfRule type="cellIs" dxfId="1" priority="5" operator="greaterThan">
      <formula>0</formula>
    </cfRule>
  </conditionalFormatting>
  <conditionalFormatting sqref="C75">
    <cfRule type="cellIs" dxfId="0" priority="55" operator="equal">
      <formula>0</formula>
    </cfRule>
    <cfRule type="cellIs" dxfId="1" priority="54" operator="greaterThan">
      <formula>0</formula>
    </cfRule>
  </conditionalFormatting>
  <conditionalFormatting sqref="C77">
    <cfRule type="cellIs" dxfId="0" priority="53" operator="equal">
      <formula>0</formula>
    </cfRule>
    <cfRule type="cellIs" dxfId="1" priority="52" operator="greaterThan">
      <formula>0</formula>
    </cfRule>
  </conditionalFormatting>
  <conditionalFormatting sqref="C108">
    <cfRule type="cellIs" dxfId="0" priority="4" operator="greaterThanOrEqual">
      <formula>0</formula>
    </cfRule>
    <cfRule type="cellIs" dxfId="1" priority="3" operator="lessThan">
      <formula>0</formula>
    </cfRule>
  </conditionalFormatting>
  <conditionalFormatting sqref="C109">
    <cfRule type="cellIs" dxfId="0" priority="2" operator="greaterThanOrEqual">
      <formula>0</formula>
    </cfRule>
    <cfRule type="cellIs" dxfId="1" priority="1" operator="lessThan">
      <formula>0</formula>
    </cfRule>
  </conditionalFormatting>
  <conditionalFormatting sqref="E116">
    <cfRule type="cellIs" dxfId="3" priority="16" operator="greaterThanOrEqual">
      <formula>0</formula>
    </cfRule>
    <cfRule type="cellIs" dxfId="4" priority="15" operator="lessThan">
      <formula>0</formula>
    </cfRule>
  </conditionalFormatting>
  <conditionalFormatting sqref="E136">
    <cfRule type="cellIs" dxfId="3" priority="47" operator="greaterThanOrEqual">
      <formula>0</formula>
    </cfRule>
    <cfRule type="cellIs" dxfId="4" priority="46" operator="lessThan">
      <formula>0</formula>
    </cfRule>
  </conditionalFormatting>
  <conditionalFormatting sqref="E143">
    <cfRule type="cellIs" dxfId="3" priority="34" operator="greaterThanOrEqual">
      <formula>0</formula>
    </cfRule>
    <cfRule type="cellIs" dxfId="4" priority="33" operator="lessThan">
      <formula>0</formula>
    </cfRule>
  </conditionalFormatting>
  <conditionalFormatting sqref="E163">
    <cfRule type="cellIs" dxfId="3" priority="36" operator="greaterThanOrEqual">
      <formula>0</formula>
    </cfRule>
    <cfRule type="cellIs" dxfId="4" priority="35" operator="lessThan">
      <formula>0</formula>
    </cfRule>
  </conditionalFormatting>
  <conditionalFormatting sqref="E170">
    <cfRule type="cellIs" dxfId="3" priority="28" operator="greaterThanOrEqual">
      <formula>0</formula>
    </cfRule>
    <cfRule type="cellIs" dxfId="4" priority="27" operator="lessThan">
      <formula>0</formula>
    </cfRule>
  </conditionalFormatting>
  <conditionalFormatting sqref="E190">
    <cfRule type="cellIs" dxfId="3" priority="30" operator="greaterThanOrEqual">
      <formula>0</formula>
    </cfRule>
    <cfRule type="cellIs" dxfId="4" priority="29" operator="lessThan">
      <formula>0</formula>
    </cfRule>
  </conditionalFormatting>
  <conditionalFormatting sqref="C57:C66">
    <cfRule type="cellIs" dxfId="0" priority="59" operator="equal">
      <formula>0</formula>
    </cfRule>
    <cfRule type="cellIs" dxfId="1" priority="58" operator="greaterThan">
      <formula>0</formula>
    </cfRule>
  </conditionalFormatting>
  <conditionalFormatting sqref="C68:C69">
    <cfRule type="cellIs" dxfId="0" priority="57" operator="equal">
      <formula>0</formula>
    </cfRule>
    <cfRule type="cellIs" dxfId="1" priority="56" operator="greaterThan">
      <formula>0</formula>
    </cfRule>
  </conditionalFormatting>
  <conditionalFormatting sqref="C70:C74">
    <cfRule type="cellIs" dxfId="0" priority="45" operator="equal">
      <formula>0</formula>
    </cfRule>
    <cfRule type="cellIs" dxfId="1" priority="44" operator="greaterThan">
      <formula>0</formula>
    </cfRule>
  </conditionalFormatting>
  <conditionalFormatting sqref="C78:C79">
    <cfRule type="cellIs" dxfId="0" priority="14" operator="equal">
      <formula>0</formula>
    </cfRule>
    <cfRule type="cellIs" dxfId="1" priority="13" operator="greaterThan">
      <formula>0</formula>
    </cfRule>
  </conditionalFormatting>
  <conditionalFormatting sqref="C80:C84">
    <cfRule type="cellIs" dxfId="0" priority="43" operator="equal">
      <formula>0</formula>
    </cfRule>
    <cfRule type="cellIs" dxfId="1" priority="42" operator="greaterThan">
      <formula>0</formula>
    </cfRule>
  </conditionalFormatting>
  <conditionalFormatting sqref="C87:C89">
    <cfRule type="cellIs" dxfId="0" priority="51" operator="equal">
      <formula>0</formula>
    </cfRule>
    <cfRule type="cellIs" dxfId="1" priority="50" operator="greaterThan">
      <formula>0</formula>
    </cfRule>
  </conditionalFormatting>
  <conditionalFormatting sqref="C90:C91">
    <cfRule type="cellIs" dxfId="0" priority="12" operator="equal">
      <formula>0</formula>
    </cfRule>
    <cfRule type="cellIs" dxfId="1" priority="11" operator="greaterThan">
      <formula>0</formula>
    </cfRule>
  </conditionalFormatting>
  <conditionalFormatting sqref="C92:C94">
    <cfRule type="cellIs" dxfId="0" priority="41" operator="equal">
      <formula>0</formula>
    </cfRule>
    <cfRule type="cellIs" dxfId="1" priority="40" operator="greaterThan">
      <formula>0</formula>
    </cfRule>
  </conditionalFormatting>
  <conditionalFormatting sqref="C98:C107">
    <cfRule type="cellIs" dxfId="1" priority="24" operator="lessThan">
      <formula>0</formula>
    </cfRule>
    <cfRule type="cellIs" dxfId="2" priority="23" operator="greaterThanOrEqual">
      <formula>0</formula>
    </cfRule>
  </conditionalFormatting>
  <conditionalFormatting sqref="E118:E127">
    <cfRule type="cellIs" dxfId="0" priority="22" operator="equal">
      <formula>0</formula>
    </cfRule>
    <cfRule type="cellIs" dxfId="1" priority="21" operator="greaterThan">
      <formula>0</formula>
    </cfRule>
  </conditionalFormatting>
  <conditionalFormatting sqref="E145:E154">
    <cfRule type="cellIs" dxfId="0" priority="20" operator="equal">
      <formula>0</formula>
    </cfRule>
    <cfRule type="cellIs" dxfId="1" priority="19" operator="greaterThan">
      <formula>0</formula>
    </cfRule>
  </conditionalFormatting>
  <conditionalFormatting sqref="E172:E181">
    <cfRule type="cellIs" dxfId="0" priority="18" operator="equal">
      <formula>0</formula>
    </cfRule>
    <cfRule type="cellIs" dxfId="1" priority="17" operator="greaterThan">
      <formula>0</formula>
    </cfRule>
  </conditionalFormatting>
  <conditionalFormatting sqref="C47:C55 C85 C95:C96">
    <cfRule type="cellIs" dxfId="0" priority="61" operator="equal">
      <formula>0</formula>
    </cfRule>
  </conditionalFormatting>
  <conditionalFormatting sqref="C47:C55 C85 C95:C96 E144 E155:E162">
    <cfRule type="cellIs" dxfId="1" priority="60" operator="greaterThan">
      <formula>0</formula>
    </cfRule>
  </conditionalFormatting>
  <conditionalFormatting sqref="E117 E128:E135">
    <cfRule type="cellIs" dxfId="0" priority="49" operator="equal">
      <formula>0</formula>
    </cfRule>
    <cfRule type="cellIs" dxfId="1" priority="48" operator="greaterThan">
      <formula>0</formula>
    </cfRule>
  </conditionalFormatting>
  <conditionalFormatting sqref="E144 E155:E162">
    <cfRule type="cellIs" dxfId="2" priority="37" operator="equal">
      <formula>0</formula>
    </cfRule>
  </conditionalFormatting>
  <conditionalFormatting sqref="E171 E182:E189">
    <cfRule type="cellIs" dxfId="2" priority="32" operator="equal">
      <formula>0</formula>
    </cfRule>
    <cfRule type="cellIs" dxfId="1" priority="31" operator="greaterThan">
      <formula>0</formula>
    </cfRule>
  </conditionalFormatting>
  <pageMargins left="0.7" right="0.7" top="0.75" bottom="0.75" header="0.3" footer="0.3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93"/>
  <sheetViews>
    <sheetView topLeftCell="A2" workbookViewId="0">
      <selection activeCell="D6" sqref="D6"/>
    </sheetView>
  </sheetViews>
  <sheetFormatPr defaultColWidth="9" defaultRowHeight="17.6"/>
  <cols>
    <col min="1" max="7" width="25.6111111111111" customWidth="1"/>
    <col min="8" max="8" width="20.625" customWidth="1"/>
  </cols>
  <sheetData>
    <row r="1" s="1" customFormat="1" ht="35" customHeight="1" spans="1:9">
      <c r="A1" s="2" t="str">
        <f>"Forecasts For the Year "&amp;IF(Main!B2,TEXT(EDATE(Main!B3,24),"mmmm yyyy"),TEXT(Main!B3+((Main!B5-Main!B3)*24+24),"mmmm yyyy"))&amp;" to "&amp;IF(Main!B2,TEXT(EDATE(Main!B3,27)-1,"mmmm yyyy"),TEXT(Main!B3+((Main!B5-Main!B3)*27+26),"mmmm yyyy"))</f>
        <v>Forecasts For the Year May 2027 to July 2027</v>
      </c>
      <c r="B1" s="2"/>
      <c r="C1" s="2"/>
      <c r="D1" s="2"/>
      <c r="E1" s="2"/>
      <c r="F1" s="2"/>
      <c r="G1" s="2"/>
      <c r="H1" s="38"/>
      <c r="I1" s="38"/>
    </row>
    <row r="2" s="1" customFormat="1" ht="35" customHeight="1" spans="1:9">
      <c r="A2" s="3" t="s">
        <v>33</v>
      </c>
      <c r="B2" s="4" t="s">
        <v>62</v>
      </c>
      <c r="C2" s="5" cm="1">
        <f ca="1" t="array" ref="C2">INDIRECT("'"&amp;Main!B9&amp;"'!$C$16")</f>
        <v>0</v>
      </c>
      <c r="D2" s="5"/>
      <c r="E2" s="5"/>
      <c r="F2" s="5"/>
      <c r="G2" s="5"/>
      <c r="H2" s="38"/>
      <c r="I2" s="38"/>
    </row>
    <row r="3" s="1" customFormat="1" ht="35" customHeight="1" spans="1:9">
      <c r="A3" s="6"/>
      <c r="B3" s="7" t="s">
        <v>63</v>
      </c>
      <c r="C3" s="8">
        <f ca="1">E190</f>
        <v>0</v>
      </c>
      <c r="D3" s="8"/>
      <c r="E3" s="8"/>
      <c r="F3" s="8"/>
      <c r="G3" s="8"/>
      <c r="H3" s="38"/>
      <c r="I3" s="38"/>
    </row>
    <row r="4" s="1" customFormat="1" ht="35" customHeight="1" spans="1:9">
      <c r="A4" s="9" t="s">
        <v>42</v>
      </c>
      <c r="B4" s="10"/>
      <c r="C4" s="11">
        <f ca="1">SUM(C2:G3)</f>
        <v>0</v>
      </c>
      <c r="D4" s="11"/>
      <c r="E4" s="11"/>
      <c r="F4" s="11"/>
      <c r="G4" s="11"/>
      <c r="H4" s="15"/>
      <c r="I4" s="45"/>
    </row>
    <row r="5" s="1" customFormat="1" ht="35" customHeight="1" spans="1:9">
      <c r="A5" s="12" t="s">
        <v>64</v>
      </c>
      <c r="B5" s="12"/>
      <c r="C5" s="13">
        <f ca="1">C108</f>
        <v>0</v>
      </c>
      <c r="D5" s="14"/>
      <c r="E5" s="14"/>
      <c r="F5" s="14"/>
      <c r="G5" s="14"/>
      <c r="H5" s="15"/>
      <c r="I5" s="45"/>
    </row>
    <row r="6" s="1" customFormat="1" ht="35" customHeight="1" spans="1:9">
      <c r="A6" s="15"/>
      <c r="B6" s="15"/>
      <c r="C6" s="15"/>
      <c r="D6" s="15"/>
      <c r="E6" s="15"/>
      <c r="F6" s="15"/>
      <c r="G6" s="15"/>
      <c r="H6" s="15"/>
      <c r="I6" s="45"/>
    </row>
    <row r="7" s="1" customFormat="1" ht="35" customHeight="1" spans="1:9">
      <c r="A7" s="15"/>
      <c r="B7" s="15"/>
      <c r="C7" s="15"/>
      <c r="D7" s="15"/>
      <c r="E7" s="15"/>
      <c r="F7" s="15"/>
      <c r="G7" s="15"/>
      <c r="H7" s="15"/>
      <c r="I7" s="45"/>
    </row>
    <row r="8" s="1" customFormat="1" ht="35" customHeight="1" spans="1:9">
      <c r="A8" s="16" t="str">
        <f>IF(Main!B2,TEXT(EDATE(Main!B3,24),"dd mmmm yyyy"),TEXT(Main!B3+((Main!B5-Main!B3)*24+24),"dd mmmm yyyy"))&amp;" - "&amp;IF(Main!B2,TEXT(EDATE(Main!B3,25)-1,"dd mmmm yyyy"),TEXT(Main!B3+((Main!B5-Main!B3)*25+24),"dd mmmm yyyy"))&amp;" / "&amp;" (Revenue / Deferred Debts Or Expenses)"</f>
        <v>01 May 2027 - 31 May 2027 /  (Revenue / Deferred Debts Or Expenses)</v>
      </c>
      <c r="B8" s="17"/>
      <c r="C8" s="17"/>
      <c r="D8" s="17"/>
      <c r="E8" s="17"/>
      <c r="F8" s="17"/>
      <c r="G8" s="17"/>
      <c r="H8" s="15"/>
      <c r="I8" s="45"/>
    </row>
    <row r="9" s="1" customFormat="1" ht="35" customHeight="1" spans="1:9">
      <c r="A9" s="18" t="s">
        <v>29</v>
      </c>
      <c r="B9" s="18" t="s">
        <v>43</v>
      </c>
      <c r="C9" s="18"/>
      <c r="D9" s="18" t="s">
        <v>44</v>
      </c>
      <c r="E9" s="18"/>
      <c r="F9" s="18" t="s">
        <v>45</v>
      </c>
      <c r="G9" s="18"/>
      <c r="H9" s="15"/>
      <c r="I9" s="45"/>
    </row>
    <row r="10" s="1" customFormat="1" ht="35" customHeight="1" spans="1:9">
      <c r="A10" s="19"/>
      <c r="B10" s="20"/>
      <c r="C10" s="20"/>
      <c r="D10" s="20"/>
      <c r="E10" s="20"/>
      <c r="F10" s="39">
        <v>0</v>
      </c>
      <c r="G10" s="40"/>
      <c r="H10" s="15"/>
      <c r="I10" s="45"/>
    </row>
    <row r="11" s="1" customFormat="1" ht="35" customHeight="1" spans="1:9">
      <c r="A11" s="19"/>
      <c r="B11" s="21"/>
      <c r="C11" s="22"/>
      <c r="D11" s="23"/>
      <c r="E11" s="41"/>
      <c r="F11" s="39">
        <v>0</v>
      </c>
      <c r="G11" s="40"/>
      <c r="H11" s="15"/>
      <c r="I11" s="45"/>
    </row>
    <row r="12" s="1" customFormat="1" ht="35" customHeight="1" spans="1:9">
      <c r="A12" s="19"/>
      <c r="B12" s="21"/>
      <c r="C12" s="22"/>
      <c r="D12" s="23"/>
      <c r="E12" s="41"/>
      <c r="F12" s="39">
        <v>0</v>
      </c>
      <c r="G12" s="40"/>
      <c r="H12" s="15"/>
      <c r="I12" s="45"/>
    </row>
    <row r="13" s="1" customFormat="1" ht="35" customHeight="1" spans="1:9">
      <c r="A13" s="19"/>
      <c r="B13" s="21"/>
      <c r="C13" s="22"/>
      <c r="D13" s="23"/>
      <c r="E13" s="41"/>
      <c r="F13" s="39">
        <v>0</v>
      </c>
      <c r="G13" s="40"/>
      <c r="H13" s="15"/>
      <c r="I13" s="45"/>
    </row>
    <row r="14" s="1" customFormat="1" ht="35" customHeight="1" spans="1:9">
      <c r="A14" s="19"/>
      <c r="B14" s="21"/>
      <c r="C14" s="22"/>
      <c r="D14" s="23"/>
      <c r="E14" s="41"/>
      <c r="F14" s="39">
        <v>0</v>
      </c>
      <c r="G14" s="40"/>
      <c r="H14" s="15"/>
      <c r="I14" s="45"/>
    </row>
    <row r="15" s="1" customFormat="1" ht="35" customHeight="1" spans="1:9">
      <c r="A15" s="19"/>
      <c r="B15" s="21"/>
      <c r="C15" s="22"/>
      <c r="D15" s="23"/>
      <c r="E15" s="41"/>
      <c r="F15" s="39">
        <v>0</v>
      </c>
      <c r="G15" s="40"/>
      <c r="H15" s="15"/>
      <c r="I15" s="45"/>
    </row>
    <row r="16" s="1" customFormat="1" ht="35" customHeight="1" spans="1:9">
      <c r="A16" s="24"/>
      <c r="B16" s="25"/>
      <c r="C16" s="26"/>
      <c r="D16" s="27" t="s">
        <v>46</v>
      </c>
      <c r="E16" s="42"/>
      <c r="F16" s="43">
        <f>SUM(F10:G15)</f>
        <v>0</v>
      </c>
      <c r="G16" s="44"/>
      <c r="H16" s="15"/>
      <c r="I16" s="45"/>
    </row>
    <row r="17" s="1" customFormat="1" ht="35" customHeight="1" spans="1:9">
      <c r="A17" s="15"/>
      <c r="B17" s="15"/>
      <c r="C17" s="15"/>
      <c r="D17" s="15"/>
      <c r="E17" s="15"/>
      <c r="F17" s="15"/>
      <c r="G17" s="15"/>
      <c r="H17" s="15"/>
      <c r="I17" s="45"/>
    </row>
    <row r="18" s="1" customFormat="1" ht="35" customHeight="1" spans="1:9">
      <c r="A18" s="15"/>
      <c r="B18" s="15"/>
      <c r="C18" s="15"/>
      <c r="D18" s="15"/>
      <c r="E18" s="15"/>
      <c r="F18" s="15"/>
      <c r="G18" s="15"/>
      <c r="H18" s="15"/>
      <c r="I18" s="45"/>
    </row>
    <row r="19" s="1" customFormat="1" ht="35" customHeight="1" spans="1:9">
      <c r="A19" s="15"/>
      <c r="B19" s="15"/>
      <c r="C19" s="15"/>
      <c r="D19" s="15"/>
      <c r="E19" s="15"/>
      <c r="F19" s="15"/>
      <c r="G19" s="15"/>
      <c r="H19" s="15"/>
      <c r="I19" s="45"/>
    </row>
    <row r="20" s="1" customFormat="1" ht="35" customHeight="1" spans="1:9">
      <c r="A20" s="16" t="str">
        <f>IF(Main!B2,TEXT(EDATE(Main!B3,25),"dd mmmm yyyy"),TEXT(Main!B3+((Main!B5-Main!B3)*25+25),"dd mmmm yyyy"))&amp;" - "&amp;IF(Main!B2,TEXT(EDATE(Main!B3,26)-1,"dd mmmm yyyy"),TEXT(Main!B3+((Main!B5-Main!B3)*26+25),"dd mmmm yyyy"))&amp;" / "&amp;" (Revenue / Deferred Debts Or Expenses)"</f>
        <v>01 June 2027 - 30 June 2027 /  (Revenue / Deferred Debts Or Expenses)</v>
      </c>
      <c r="B20" s="17"/>
      <c r="C20" s="17"/>
      <c r="D20" s="17"/>
      <c r="E20" s="17"/>
      <c r="F20" s="17"/>
      <c r="G20" s="17"/>
      <c r="H20" s="15"/>
      <c r="I20" s="45"/>
    </row>
    <row r="21" s="1" customFormat="1" ht="35" customHeight="1" spans="1:9">
      <c r="A21" s="18" t="s">
        <v>29</v>
      </c>
      <c r="B21" s="18" t="s">
        <v>43</v>
      </c>
      <c r="C21" s="18"/>
      <c r="D21" s="18" t="s">
        <v>44</v>
      </c>
      <c r="E21" s="18"/>
      <c r="F21" s="18" t="s">
        <v>45</v>
      </c>
      <c r="G21" s="18"/>
      <c r="H21" s="15"/>
      <c r="I21" s="45"/>
    </row>
    <row r="22" s="1" customFormat="1" ht="35" customHeight="1" spans="1:9">
      <c r="A22" s="19"/>
      <c r="B22" s="20"/>
      <c r="C22" s="20"/>
      <c r="D22" s="20"/>
      <c r="E22" s="20"/>
      <c r="F22" s="39">
        <v>0</v>
      </c>
      <c r="G22" s="40"/>
      <c r="H22" s="15"/>
      <c r="I22" s="45"/>
    </row>
    <row r="23" s="1" customFormat="1" ht="35" customHeight="1" spans="1:9">
      <c r="A23" s="19"/>
      <c r="B23" s="21"/>
      <c r="C23" s="22"/>
      <c r="D23" s="23"/>
      <c r="E23" s="41"/>
      <c r="F23" s="39">
        <v>0</v>
      </c>
      <c r="G23" s="40"/>
      <c r="H23" s="15"/>
      <c r="I23" s="45"/>
    </row>
    <row r="24" s="1" customFormat="1" ht="35" customHeight="1" spans="1:9">
      <c r="A24" s="19"/>
      <c r="B24" s="21"/>
      <c r="C24" s="22"/>
      <c r="D24" s="23"/>
      <c r="E24" s="41"/>
      <c r="F24" s="39">
        <v>0</v>
      </c>
      <c r="G24" s="40"/>
      <c r="H24" s="15"/>
      <c r="I24" s="45"/>
    </row>
    <row r="25" s="1" customFormat="1" ht="35" customHeight="1" spans="1:9">
      <c r="A25" s="19"/>
      <c r="B25" s="21"/>
      <c r="C25" s="22"/>
      <c r="D25" s="23"/>
      <c r="E25" s="41"/>
      <c r="F25" s="39">
        <v>0</v>
      </c>
      <c r="G25" s="40"/>
      <c r="H25" s="15"/>
      <c r="I25" s="45"/>
    </row>
    <row r="26" s="1" customFormat="1" ht="35" customHeight="1" spans="1:9">
      <c r="A26" s="19"/>
      <c r="B26" s="21"/>
      <c r="C26" s="22"/>
      <c r="D26" s="23"/>
      <c r="E26" s="41"/>
      <c r="F26" s="39">
        <v>0</v>
      </c>
      <c r="G26" s="40"/>
      <c r="H26" s="15"/>
      <c r="I26" s="45"/>
    </row>
    <row r="27" s="1" customFormat="1" ht="35" customHeight="1" spans="1:9">
      <c r="A27" s="19"/>
      <c r="B27" s="21"/>
      <c r="C27" s="22"/>
      <c r="D27" s="23"/>
      <c r="E27" s="41"/>
      <c r="F27" s="39">
        <v>0</v>
      </c>
      <c r="G27" s="40"/>
      <c r="H27" s="15"/>
      <c r="I27" s="45"/>
    </row>
    <row r="28" s="1" customFormat="1" ht="35" customHeight="1" spans="1:9">
      <c r="A28" s="24"/>
      <c r="B28" s="25"/>
      <c r="C28" s="26"/>
      <c r="D28" s="27" t="s">
        <v>46</v>
      </c>
      <c r="E28" s="42"/>
      <c r="F28" s="43">
        <f>SUM(F22:G27)</f>
        <v>0</v>
      </c>
      <c r="G28" s="44"/>
      <c r="H28" s="15"/>
      <c r="I28" s="45"/>
    </row>
    <row r="29" s="1" customFormat="1" ht="35" customHeight="1" spans="1:9">
      <c r="A29" s="15"/>
      <c r="B29" s="15"/>
      <c r="C29" s="15"/>
      <c r="D29" s="15"/>
      <c r="E29" s="15"/>
      <c r="F29" s="15"/>
      <c r="G29" s="15"/>
      <c r="H29" s="15"/>
      <c r="I29" s="45"/>
    </row>
    <row r="30" s="1" customFormat="1" ht="35" customHeight="1" spans="1:9">
      <c r="A30" s="15"/>
      <c r="B30" s="15"/>
      <c r="C30" s="15"/>
      <c r="D30" s="15"/>
      <c r="E30" s="15"/>
      <c r="F30" s="15"/>
      <c r="G30" s="15"/>
      <c r="H30" s="15"/>
      <c r="I30" s="45"/>
    </row>
    <row r="31" s="1" customFormat="1" ht="35" customHeight="1" spans="1:9">
      <c r="A31" s="15"/>
      <c r="B31" s="15"/>
      <c r="C31" s="15"/>
      <c r="D31" s="15"/>
      <c r="E31" s="15"/>
      <c r="F31" s="15"/>
      <c r="G31" s="15"/>
      <c r="H31" s="15"/>
      <c r="I31" s="45"/>
    </row>
    <row r="32" s="1" customFormat="1" ht="35" customHeight="1" spans="1:9">
      <c r="A32" s="16" t="str">
        <f>IF(Main!B2,TEXT(EDATE(Main!B3,26),"dd mmmm yyyy"),TEXT(Main!B3+((Main!B5-Main!B3)*26+26),"dd mmmm yyyy"))&amp;" - "&amp;IF(Main!B2,TEXT(EDATE(Main!B3,27)-1,"dd mmmm yyyy"),TEXT(Main!B3+((Main!B5-Main!B3)*27+26),"dd mmmm yyyy"))&amp;" / "&amp;" (Revenue / Deferred Debts Or Expenses)"</f>
        <v>01 July 2027 - 31 July 2027 /  (Revenue / Deferred Debts Or Expenses)</v>
      </c>
      <c r="B32" s="17"/>
      <c r="C32" s="17"/>
      <c r="D32" s="17"/>
      <c r="E32" s="17"/>
      <c r="F32" s="17"/>
      <c r="G32" s="17"/>
      <c r="H32" s="15"/>
      <c r="I32" s="45"/>
    </row>
    <row r="33" s="1" customFormat="1" ht="35" customHeight="1" spans="1:9">
      <c r="A33" s="18" t="s">
        <v>29</v>
      </c>
      <c r="B33" s="18" t="s">
        <v>43</v>
      </c>
      <c r="C33" s="18"/>
      <c r="D33" s="18" t="s">
        <v>44</v>
      </c>
      <c r="E33" s="18"/>
      <c r="F33" s="18" t="s">
        <v>45</v>
      </c>
      <c r="G33" s="18"/>
      <c r="H33" s="15"/>
      <c r="I33" s="45"/>
    </row>
    <row r="34" s="1" customFormat="1" ht="35" customHeight="1" spans="1:9">
      <c r="A34" s="19"/>
      <c r="B34" s="20"/>
      <c r="C34" s="20"/>
      <c r="D34" s="20"/>
      <c r="E34" s="20"/>
      <c r="F34" s="39">
        <v>0</v>
      </c>
      <c r="G34" s="40"/>
      <c r="H34" s="15"/>
      <c r="I34" s="45"/>
    </row>
    <row r="35" s="1" customFormat="1" ht="35" customHeight="1" spans="1:9">
      <c r="A35" s="19"/>
      <c r="B35" s="21"/>
      <c r="C35" s="22"/>
      <c r="D35" s="23"/>
      <c r="E35" s="41"/>
      <c r="F35" s="39">
        <v>0</v>
      </c>
      <c r="G35" s="40"/>
      <c r="H35" s="15"/>
      <c r="I35" s="45"/>
    </row>
    <row r="36" s="1" customFormat="1" ht="35" customHeight="1" spans="1:9">
      <c r="A36" s="19"/>
      <c r="B36" s="21"/>
      <c r="C36" s="22"/>
      <c r="D36" s="23"/>
      <c r="E36" s="41"/>
      <c r="F36" s="39">
        <v>0</v>
      </c>
      <c r="G36" s="40"/>
      <c r="H36" s="15"/>
      <c r="I36" s="45"/>
    </row>
    <row r="37" s="1" customFormat="1" ht="35" customHeight="1" spans="1:9">
      <c r="A37" s="19"/>
      <c r="B37" s="21"/>
      <c r="C37" s="22"/>
      <c r="D37" s="23"/>
      <c r="E37" s="41"/>
      <c r="F37" s="39">
        <v>0</v>
      </c>
      <c r="G37" s="40"/>
      <c r="H37" s="15"/>
      <c r="I37" s="45"/>
    </row>
    <row r="38" s="1" customFormat="1" ht="35" customHeight="1" spans="1:9">
      <c r="A38" s="19"/>
      <c r="B38" s="21"/>
      <c r="C38" s="22"/>
      <c r="D38" s="23"/>
      <c r="E38" s="41"/>
      <c r="F38" s="39">
        <v>0</v>
      </c>
      <c r="G38" s="40"/>
      <c r="H38" s="15"/>
      <c r="I38" s="45"/>
    </row>
    <row r="39" s="1" customFormat="1" ht="35" customHeight="1" spans="1:9">
      <c r="A39" s="19"/>
      <c r="B39" s="21"/>
      <c r="C39" s="22"/>
      <c r="D39" s="23"/>
      <c r="E39" s="41"/>
      <c r="F39" s="39">
        <v>0</v>
      </c>
      <c r="G39" s="40"/>
      <c r="H39" s="15"/>
      <c r="I39" s="45"/>
    </row>
    <row r="40" s="1" customFormat="1" ht="35" customHeight="1" spans="1:9">
      <c r="A40" s="24"/>
      <c r="B40" s="25"/>
      <c r="C40" s="26"/>
      <c r="D40" s="27" t="s">
        <v>46</v>
      </c>
      <c r="E40" s="42"/>
      <c r="F40" s="43">
        <f>SUM(F34:G39)</f>
        <v>0</v>
      </c>
      <c r="G40" s="44"/>
      <c r="H40" s="15"/>
      <c r="I40" s="45"/>
    </row>
    <row r="41" s="1" customFormat="1" ht="35" customHeight="1" spans="1:9">
      <c r="A41" s="15"/>
      <c r="B41" s="15"/>
      <c r="C41" s="15"/>
      <c r="D41" s="15"/>
      <c r="E41" s="15"/>
      <c r="F41" s="15"/>
      <c r="G41" s="15"/>
      <c r="H41" s="15"/>
      <c r="I41" s="45"/>
    </row>
    <row r="42" s="1" customFormat="1" ht="35" customHeight="1" spans="1:9">
      <c r="A42" s="15"/>
      <c r="B42" s="15"/>
      <c r="C42" s="15"/>
      <c r="D42" s="15"/>
      <c r="E42" s="15"/>
      <c r="F42" s="15"/>
      <c r="G42" s="15"/>
      <c r="H42" s="15"/>
      <c r="I42" s="45"/>
    </row>
    <row r="43" s="1" customFormat="1" ht="35" customHeight="1" spans="1:9">
      <c r="A43" s="15"/>
      <c r="B43" s="15"/>
      <c r="C43" s="15"/>
      <c r="D43" s="15"/>
      <c r="E43" s="15"/>
      <c r="F43" s="15"/>
      <c r="G43" s="15"/>
      <c r="H43" s="15"/>
      <c r="I43" s="45"/>
    </row>
    <row r="44" s="1" customFormat="1" ht="35" customHeight="1" spans="1:9">
      <c r="A44" s="28" t="str">
        <f>"Fixed Expense For the Year "&amp;IF(Main!B2,TEXT(EDATE(Main!B3,24),"mmmm yyyy"),TEXT(Main!B3+((Main!B5-Main!B3)*24+24),"mmmm yyyy"))&amp;" to "&amp;IF(Main!B2,TEXT(EDATE(Main!B3,27)-1,"mmmm yyyy"),TEXT(Main!B3+((Main!B5-Main!B3)*27+26),"mmmm yyyy"))</f>
        <v>Fixed Expense For the Year May 2027 to July 2027</v>
      </c>
      <c r="B44" s="29"/>
      <c r="C44" s="30"/>
      <c r="D44" s="15"/>
      <c r="E44" s="15"/>
      <c r="F44" s="15"/>
      <c r="G44" s="15"/>
      <c r="H44" s="15"/>
      <c r="I44" s="45"/>
    </row>
    <row r="45" s="1" customFormat="1" ht="35" customHeight="1" spans="1:9">
      <c r="A45" s="2" t="s">
        <v>43</v>
      </c>
      <c r="B45" s="2" t="s">
        <v>44</v>
      </c>
      <c r="C45" s="2" t="s">
        <v>45</v>
      </c>
      <c r="D45" s="15"/>
      <c r="E45" s="15"/>
      <c r="F45" s="15"/>
      <c r="G45" s="15"/>
      <c r="H45" s="15"/>
      <c r="I45" s="45"/>
    </row>
    <row r="46" s="1" customFormat="1" ht="35" customHeight="1" spans="1:9">
      <c r="A46" s="31" t="s">
        <v>47</v>
      </c>
      <c r="B46" s="32"/>
      <c r="C46" s="33"/>
      <c r="D46" s="15"/>
      <c r="E46" s="15"/>
      <c r="F46" s="15"/>
      <c r="G46" s="15"/>
      <c r="H46" s="15"/>
      <c r="I46" s="45"/>
    </row>
    <row r="47" s="1" customFormat="1" ht="35" customHeight="1" spans="1:9">
      <c r="A47" s="34" t="str" cm="1">
        <f ca="1" t="array" ref="A47">IF((INDIRECT("'"&amp;INDIRECT("Main!B9")&amp;"'!A61"))=0,"",(INDIRECT("'"&amp;INDIRECT("Main!B9")&amp;"'!A61")))</f>
        <v/>
      </c>
      <c r="B47" s="34" t="str" cm="1">
        <f ca="1" t="array" ref="B47">IF((INDIRECT("'"&amp;INDIRECT("Main!B9")&amp;"'!B61"))=0,"",(INDIRECT("'"&amp;INDIRECT("Main!B9")&amp;"'!B61")))</f>
        <v/>
      </c>
      <c r="C47" s="35">
        <v>0</v>
      </c>
      <c r="D47" s="15"/>
      <c r="E47" s="15"/>
      <c r="F47" s="15"/>
      <c r="G47" s="15"/>
      <c r="H47" s="15"/>
      <c r="I47" s="45"/>
    </row>
    <row r="48" s="1" customFormat="1" ht="35" customHeight="1" spans="1:9">
      <c r="A48" s="34" t="str" cm="1">
        <f ca="1" t="array" ref="A48">IF((INDIRECT("'"&amp;INDIRECT("Main!B9")&amp;"'!A62"))=0,"",(INDIRECT("'"&amp;INDIRECT("Main!B9")&amp;"'!A62")))</f>
        <v/>
      </c>
      <c r="B48" s="34" t="str" cm="1">
        <f ca="1" t="array" ref="B48">IF((INDIRECT("'"&amp;INDIRECT("Main!B9")&amp;"'!B62"))=0,"",(INDIRECT("'"&amp;INDIRECT("Main!B9")&amp;"'!B62")))</f>
        <v/>
      </c>
      <c r="C48" s="35">
        <v>0</v>
      </c>
      <c r="D48" s="15"/>
      <c r="E48" s="15"/>
      <c r="F48" s="15"/>
      <c r="G48" s="15"/>
      <c r="H48" s="15"/>
      <c r="I48" s="45"/>
    </row>
    <row r="49" s="1" customFormat="1" ht="35" customHeight="1" spans="1:9">
      <c r="A49" s="34" t="str" cm="1">
        <f ca="1" t="array" ref="A49">IF((INDIRECT("'"&amp;INDIRECT("Main!B9")&amp;"'!A63"))=0,"",(INDIRECT("'"&amp;INDIRECT("Main!B9")&amp;"'!A63")))</f>
        <v/>
      </c>
      <c r="B49" s="34" t="str" cm="1">
        <f ca="1" t="array" ref="B49">IF((INDIRECT("'"&amp;INDIRECT("Main!B9")&amp;"'!B63"))=0,"",(INDIRECT("'"&amp;INDIRECT("Main!B9")&amp;"'!B63")))</f>
        <v/>
      </c>
      <c r="C49" s="35">
        <v>0</v>
      </c>
      <c r="D49" s="15"/>
      <c r="E49" s="15"/>
      <c r="F49" s="15"/>
      <c r="G49" s="15"/>
      <c r="H49" s="15"/>
      <c r="I49" s="45"/>
    </row>
    <row r="50" s="1" customFormat="1" ht="35" customHeight="1" spans="1:9">
      <c r="A50" s="34" t="str" cm="1">
        <f ca="1" t="array" ref="A50">IF((INDIRECT("'"&amp;INDIRECT("Main!B9")&amp;"'!A64"))=0,"",(INDIRECT("'"&amp;INDIRECT("Main!B9")&amp;"'!A64")))</f>
        <v/>
      </c>
      <c r="B50" s="34" t="str" cm="1">
        <f ca="1" t="array" ref="B50">IF((INDIRECT("'"&amp;INDIRECT("Main!B9")&amp;"'!B64"))=0,"",(INDIRECT("'"&amp;INDIRECT("Main!B9")&amp;"'!B64")))</f>
        <v/>
      </c>
      <c r="C50" s="35">
        <v>0</v>
      </c>
      <c r="D50" s="15"/>
      <c r="E50" s="15"/>
      <c r="F50" s="15"/>
      <c r="G50" s="15"/>
      <c r="H50" s="15"/>
      <c r="I50" s="45"/>
    </row>
    <row r="51" s="1" customFormat="1" ht="35" customHeight="1" spans="1:9">
      <c r="A51" s="34" t="str" cm="1">
        <f ca="1" t="array" ref="A51">IF((INDIRECT("'"&amp;INDIRECT("Main!B9")&amp;"'!A65"))=0,"",(INDIRECT("'"&amp;INDIRECT("Main!B9")&amp;"'!A65")))</f>
        <v/>
      </c>
      <c r="B51" s="34" t="str" cm="1">
        <f ca="1" t="array" ref="B51">IF((INDIRECT("'"&amp;INDIRECT("Main!B9")&amp;"'!B65"))=0,"",(INDIRECT("'"&amp;INDIRECT("Main!B9")&amp;"'!B65")))</f>
        <v/>
      </c>
      <c r="C51" s="35">
        <v>0</v>
      </c>
      <c r="D51" s="15"/>
      <c r="E51" s="15"/>
      <c r="F51" s="15"/>
      <c r="G51" s="15"/>
      <c r="H51" s="15"/>
      <c r="I51" s="45"/>
    </row>
    <row r="52" s="1" customFormat="1" ht="35" customHeight="1" spans="1:9">
      <c r="A52" s="34" t="str" cm="1">
        <f ca="1" t="array" ref="A52">IF((INDIRECT("'"&amp;INDIRECT("Main!B9")&amp;"'!A66"))=0,"",(INDIRECT("'"&amp;INDIRECT("Main!B9")&amp;"'!A66")))</f>
        <v/>
      </c>
      <c r="B52" s="34" t="str" cm="1">
        <f ca="1" t="array" ref="B52">IF((INDIRECT("'"&amp;INDIRECT("Main!B9")&amp;"'!B66"))=0,"",(INDIRECT("'"&amp;INDIRECT("Main!B9")&amp;"'!B66")))</f>
        <v/>
      </c>
      <c r="C52" s="35">
        <v>0</v>
      </c>
      <c r="D52" s="15"/>
      <c r="E52" s="15"/>
      <c r="F52" s="15"/>
      <c r="G52" s="15"/>
      <c r="H52" s="15"/>
      <c r="I52" s="45"/>
    </row>
    <row r="53" s="1" customFormat="1" ht="35" customHeight="1" spans="1:9">
      <c r="A53" s="34" t="str" cm="1">
        <f ca="1" t="array" ref="A53">IF((INDIRECT("'"&amp;INDIRECT("Main!B9")&amp;"'!A67"))=0,"",(INDIRECT("'"&amp;INDIRECT("Main!B9")&amp;"'!A67")))</f>
        <v/>
      </c>
      <c r="B53" s="34" t="str" cm="1">
        <f ca="1" t="array" ref="B53">IF((INDIRECT("'"&amp;INDIRECT("Main!B9")&amp;"'!B67"))=0,"",(INDIRECT("'"&amp;INDIRECT("Main!B9")&amp;"'!B67")))</f>
        <v/>
      </c>
      <c r="C53" s="35">
        <v>0</v>
      </c>
      <c r="D53" s="15"/>
      <c r="E53" s="15"/>
      <c r="F53" s="15"/>
      <c r="G53" s="15"/>
      <c r="H53" s="15"/>
      <c r="I53" s="45"/>
    </row>
    <row r="54" s="1" customFormat="1" ht="35" customHeight="1" spans="1:9">
      <c r="A54" s="34" t="str" cm="1">
        <f ca="1" t="array" ref="A54">IF((INDIRECT("'"&amp;INDIRECT("Main!B9")&amp;"'!A68"))=0,"",(INDIRECT("'"&amp;INDIRECT("Main!B9")&amp;"'!A68")))</f>
        <v/>
      </c>
      <c r="B54" s="34" t="str" cm="1">
        <f ca="1" t="array" ref="B54">IF((INDIRECT("'"&amp;INDIRECT("Main!B9")&amp;"'!B68"))=0,"",(INDIRECT("'"&amp;INDIRECT("Main!B9")&amp;"'!B68")))</f>
        <v/>
      </c>
      <c r="C54" s="35">
        <v>0</v>
      </c>
      <c r="D54" s="15"/>
      <c r="E54" s="15"/>
      <c r="F54" s="15"/>
      <c r="G54" s="15"/>
      <c r="H54" s="15"/>
      <c r="I54" s="45"/>
    </row>
    <row r="55" s="1" customFormat="1" ht="35" customHeight="1" spans="1:9">
      <c r="A55" s="36"/>
      <c r="B55" s="37" t="s">
        <v>48</v>
      </c>
      <c r="C55" s="35">
        <f>SUM(C47:C54)</f>
        <v>0</v>
      </c>
      <c r="D55" s="15"/>
      <c r="E55" s="15"/>
      <c r="F55" s="15"/>
      <c r="G55" s="15"/>
      <c r="H55" s="15"/>
      <c r="I55" s="45"/>
    </row>
    <row r="56" s="1" customFormat="1" ht="35" customHeight="1" spans="1:9">
      <c r="A56" s="83" t="s">
        <v>49</v>
      </c>
      <c r="B56" s="84"/>
      <c r="C56" s="85"/>
      <c r="D56" s="15"/>
      <c r="E56" s="15"/>
      <c r="F56" s="15"/>
      <c r="G56" s="15"/>
      <c r="H56" s="15"/>
      <c r="I56" s="45"/>
    </row>
    <row r="57" s="1" customFormat="1" ht="35" customHeight="1" spans="1:9">
      <c r="A57" s="34" t="str" cm="1">
        <f ca="1" t="array" ref="A57">IF((INDIRECT("'"&amp;INDIRECT("Main!B9")&amp;"'!A71"))=0,"",(INDIRECT("'"&amp;INDIRECT("Main!B9")&amp;"'!A71")))</f>
        <v/>
      </c>
      <c r="B57" s="34" t="str" cm="1">
        <f ca="1" t="array" ref="B57">IF((INDIRECT("'"&amp;INDIRECT("Main!B9")&amp;"'!B71"))=0,"",(INDIRECT("'"&amp;INDIRECT("Main!B9")&amp;"'!B71")))</f>
        <v/>
      </c>
      <c r="C57" s="35">
        <v>0</v>
      </c>
      <c r="D57" s="15"/>
      <c r="E57" s="15"/>
      <c r="F57" s="15"/>
      <c r="G57" s="15"/>
      <c r="H57" s="15"/>
      <c r="I57" s="45"/>
    </row>
    <row r="58" s="1" customFormat="1" ht="35" customHeight="1" spans="1:9">
      <c r="A58" s="34" t="str" cm="1">
        <f ca="1" t="array" ref="A58">IF((INDIRECT("'"&amp;INDIRECT("Main!B9")&amp;"'!A72"))=0,"",(INDIRECT("'"&amp;INDIRECT("Main!B9")&amp;"'!A72")))</f>
        <v/>
      </c>
      <c r="B58" s="34" t="str" cm="1">
        <f ca="1" t="array" ref="B58">IF((INDIRECT("'"&amp;INDIRECT("Main!B9")&amp;"'!B72"))=0,"",(INDIRECT("'"&amp;INDIRECT("Main!B9")&amp;"'!B72")))</f>
        <v/>
      </c>
      <c r="C58" s="35">
        <v>0</v>
      </c>
      <c r="D58" s="15"/>
      <c r="E58" s="15"/>
      <c r="F58" s="15"/>
      <c r="G58" s="15"/>
      <c r="H58" s="15"/>
      <c r="I58" s="45"/>
    </row>
    <row r="59" s="1" customFormat="1" ht="35" customHeight="1" spans="1:9">
      <c r="A59" s="34" t="str" cm="1">
        <f ca="1" t="array" ref="A59">IF((INDIRECT("'"&amp;INDIRECT("Main!B9")&amp;"'!A73"))=0,"",(INDIRECT("'"&amp;INDIRECT("Main!B9")&amp;"'!A73")))</f>
        <v/>
      </c>
      <c r="B59" s="34" t="str" cm="1">
        <f ca="1" t="array" ref="B59">IF((INDIRECT("'"&amp;INDIRECT("Main!B9")&amp;"'!B73"))=0,"",(INDIRECT("'"&amp;INDIRECT("Main!B9")&amp;"'!B73")))</f>
        <v/>
      </c>
      <c r="C59" s="35">
        <v>0</v>
      </c>
      <c r="D59" s="15"/>
      <c r="E59" s="15"/>
      <c r="F59" s="15"/>
      <c r="G59" s="15"/>
      <c r="H59" s="15"/>
      <c r="I59" s="45"/>
    </row>
    <row r="60" s="1" customFormat="1" ht="35" customHeight="1" spans="1:9">
      <c r="A60" s="34" t="str" cm="1">
        <f ca="1" t="array" ref="A60">IF((INDIRECT("'"&amp;INDIRECT("Main!B9")&amp;"'!A74"))=0,"",(INDIRECT("'"&amp;INDIRECT("Main!B9")&amp;"'!A74")))</f>
        <v/>
      </c>
      <c r="B60" s="34" t="str" cm="1">
        <f ca="1" t="array" ref="B60">IF((INDIRECT("'"&amp;INDIRECT("Main!B9")&amp;"'!B74"))=0,"",(INDIRECT("'"&amp;INDIRECT("Main!B9")&amp;"'!B74")))</f>
        <v/>
      </c>
      <c r="C60" s="35">
        <v>0</v>
      </c>
      <c r="D60" s="15"/>
      <c r="E60" s="15"/>
      <c r="F60" s="15"/>
      <c r="G60" s="15"/>
      <c r="H60" s="15"/>
      <c r="I60" s="45"/>
    </row>
    <row r="61" s="1" customFormat="1" ht="35" customHeight="1" spans="1:9">
      <c r="A61" s="34" t="str" cm="1">
        <f ca="1" t="array" ref="A61">IF((INDIRECT("'"&amp;INDIRECT("Main!B9")&amp;"'!A75"))=0,"",(INDIRECT("'"&amp;INDIRECT("Main!B9")&amp;"'!A75")))</f>
        <v/>
      </c>
      <c r="B61" s="34" t="str" cm="1">
        <f ca="1" t="array" ref="B61">IF((INDIRECT("'"&amp;INDIRECT("Main!B9")&amp;"'!B75"))=0,"",(INDIRECT("'"&amp;INDIRECT("Main!B9")&amp;"'!B75")))</f>
        <v/>
      </c>
      <c r="C61" s="35">
        <v>0</v>
      </c>
      <c r="D61" s="15"/>
      <c r="E61" s="15"/>
      <c r="F61" s="15"/>
      <c r="G61" s="15"/>
      <c r="H61" s="15"/>
      <c r="I61" s="45"/>
    </row>
    <row r="62" s="1" customFormat="1" ht="35" customHeight="1" spans="1:9">
      <c r="A62" s="34" t="str" cm="1">
        <f ca="1" t="array" ref="A62">IF((INDIRECT("'"&amp;INDIRECT("Main!B9")&amp;"'!A76"))=0,"",(INDIRECT("'"&amp;INDIRECT("Main!B9")&amp;"'!A76")))</f>
        <v/>
      </c>
      <c r="B62" s="34" t="str" cm="1">
        <f ca="1" t="array" ref="B62">IF((INDIRECT("'"&amp;INDIRECT("Main!B9")&amp;"'!B76"))=0,"",(INDIRECT("'"&amp;INDIRECT("Main!B9")&amp;"'!B76")))</f>
        <v/>
      </c>
      <c r="C62" s="35">
        <v>0</v>
      </c>
      <c r="D62" s="15"/>
      <c r="E62" s="15"/>
      <c r="F62" s="15"/>
      <c r="G62" s="15"/>
      <c r="H62" s="15"/>
      <c r="I62" s="45"/>
    </row>
    <row r="63" s="1" customFormat="1" ht="35" customHeight="1" spans="1:9">
      <c r="A63" s="34" t="str" cm="1">
        <f ca="1" t="array" ref="A63">IF((INDIRECT("'"&amp;INDIRECT("Main!B9")&amp;"'!A77"))=0,"",(INDIRECT("'"&amp;INDIRECT("Main!B9")&amp;"'!A77")))</f>
        <v/>
      </c>
      <c r="B63" s="34" t="str" cm="1">
        <f ca="1" t="array" ref="B63">IF((INDIRECT("'"&amp;INDIRECT("Main!B9")&amp;"'!B77"))=0,"",(INDIRECT("'"&amp;INDIRECT("Main!B9")&amp;"'!B77")))</f>
        <v/>
      </c>
      <c r="C63" s="35">
        <v>0</v>
      </c>
      <c r="D63" s="15"/>
      <c r="E63" s="15"/>
      <c r="F63" s="15"/>
      <c r="G63" s="15"/>
      <c r="H63" s="15"/>
      <c r="I63" s="45"/>
    </row>
    <row r="64" s="1" customFormat="1" ht="35" customHeight="1" spans="1:9">
      <c r="A64" s="34" t="str" cm="1">
        <f ca="1" t="array" ref="A64">IF((INDIRECT("'"&amp;INDIRECT("Main!B9")&amp;"'!A78"))=0,"",(INDIRECT("'"&amp;INDIRECT("Main!B9")&amp;"'!A78")))</f>
        <v/>
      </c>
      <c r="B64" s="34" t="str" cm="1">
        <f ca="1" t="array" ref="B64">IF((INDIRECT("'"&amp;INDIRECT("Main!B9")&amp;"'!B78"))=0,"",(INDIRECT("'"&amp;INDIRECT("Main!B9")&amp;"'!B78")))</f>
        <v/>
      </c>
      <c r="C64" s="35">
        <v>0</v>
      </c>
      <c r="D64" s="15"/>
      <c r="E64" s="15"/>
      <c r="F64" s="15"/>
      <c r="G64" s="15"/>
      <c r="H64" s="15"/>
      <c r="I64" s="45"/>
    </row>
    <row r="65" s="1" customFormat="1" ht="35" customHeight="1" spans="1:9">
      <c r="A65" s="34" t="str" cm="1">
        <f ca="1" t="array" ref="A65">IF((INDIRECT("'"&amp;INDIRECT("Main!B9")&amp;"'!A79"))=0,"",(INDIRECT("'"&amp;INDIRECT("Main!B9")&amp;"'!A79")))</f>
        <v/>
      </c>
      <c r="B65" s="34" t="str" cm="1">
        <f ca="1" t="array" ref="B65">IF((INDIRECT("'"&amp;INDIRECT("Main!B9")&amp;"'!B79"))=0,"",(INDIRECT("'"&amp;INDIRECT("Main!B9")&amp;"'!B79")))</f>
        <v/>
      </c>
      <c r="C65" s="35">
        <v>0</v>
      </c>
      <c r="D65" s="15"/>
      <c r="E65" s="15"/>
      <c r="F65" s="15"/>
      <c r="G65" s="15"/>
      <c r="H65" s="15"/>
      <c r="I65" s="45"/>
    </row>
    <row r="66" s="1" customFormat="1" ht="35" customHeight="1" spans="1:9">
      <c r="A66" s="46"/>
      <c r="B66" s="37" t="s">
        <v>48</v>
      </c>
      <c r="C66" s="35">
        <f>SUM(C57:C65)</f>
        <v>0</v>
      </c>
      <c r="D66" s="15"/>
      <c r="E66" s="15"/>
      <c r="F66" s="15"/>
      <c r="G66" s="15"/>
      <c r="H66" s="15"/>
      <c r="I66" s="45"/>
    </row>
    <row r="67" s="1" customFormat="1" ht="35" customHeight="1" spans="1:9">
      <c r="A67" s="83" t="s">
        <v>50</v>
      </c>
      <c r="B67" s="84"/>
      <c r="C67" s="85"/>
      <c r="D67" s="15"/>
      <c r="E67" s="15"/>
      <c r="F67" s="15"/>
      <c r="G67" s="15"/>
      <c r="H67" s="15"/>
      <c r="I67" s="45"/>
    </row>
    <row r="68" s="1" customFormat="1" ht="35" customHeight="1" spans="1:9">
      <c r="A68" s="47" t="str" cm="1">
        <f ca="1" t="array" ref="A68">IF((INDIRECT("'"&amp;INDIRECT("Main!B9")&amp;"'!A82"))=0,"",(INDIRECT("'"&amp;INDIRECT("Main!B9")&amp;"'!A82")))</f>
        <v/>
      </c>
      <c r="B68" s="47" t="str" cm="1">
        <f ca="1" t="array" ref="B68">IF((INDIRECT("'"&amp;INDIRECT("Main!B9")&amp;"'!B82"))=0,"",(INDIRECT("'"&amp;INDIRECT("Main!B9")&amp;"'!B82")))</f>
        <v/>
      </c>
      <c r="C68" s="35">
        <v>0</v>
      </c>
      <c r="D68" s="15"/>
      <c r="E68" s="15"/>
      <c r="F68" s="15"/>
      <c r="G68" s="15"/>
      <c r="H68" s="15"/>
      <c r="I68" s="45"/>
    </row>
    <row r="69" s="1" customFormat="1" ht="35" customHeight="1" spans="1:9">
      <c r="A69" s="47" t="str" cm="1">
        <f ca="1" t="array" ref="A69">IF((INDIRECT("'"&amp;INDIRECT("Main!B9")&amp;"'!A83"))=0,"",(INDIRECT("'"&amp;INDIRECT("Main!B9")&amp;"'!A83")))</f>
        <v/>
      </c>
      <c r="B69" s="47" t="str" cm="1">
        <f ca="1" t="array" ref="B69">IF((INDIRECT("'"&amp;INDIRECT("Main!B9")&amp;"'!B83"))=0,"",(INDIRECT("'"&amp;INDIRECT("Main!B9")&amp;"'!B83")))</f>
        <v/>
      </c>
      <c r="C69" s="35">
        <v>0</v>
      </c>
      <c r="D69" s="15"/>
      <c r="E69" s="15"/>
      <c r="F69" s="15"/>
      <c r="G69" s="15"/>
      <c r="H69" s="15"/>
      <c r="I69" s="45"/>
    </row>
    <row r="70" s="1" customFormat="1" ht="35" customHeight="1" spans="1:9">
      <c r="A70" s="47" t="str" cm="1">
        <f ca="1" t="array" ref="A70">IF((INDIRECT("'"&amp;INDIRECT("Main!B9")&amp;"'!A84"))=0,"",(INDIRECT("'"&amp;INDIRECT("Main!B9")&amp;"'!A84")))</f>
        <v/>
      </c>
      <c r="B70" s="47" t="str" cm="1">
        <f ca="1" t="array" ref="B70">IF((INDIRECT("'"&amp;INDIRECT("Main!B9")&amp;"'!B84"))=0,"",(INDIRECT("'"&amp;INDIRECT("Main!B9")&amp;"'!B84")))</f>
        <v/>
      </c>
      <c r="C70" s="35">
        <v>0</v>
      </c>
      <c r="D70" s="15"/>
      <c r="E70" s="15"/>
      <c r="F70" s="15"/>
      <c r="G70" s="15"/>
      <c r="H70" s="15"/>
      <c r="I70" s="45"/>
    </row>
    <row r="71" s="1" customFormat="1" ht="35" customHeight="1" spans="1:9">
      <c r="A71" s="47" t="str" cm="1">
        <f ca="1" t="array" ref="A71">IF((INDIRECT("'"&amp;INDIRECT("Main!B9")&amp;"'!A85"))=0,"",(INDIRECT("'"&amp;INDIRECT("Main!B9")&amp;"'!A85")))</f>
        <v/>
      </c>
      <c r="B71" s="47" t="str" cm="1">
        <f ca="1" t="array" ref="B71">IF((INDIRECT("'"&amp;INDIRECT("Main!B9")&amp;"'!B85"))=0,"",(INDIRECT("'"&amp;INDIRECT("Main!B9")&amp;"'!B85")))</f>
        <v/>
      </c>
      <c r="C71" s="35">
        <v>0</v>
      </c>
      <c r="D71" s="15"/>
      <c r="E71" s="15"/>
      <c r="F71" s="15"/>
      <c r="G71" s="15"/>
      <c r="H71" s="15"/>
      <c r="I71" s="45"/>
    </row>
    <row r="72" s="1" customFormat="1" ht="35" customHeight="1" spans="1:9">
      <c r="A72" s="47" t="str" cm="1">
        <f ca="1" t="array" ref="A72">IF((INDIRECT("'"&amp;INDIRECT("Main!B9")&amp;"'!A86"))=0,"",(INDIRECT("'"&amp;INDIRECT("Main!B9")&amp;"'!A86")))</f>
        <v/>
      </c>
      <c r="B72" s="47" t="str" cm="1">
        <f ca="1" t="array" ref="B72">IF((INDIRECT("'"&amp;INDIRECT("Main!B9")&amp;"'!B86"))=0,"",(INDIRECT("'"&amp;INDIRECT("Main!B9")&amp;"'!B86")))</f>
        <v/>
      </c>
      <c r="C72" s="35">
        <v>0</v>
      </c>
      <c r="D72" s="15"/>
      <c r="E72" s="15"/>
      <c r="F72" s="15"/>
      <c r="G72" s="15"/>
      <c r="H72" s="15"/>
      <c r="I72" s="45"/>
    </row>
    <row r="73" s="1" customFormat="1" ht="35" customHeight="1" spans="1:9">
      <c r="A73" s="47" t="str" cm="1">
        <f ca="1" t="array" ref="A73">IF((INDIRECT("'"&amp;INDIRECT("Main!B9")&amp;"'!A87"))=0,"",(INDIRECT("'"&amp;INDIRECT("Main!B9")&amp;"'!A87")))</f>
        <v/>
      </c>
      <c r="B73" s="47" t="str" cm="1">
        <f ca="1" t="array" ref="B73">IF((INDIRECT("'"&amp;INDIRECT("Main!B9")&amp;"'!B87"))=0,"",(INDIRECT("'"&amp;INDIRECT("Main!B9")&amp;"'!B87")))</f>
        <v/>
      </c>
      <c r="C73" s="35">
        <v>0</v>
      </c>
      <c r="D73" s="15"/>
      <c r="E73" s="15"/>
      <c r="F73" s="15"/>
      <c r="G73" s="15"/>
      <c r="H73" s="15"/>
      <c r="I73" s="45"/>
    </row>
    <row r="74" s="1" customFormat="1" ht="35" customHeight="1" spans="1:9">
      <c r="A74" s="47" t="str" cm="1">
        <f ca="1" t="array" ref="A74">IF((INDIRECT("'"&amp;INDIRECT("Main!B9")&amp;"'!A88"))=0,"",(INDIRECT("'"&amp;INDIRECT("Main!B9")&amp;"'!A88")))</f>
        <v/>
      </c>
      <c r="B74" s="47" t="str" cm="1">
        <f ca="1" t="array" ref="B74">IF((INDIRECT("'"&amp;INDIRECT("Main!B9")&amp;"'!B88"))=0,"",(INDIRECT("'"&amp;INDIRECT("Main!B9")&amp;"'!B88")))</f>
        <v/>
      </c>
      <c r="C74" s="35">
        <v>0</v>
      </c>
      <c r="D74" s="15"/>
      <c r="E74" s="15"/>
      <c r="F74" s="15"/>
      <c r="G74" s="15"/>
      <c r="H74" s="15"/>
      <c r="I74" s="45"/>
    </row>
    <row r="75" s="1" customFormat="1" ht="35" customHeight="1" spans="1:9">
      <c r="A75" s="46"/>
      <c r="B75" s="37" t="s">
        <v>48</v>
      </c>
      <c r="C75" s="35">
        <f>SUM(C68:C74)</f>
        <v>0</v>
      </c>
      <c r="D75" s="15"/>
      <c r="E75" s="15"/>
      <c r="F75" s="15"/>
      <c r="G75" s="15"/>
      <c r="H75" s="15"/>
      <c r="I75" s="45"/>
    </row>
    <row r="76" s="1" customFormat="1" ht="35" customHeight="1" spans="1:9">
      <c r="A76" s="83" t="s">
        <v>51</v>
      </c>
      <c r="B76" s="84"/>
      <c r="C76" s="85"/>
      <c r="D76" s="15"/>
      <c r="E76" s="15"/>
      <c r="F76" s="15"/>
      <c r="G76" s="15"/>
      <c r="H76" s="15"/>
      <c r="I76" s="45"/>
    </row>
    <row r="77" s="1" customFormat="1" ht="35" customHeight="1" spans="1:9">
      <c r="A77" s="34" t="str" cm="1">
        <f ca="1" t="array" ref="A77">IF((INDIRECT("'"&amp;INDIRECT("Main!B9")&amp;"'!A91"))=0,"",(INDIRECT("'"&amp;INDIRECT("Main!B9")&amp;"'!A91")))</f>
        <v/>
      </c>
      <c r="B77" s="34" t="str" cm="1">
        <f ca="1" t="array" ref="B77">IF((INDIRECT("'"&amp;INDIRECT("Main!B9")&amp;"'!B91"))=0,"",(INDIRECT("'"&amp;INDIRECT("Main!B9")&amp;"'!B91")))</f>
        <v/>
      </c>
      <c r="C77" s="35">
        <v>0</v>
      </c>
      <c r="D77" s="15"/>
      <c r="E77" s="15"/>
      <c r="F77" s="15"/>
      <c r="G77" s="15"/>
      <c r="H77" s="15"/>
      <c r="I77" s="45"/>
    </row>
    <row r="78" s="1" customFormat="1" ht="35" customHeight="1" spans="1:9">
      <c r="A78" s="34" t="str" cm="1">
        <f ca="1" t="array" ref="A78">IF((INDIRECT("'"&amp;INDIRECT("Main!B9")&amp;"'!A92"))=0,"",(INDIRECT("'"&amp;INDIRECT("Main!B9")&amp;"'!A92")))</f>
        <v/>
      </c>
      <c r="B78" s="34" t="str" cm="1">
        <f ca="1" t="array" ref="B78">IF((INDIRECT("'"&amp;INDIRECT("Main!B9")&amp;"'!B92"))=0,"",(INDIRECT("'"&amp;INDIRECT("Main!B9")&amp;"'!B92")))</f>
        <v/>
      </c>
      <c r="C78" s="35">
        <v>0</v>
      </c>
      <c r="D78" s="15"/>
      <c r="E78" s="15"/>
      <c r="F78" s="15"/>
      <c r="G78" s="15"/>
      <c r="H78" s="15"/>
      <c r="I78" s="45"/>
    </row>
    <row r="79" s="1" customFormat="1" ht="35" customHeight="1" spans="1:9">
      <c r="A79" s="34" t="str" cm="1">
        <f ca="1" t="array" ref="A79">IF((INDIRECT("'"&amp;INDIRECT("Main!B9")&amp;"'!A93"))=0,"",(INDIRECT("'"&amp;INDIRECT("Main!B9")&amp;"'!A93")))</f>
        <v/>
      </c>
      <c r="B79" s="34" t="str" cm="1">
        <f ca="1" t="array" ref="B79">IF((INDIRECT("'"&amp;INDIRECT("Main!B9")&amp;"'!B93"))=0,"",(INDIRECT("'"&amp;INDIRECT("Main!B9")&amp;"'!B93")))</f>
        <v/>
      </c>
      <c r="C79" s="35">
        <v>0</v>
      </c>
      <c r="D79" s="15"/>
      <c r="E79" s="15"/>
      <c r="F79" s="15"/>
      <c r="G79" s="15"/>
      <c r="H79" s="15"/>
      <c r="I79" s="45"/>
    </row>
    <row r="80" s="1" customFormat="1" ht="35" customHeight="1" spans="1:9">
      <c r="A80" s="34" t="str" cm="1">
        <f ca="1" t="array" ref="A80">IF((INDIRECT("'"&amp;INDIRECT("Main!B9")&amp;"'!A94"))=0,"",(INDIRECT("'"&amp;INDIRECT("Main!B9")&amp;"'!A94")))</f>
        <v/>
      </c>
      <c r="B80" s="34" t="str" cm="1">
        <f ca="1" t="array" ref="B80">IF((INDIRECT("'"&amp;INDIRECT("Main!B9")&amp;"'!B94"))=0,"",(INDIRECT("'"&amp;INDIRECT("Main!B9")&amp;"'!B94")))</f>
        <v/>
      </c>
      <c r="C80" s="35">
        <v>0</v>
      </c>
      <c r="D80" s="15"/>
      <c r="E80" s="15"/>
      <c r="F80" s="15"/>
      <c r="G80" s="15"/>
      <c r="H80" s="15"/>
      <c r="I80" s="45"/>
    </row>
    <row r="81" s="1" customFormat="1" ht="35" customHeight="1" spans="1:9">
      <c r="A81" s="34" t="str" cm="1">
        <f ca="1" t="array" ref="A81">IF((INDIRECT("'"&amp;INDIRECT("Main!B9")&amp;"'!A95"))=0,"",(INDIRECT("'"&amp;INDIRECT("Main!B9")&amp;"'!A95")))</f>
        <v/>
      </c>
      <c r="B81" s="34" t="str" cm="1">
        <f ca="1" t="array" ref="B81">IF((INDIRECT("'"&amp;INDIRECT("Main!B9")&amp;"'!B95"))=0,"",(INDIRECT("'"&amp;INDIRECT("Main!B9")&amp;"'!B95")))</f>
        <v/>
      </c>
      <c r="C81" s="35">
        <v>0</v>
      </c>
      <c r="D81" s="15"/>
      <c r="E81" s="15"/>
      <c r="F81" s="15"/>
      <c r="G81" s="15"/>
      <c r="H81" s="15"/>
      <c r="I81" s="45"/>
    </row>
    <row r="82" s="1" customFormat="1" ht="35" customHeight="1" spans="1:9">
      <c r="A82" s="34" t="str" cm="1">
        <f ca="1" t="array" ref="A82">IF((INDIRECT("'"&amp;INDIRECT("Main!B9")&amp;"'!A96"))=0,"",(INDIRECT("'"&amp;INDIRECT("Main!B9")&amp;"'!A96")))</f>
        <v/>
      </c>
      <c r="B82" s="34" t="str" cm="1">
        <f ca="1" t="array" ref="B82">IF((INDIRECT("'"&amp;INDIRECT("Main!B9")&amp;"'!B96"))=0,"",(INDIRECT("'"&amp;INDIRECT("Main!B9")&amp;"'!B96")))</f>
        <v/>
      </c>
      <c r="C82" s="35">
        <v>0</v>
      </c>
      <c r="D82" s="15"/>
      <c r="E82" s="15"/>
      <c r="F82" s="15"/>
      <c r="G82" s="15"/>
      <c r="H82" s="15"/>
      <c r="I82" s="45"/>
    </row>
    <row r="83" s="1" customFormat="1" ht="35" customHeight="1" spans="1:9">
      <c r="A83" s="34" t="str" cm="1">
        <f ca="1" t="array" ref="A83">IF((INDIRECT("'"&amp;INDIRECT("Main!B9")&amp;"'!A97"))=0,"",(INDIRECT("'"&amp;INDIRECT("Main!B9")&amp;"'!A97")))</f>
        <v/>
      </c>
      <c r="B83" s="34" t="str" cm="1">
        <f ca="1" t="array" ref="B83">IF((INDIRECT("'"&amp;INDIRECT("Main!B9")&amp;"'!B97"))=0,"",(INDIRECT("'"&amp;INDIRECT("Main!B9")&amp;"'!B97")))</f>
        <v/>
      </c>
      <c r="C83" s="35">
        <v>0</v>
      </c>
      <c r="D83" s="15"/>
      <c r="E83" s="15"/>
      <c r="F83" s="15"/>
      <c r="G83" s="15"/>
      <c r="H83" s="15"/>
      <c r="I83" s="45"/>
    </row>
    <row r="84" s="1" customFormat="1" ht="35" customHeight="1" spans="1:9">
      <c r="A84" s="34" t="str" cm="1">
        <f ca="1" t="array" ref="A84">IF((INDIRECT("'"&amp;INDIRECT("Main!B9")&amp;"'!A98"))=0,"",(INDIRECT("'"&amp;INDIRECT("Main!B9")&amp;"'!A98")))</f>
        <v/>
      </c>
      <c r="B84" s="34" t="str" cm="1">
        <f ca="1" t="array" ref="B84">IF((INDIRECT("'"&amp;INDIRECT("Main!B9")&amp;"'!B98"))=0,"",(INDIRECT("'"&amp;INDIRECT("Main!B9")&amp;"'!B98")))</f>
        <v/>
      </c>
      <c r="C84" s="35">
        <v>0</v>
      </c>
      <c r="D84" s="15"/>
      <c r="E84" s="15"/>
      <c r="F84" s="15"/>
      <c r="G84" s="15"/>
      <c r="H84" s="15"/>
      <c r="I84" s="45"/>
    </row>
    <row r="85" s="1" customFormat="1" ht="35" customHeight="1" spans="1:9">
      <c r="A85" s="46"/>
      <c r="B85" s="37" t="s">
        <v>48</v>
      </c>
      <c r="C85" s="35">
        <f>SUM(C77:C84)</f>
        <v>0</v>
      </c>
      <c r="D85" s="15"/>
      <c r="E85" s="15"/>
      <c r="F85" s="15"/>
      <c r="G85" s="15"/>
      <c r="H85" s="15"/>
      <c r="I85" s="45"/>
    </row>
    <row r="86" s="1" customFormat="1" ht="35" customHeight="1" spans="1:9">
      <c r="A86" s="83" t="s">
        <v>52</v>
      </c>
      <c r="B86" s="84"/>
      <c r="C86" s="85"/>
      <c r="D86" s="15"/>
      <c r="E86" s="15"/>
      <c r="F86" s="15"/>
      <c r="G86" s="15"/>
      <c r="H86" s="15"/>
      <c r="I86" s="45"/>
    </row>
    <row r="87" s="1" customFormat="1" ht="35" customHeight="1" spans="1:9">
      <c r="A87" s="34" t="str" cm="1">
        <f ca="1" t="array" ref="A87">IF((INDIRECT("'"&amp;INDIRECT("Main!B9")&amp;"'!A101"))=0,"",(INDIRECT("'"&amp;INDIRECT("Main!B9")&amp;"'!A101")))</f>
        <v/>
      </c>
      <c r="B87" s="34" t="str" cm="1">
        <f ca="1" t="array" ref="B87">IF((INDIRECT("'"&amp;INDIRECT("Main!B9")&amp;"'!B101"))=0,"",(INDIRECT("'"&amp;INDIRECT("Main!B9")&amp;"'!B101")))</f>
        <v/>
      </c>
      <c r="C87" s="35">
        <v>0</v>
      </c>
      <c r="D87" s="15"/>
      <c r="E87" s="15"/>
      <c r="F87" s="15"/>
      <c r="G87" s="15"/>
      <c r="H87" s="15"/>
      <c r="I87" s="45"/>
    </row>
    <row r="88" s="1" customFormat="1" ht="35" customHeight="1" spans="1:9">
      <c r="A88" s="34" t="str" cm="1">
        <f ca="1" t="array" ref="A88">IF((INDIRECT("'"&amp;INDIRECT("Main!B9")&amp;"'!A102"))=0,"",(INDIRECT("'"&amp;INDIRECT("Main!B9")&amp;"'!A102")))</f>
        <v/>
      </c>
      <c r="B88" s="34" t="str" cm="1">
        <f ca="1" t="array" ref="B88">IF((INDIRECT("'"&amp;INDIRECT("Main!B9")&amp;"'!B102"))=0,"",(INDIRECT("'"&amp;INDIRECT("Main!B9")&amp;"'!B102")))</f>
        <v/>
      </c>
      <c r="C88" s="35">
        <v>0</v>
      </c>
      <c r="D88" s="15"/>
      <c r="E88" s="15"/>
      <c r="F88" s="15"/>
      <c r="G88" s="15"/>
      <c r="H88" s="15"/>
      <c r="I88" s="45"/>
    </row>
    <row r="89" s="1" customFormat="1" ht="35" customHeight="1" spans="1:9">
      <c r="A89" s="34" t="str" cm="1">
        <f ca="1" t="array" ref="A89">IF((INDIRECT("'"&amp;INDIRECT("Main!B9")&amp;"'!A103"))=0,"",(INDIRECT("'"&amp;INDIRECT("Main!B9")&amp;"'!A103")))</f>
        <v/>
      </c>
      <c r="B89" s="34" t="str" cm="1">
        <f ca="1" t="array" ref="B89">IF((INDIRECT("'"&amp;INDIRECT("Main!B9")&amp;"'!B103"))=0,"",(INDIRECT("'"&amp;INDIRECT("Main!B9")&amp;"'!B103")))</f>
        <v/>
      </c>
      <c r="C89" s="35">
        <v>0</v>
      </c>
      <c r="D89" s="15"/>
      <c r="E89" s="15"/>
      <c r="F89" s="15"/>
      <c r="G89" s="15"/>
      <c r="H89" s="15"/>
      <c r="I89" s="45"/>
    </row>
    <row r="90" s="1" customFormat="1" ht="35" customHeight="1" spans="1:9">
      <c r="A90" s="34" t="str" cm="1">
        <f ca="1" t="array" ref="A90">IF((INDIRECT("'"&amp;INDIRECT("Main!B9")&amp;"'!A104"))=0,"",(INDIRECT("'"&amp;INDIRECT("Main!B9")&amp;"'!A104")))</f>
        <v/>
      </c>
      <c r="B90" s="34" t="str" cm="1">
        <f ca="1" t="array" ref="B90">IF((INDIRECT("'"&amp;INDIRECT("Main!B9")&amp;"'!B104"))=0,"",(INDIRECT("'"&amp;INDIRECT("Main!B9")&amp;"'!B104")))</f>
        <v/>
      </c>
      <c r="C90" s="35">
        <v>0</v>
      </c>
      <c r="D90" s="15"/>
      <c r="E90" s="62"/>
      <c r="F90" s="15"/>
      <c r="G90" s="15"/>
      <c r="H90" s="15"/>
      <c r="I90" s="45"/>
    </row>
    <row r="91" s="1" customFormat="1" ht="35" customHeight="1" spans="1:9">
      <c r="A91" s="34" t="str" cm="1">
        <f ca="1" t="array" ref="A91">IF((INDIRECT("'"&amp;INDIRECT("Main!B9")&amp;"'!A105"))=0,"",(INDIRECT("'"&amp;INDIRECT("Main!B9")&amp;"'!A105")))</f>
        <v/>
      </c>
      <c r="B91" s="34" t="str" cm="1">
        <f ca="1" t="array" ref="B91">IF((INDIRECT("'"&amp;INDIRECT("Main!B9")&amp;"'!B105"))=0,"",(INDIRECT("'"&amp;INDIRECT("Main!B9")&amp;"'!B105")))</f>
        <v/>
      </c>
      <c r="C91" s="35">
        <v>0</v>
      </c>
      <c r="D91" s="15"/>
      <c r="E91" s="15"/>
      <c r="F91" s="15"/>
      <c r="G91" s="15"/>
      <c r="H91" s="15"/>
      <c r="I91" s="45"/>
    </row>
    <row r="92" s="1" customFormat="1" ht="35" customHeight="1" spans="1:9">
      <c r="A92" s="34" t="str" cm="1">
        <f ca="1" t="array" ref="A92">IF((INDIRECT("'"&amp;INDIRECT("Main!B9")&amp;"'!A106"))=0,"",(INDIRECT("'"&amp;INDIRECT("Main!B9")&amp;"'!A106")))</f>
        <v/>
      </c>
      <c r="B92" s="34" t="str" cm="1">
        <f ca="1" t="array" ref="B92">IF((INDIRECT("'"&amp;INDIRECT("Main!B9")&amp;"'!B106"))=0,"",(INDIRECT("'"&amp;INDIRECT("Main!B9")&amp;"'!B106")))</f>
        <v/>
      </c>
      <c r="C92" s="35">
        <v>0</v>
      </c>
      <c r="D92" s="15"/>
      <c r="E92" s="15"/>
      <c r="F92" s="15"/>
      <c r="G92" s="15"/>
      <c r="H92" s="15"/>
      <c r="I92" s="45"/>
    </row>
    <row r="93" s="1" customFormat="1" ht="35" customHeight="1" spans="1:9">
      <c r="A93" s="34" t="str" cm="1">
        <f ca="1" t="array" ref="A93">IF((INDIRECT("'"&amp;INDIRECT("Main!B9")&amp;"'!A107"))=0,"",(INDIRECT("'"&amp;INDIRECT("Main!B9")&amp;"'!A107")))</f>
        <v/>
      </c>
      <c r="B93" s="34" t="str" cm="1">
        <f ca="1" t="array" ref="B93">IF((INDIRECT("'"&amp;INDIRECT("Main!B9")&amp;"'!B107"))=0,"",(INDIRECT("'"&amp;INDIRECT("Main!B9")&amp;"'!B107")))</f>
        <v/>
      </c>
      <c r="C93" s="35">
        <v>0</v>
      </c>
      <c r="D93" s="15"/>
      <c r="E93" s="15"/>
      <c r="F93" s="15"/>
      <c r="G93" s="15"/>
      <c r="H93" s="15"/>
      <c r="I93" s="45"/>
    </row>
    <row r="94" s="1" customFormat="1" ht="35" customHeight="1" spans="1:9">
      <c r="A94" s="34" t="str" cm="1">
        <f ca="1" t="array" ref="A94">IF((INDIRECT("'"&amp;INDIRECT("Main!B9")&amp;"'!A108"))=0,"",(INDIRECT("'"&amp;INDIRECT("Main!B9")&amp;"'!A108")))</f>
        <v/>
      </c>
      <c r="B94" s="34" t="str" cm="1">
        <f ca="1" t="array" ref="B94">IF((INDIRECT("'"&amp;INDIRECT("Main!B9")&amp;"'!B108"))=0,"",(INDIRECT("'"&amp;INDIRECT("Main!B9")&amp;"'!B108")))</f>
        <v/>
      </c>
      <c r="C94" s="35">
        <v>0</v>
      </c>
      <c r="D94" s="15"/>
      <c r="E94" s="15"/>
      <c r="F94" s="15"/>
      <c r="G94" s="15"/>
      <c r="H94" s="15"/>
      <c r="I94" s="45"/>
    </row>
    <row r="95" s="1" customFormat="1" ht="35" customHeight="1" spans="1:9">
      <c r="A95" s="47"/>
      <c r="B95" s="37" t="s">
        <v>48</v>
      </c>
      <c r="C95" s="35">
        <f>SUM(C87:C94)</f>
        <v>0</v>
      </c>
      <c r="D95" s="15"/>
      <c r="E95" s="15"/>
      <c r="F95" s="15"/>
      <c r="G95" s="15"/>
      <c r="H95" s="15"/>
      <c r="I95" s="45"/>
    </row>
    <row r="96" s="1" customFormat="1" ht="35" customHeight="1" spans="1:9">
      <c r="A96" s="46"/>
      <c r="B96" s="37" t="s">
        <v>53</v>
      </c>
      <c r="C96" s="35">
        <f>C55+C66+C75+C85+C95</f>
        <v>0</v>
      </c>
      <c r="D96" s="15"/>
      <c r="E96" s="15"/>
      <c r="F96" s="15"/>
      <c r="G96" s="15"/>
      <c r="H96" s="15"/>
      <c r="I96" s="45"/>
    </row>
    <row r="97" s="1" customFormat="1" ht="35" customHeight="1" spans="1:9">
      <c r="A97" s="83" t="s">
        <v>54</v>
      </c>
      <c r="B97" s="84"/>
      <c r="C97" s="85"/>
      <c r="D97" s="15"/>
      <c r="E97" s="15"/>
      <c r="F97" s="15"/>
      <c r="G97" s="15"/>
      <c r="H97" s="15"/>
      <c r="I97" s="45"/>
    </row>
    <row r="98" s="1" customFormat="1" ht="35" customHeight="1" spans="1:9">
      <c r="A98" s="34" t="str" cm="1">
        <f ca="1" t="array" ref="A98">IF((INDIRECT("'"&amp;INDIRECT("Main!B9")&amp;"'!A112"))=0,"",(INDIRECT("'"&amp;INDIRECT("Main!B9")&amp;"'!A112")))</f>
        <v/>
      </c>
      <c r="B98" s="34" t="str" cm="1">
        <f ca="1" t="array" ref="B98">IF((INDIRECT("'"&amp;INDIRECT("Main!B9")&amp;"'!B112"))=0,"",(INDIRECT("'"&amp;INDIRECT("Main!B9")&amp;"'!B112")))</f>
        <v/>
      </c>
      <c r="C98" s="35" cm="1">
        <f ca="1" t="array" ref="C98">INDIRECT("'"&amp;INDIRECT("Main!B30")&amp;"'!C98")+SUM(E118+E145+E172)</f>
        <v>0</v>
      </c>
      <c r="D98" s="15"/>
      <c r="E98" s="15"/>
      <c r="F98" s="15"/>
      <c r="G98" s="15"/>
      <c r="H98" s="15"/>
      <c r="I98" s="45"/>
    </row>
    <row r="99" s="1" customFormat="1" ht="35" customHeight="1" spans="1:9">
      <c r="A99" s="34" t="str" cm="1">
        <f ca="1" t="array" ref="A99">IF((INDIRECT("'"&amp;INDIRECT("Main!B9")&amp;"'!A113"))=0,"",(INDIRECT("'"&amp;INDIRECT("Main!B9")&amp;"'!A113")))</f>
        <v/>
      </c>
      <c r="B99" s="34" t="str" cm="1">
        <f ca="1" t="array" ref="B99">IF((INDIRECT("'"&amp;INDIRECT("Main!B9")&amp;"'!B113"))=0,"",(INDIRECT("'"&amp;INDIRECT("Main!B9")&amp;"'!B113")))</f>
        <v/>
      </c>
      <c r="C99" s="35" cm="1">
        <f ca="1" t="array" ref="C99">INDIRECT("'"&amp;INDIRECT("Main!B30")&amp;"'!C99")+SUM(E119+E146+E173)</f>
        <v>0</v>
      </c>
      <c r="D99" s="15"/>
      <c r="E99" s="15"/>
      <c r="F99" s="15"/>
      <c r="G99" s="15"/>
      <c r="H99" s="15"/>
      <c r="I99" s="45"/>
    </row>
    <row r="100" s="1" customFormat="1" ht="35" customHeight="1" spans="1:9">
      <c r="A100" s="34" t="str" cm="1">
        <f ca="1" t="array" ref="A100">IF((INDIRECT("'"&amp;INDIRECT("Main!B9")&amp;"'!A114"))=0,"",(INDIRECT("'"&amp;INDIRECT("Main!B9")&amp;"'!A114")))</f>
        <v/>
      </c>
      <c r="B100" s="34" t="str" cm="1">
        <f ca="1" t="array" ref="B100">IF((INDIRECT("'"&amp;INDIRECT("Main!B9")&amp;"'!B114"))=0,"",(INDIRECT("'"&amp;INDIRECT("Main!B9")&amp;"'!B114")))</f>
        <v/>
      </c>
      <c r="C100" s="35" cm="1">
        <f ca="1" t="array" ref="C100">INDIRECT("'"&amp;INDIRECT("Main!B30")&amp;"'!C100")+SUM(E120+E147+E174)</f>
        <v>0</v>
      </c>
      <c r="D100" s="15"/>
      <c r="E100" s="15"/>
      <c r="F100" s="15"/>
      <c r="G100" s="15"/>
      <c r="H100" s="15"/>
      <c r="I100" s="45"/>
    </row>
    <row r="101" s="1" customFormat="1" ht="35" customHeight="1" spans="1:9">
      <c r="A101" s="34" t="str" cm="1">
        <f ca="1" t="array" ref="A101">IF((INDIRECT("'"&amp;INDIRECT("Main!B9")&amp;"'!A115"))=0,"",(INDIRECT("'"&amp;INDIRECT("Main!B9")&amp;"'!A115")))</f>
        <v/>
      </c>
      <c r="B101" s="34" t="str" cm="1">
        <f ca="1" t="array" ref="B101">IF((INDIRECT("'"&amp;INDIRECT("Main!B9")&amp;"'!B115"))=0,"",(INDIRECT("'"&amp;INDIRECT("Main!B9")&amp;"'!B115")))</f>
        <v/>
      </c>
      <c r="C101" s="35" cm="1">
        <f ca="1" t="array" ref="C101">INDIRECT("'"&amp;INDIRECT("Main!B30")&amp;"'!C101")+SUM(E121+E148+E175)</f>
        <v>0</v>
      </c>
      <c r="D101" s="15"/>
      <c r="E101" s="15"/>
      <c r="F101" s="15"/>
      <c r="G101" s="15"/>
      <c r="H101" s="15"/>
      <c r="I101" s="45"/>
    </row>
    <row r="102" s="1" customFormat="1" ht="35" customHeight="1" spans="1:9">
      <c r="A102" s="34" t="str" cm="1">
        <f ca="1" t="array" ref="A102">IF((INDIRECT("'"&amp;INDIRECT("Main!B9")&amp;"'!A116"))=0,"",(INDIRECT("'"&amp;INDIRECT("Main!B9")&amp;"'!A116")))</f>
        <v/>
      </c>
      <c r="B102" s="34" t="str" cm="1">
        <f ca="1" t="array" ref="B102">IF((INDIRECT("'"&amp;INDIRECT("Main!B9")&amp;"'!B116"))=0,"",(INDIRECT("'"&amp;INDIRECT("Main!B9")&amp;"'!B116")))</f>
        <v/>
      </c>
      <c r="C102" s="35" cm="1">
        <f ca="1" t="array" ref="C102">INDIRECT("'"&amp;INDIRECT("Main!B30")&amp;"'!C102")+SUM(E122+E149+E176)</f>
        <v>0</v>
      </c>
      <c r="D102" s="15"/>
      <c r="E102" s="15"/>
      <c r="F102" s="15"/>
      <c r="G102" s="15"/>
      <c r="H102" s="15"/>
      <c r="I102" s="45"/>
    </row>
    <row r="103" s="1" customFormat="1" ht="35" customHeight="1" spans="1:9">
      <c r="A103" s="34" t="str" cm="1">
        <f ca="1" t="array" ref="A103">IF((INDIRECT("'"&amp;INDIRECT("Main!B9")&amp;"'!A117"))=0,"",(INDIRECT("'"&amp;INDIRECT("Main!B9")&amp;"'!A117")))</f>
        <v/>
      </c>
      <c r="B103" s="34" t="str" cm="1">
        <f ca="1" t="array" ref="B103">IF((INDIRECT("'"&amp;INDIRECT("Main!B9")&amp;"'!B117"))=0,"",(INDIRECT("'"&amp;INDIRECT("Main!B9")&amp;"'!B117")))</f>
        <v/>
      </c>
      <c r="C103" s="35" cm="1">
        <f ca="1" t="array" ref="C103">INDIRECT("'"&amp;INDIRECT("Main!B30")&amp;"'!C103")+SUM(E123+E150+E177)</f>
        <v>0</v>
      </c>
      <c r="D103" s="15"/>
      <c r="E103" s="15"/>
      <c r="F103" s="15"/>
      <c r="G103" s="15"/>
      <c r="H103" s="15"/>
      <c r="I103" s="45"/>
    </row>
    <row r="104" s="1" customFormat="1" ht="35" customHeight="1" spans="1:9">
      <c r="A104" s="34" t="str" cm="1">
        <f ca="1" t="array" ref="A104">IF((INDIRECT("'"&amp;INDIRECT("Main!B9")&amp;"'!A118"))=0,"",(INDIRECT("'"&amp;INDIRECT("Main!B9")&amp;"'!A118")))</f>
        <v/>
      </c>
      <c r="B104" s="34" t="str" cm="1">
        <f ca="1" t="array" ref="B104">IF((INDIRECT("'"&amp;INDIRECT("Main!B9")&amp;"'!B118"))=0,"",(INDIRECT("'"&amp;INDIRECT("Main!B9")&amp;"'!B118")))</f>
        <v/>
      </c>
      <c r="C104" s="35" cm="1">
        <f ca="1" t="array" ref="C104">INDIRECT("'"&amp;INDIRECT("Main!B30")&amp;"'!C104")+SUM(E124+E151+E178)</f>
        <v>0</v>
      </c>
      <c r="D104" s="15"/>
      <c r="E104" s="15"/>
      <c r="F104" s="15"/>
      <c r="G104" s="15"/>
      <c r="H104" s="15"/>
      <c r="I104" s="45"/>
    </row>
    <row r="105" s="1" customFormat="1" ht="35" customHeight="1" spans="1:9">
      <c r="A105" s="34" t="str" cm="1">
        <f ca="1" t="array" ref="A105">IF((INDIRECT("'"&amp;INDIRECT("Main!B9")&amp;"'!A119"))=0,"",(INDIRECT("'"&amp;INDIRECT("Main!B9")&amp;"'!A119")))</f>
        <v/>
      </c>
      <c r="B105" s="34" t="str" cm="1">
        <f ca="1" t="array" ref="B105">IF((INDIRECT("'"&amp;INDIRECT("Main!B9")&amp;"'!B119"))=0,"",(INDIRECT("'"&amp;INDIRECT("Main!B9")&amp;"'!B119")))</f>
        <v/>
      </c>
      <c r="C105" s="35" cm="1">
        <f ca="1" t="array" ref="C105">INDIRECT("'"&amp;INDIRECT("Main!B30")&amp;"'!C105")+SUM(E125+E152+E179)</f>
        <v>0</v>
      </c>
      <c r="D105" s="15"/>
      <c r="E105" s="15"/>
      <c r="F105" s="15"/>
      <c r="G105" s="15"/>
      <c r="H105" s="15"/>
      <c r="I105" s="45"/>
    </row>
    <row r="106" s="1" customFormat="1" ht="35" customHeight="1" spans="1:9">
      <c r="A106" s="34" t="str" cm="1">
        <f ca="1" t="array" ref="A106">IF((INDIRECT("'"&amp;INDIRECT("Main!B9")&amp;"'!A120"))=0,"",(INDIRECT("'"&amp;INDIRECT("Main!B9")&amp;"'!A120")))</f>
        <v/>
      </c>
      <c r="B106" s="34" t="str" cm="1">
        <f ca="1" t="array" ref="B106">IF((INDIRECT("'"&amp;INDIRECT("Main!B9")&amp;"'!B120"))=0,"",(INDIRECT("'"&amp;INDIRECT("Main!B9")&amp;"'!B120")))</f>
        <v/>
      </c>
      <c r="C106" s="35" cm="1">
        <f ca="1" t="array" ref="C106">INDIRECT("'"&amp;INDIRECT("Main!B30")&amp;"'!C106")+SUM(E126+E153+E180)</f>
        <v>0</v>
      </c>
      <c r="D106" s="15"/>
      <c r="E106" s="15"/>
      <c r="F106" s="15"/>
      <c r="G106" s="15"/>
      <c r="H106" s="15"/>
      <c r="I106" s="45"/>
    </row>
    <row r="107" s="1" customFormat="1" ht="35" customHeight="1" spans="1:9">
      <c r="A107" s="34" t="str" cm="1">
        <f ca="1" t="array" ref="A107">IF((INDIRECT("'"&amp;INDIRECT("Main!B9")&amp;"'!A121"))=0,"",(INDIRECT("'"&amp;INDIRECT("Main!B9")&amp;"'!A121")))</f>
        <v/>
      </c>
      <c r="B107" s="34" t="str" cm="1">
        <f ca="1" t="array" ref="B107">IF((INDIRECT("'"&amp;INDIRECT("Main!B9")&amp;"'!B121"))=0,"",(INDIRECT("'"&amp;INDIRECT("Main!B9")&amp;"'!B121")))</f>
        <v/>
      </c>
      <c r="C107" s="35" cm="1">
        <f ca="1" t="array" ref="C107">INDIRECT("'"&amp;INDIRECT("Main!B30")&amp;"'!C107")+SUM(E127+E154+E181)</f>
        <v>0</v>
      </c>
      <c r="D107" s="15"/>
      <c r="E107" s="15"/>
      <c r="F107" s="15"/>
      <c r="G107" s="15"/>
      <c r="H107" s="15"/>
      <c r="I107" s="45"/>
    </row>
    <row r="108" s="1" customFormat="1" ht="35" customHeight="1" spans="1:9">
      <c r="A108" s="46"/>
      <c r="B108" s="37" t="s">
        <v>55</v>
      </c>
      <c r="C108" s="35">
        <f ca="1">SUM(C98:C107)</f>
        <v>0</v>
      </c>
      <c r="D108" s="15"/>
      <c r="E108" s="15"/>
      <c r="F108" s="15"/>
      <c r="G108" s="15"/>
      <c r="H108" s="15"/>
      <c r="I108" s="45"/>
    </row>
    <row r="109" s="1" customFormat="1" ht="35" customHeight="1" spans="1:9">
      <c r="A109" s="46"/>
      <c r="B109" s="37" t="s">
        <v>56</v>
      </c>
      <c r="C109" s="35">
        <f ca="1">C108-C96</f>
        <v>0</v>
      </c>
      <c r="D109" s="15"/>
      <c r="E109" s="15"/>
      <c r="F109" s="15"/>
      <c r="G109" s="15"/>
      <c r="H109" s="15"/>
      <c r="I109" s="45"/>
    </row>
    <row r="110" s="1" customFormat="1" ht="35" customHeight="1" spans="1:9">
      <c r="A110" s="15"/>
      <c r="B110" s="15"/>
      <c r="C110" s="15"/>
      <c r="D110" s="15"/>
      <c r="E110" s="15"/>
      <c r="F110" s="15"/>
      <c r="G110" s="15"/>
      <c r="H110" s="15"/>
      <c r="I110" s="45"/>
    </row>
    <row r="111" s="1" customFormat="1" ht="35" customHeight="1" spans="1:9">
      <c r="A111" s="15"/>
      <c r="B111" s="15"/>
      <c r="C111" s="15"/>
      <c r="D111" s="15"/>
      <c r="E111" s="15"/>
      <c r="F111" s="15"/>
      <c r="G111" s="15"/>
      <c r="H111" s="15"/>
      <c r="I111" s="45"/>
    </row>
    <row r="112" s="1" customFormat="1" ht="35" customHeight="1" spans="1:9">
      <c r="A112" s="15"/>
      <c r="B112" s="15"/>
      <c r="C112" s="15"/>
      <c r="D112" s="15"/>
      <c r="E112" s="15"/>
      <c r="F112" s="15"/>
      <c r="G112" s="15"/>
      <c r="H112" s="15"/>
      <c r="I112" s="45"/>
    </row>
    <row r="113" s="1" customFormat="1" ht="35" customHeight="1" spans="1:9">
      <c r="A113" s="15"/>
      <c r="B113" s="15"/>
      <c r="C113" s="15"/>
      <c r="D113" s="15"/>
      <c r="E113" s="15"/>
      <c r="F113" s="15"/>
      <c r="G113" s="15"/>
      <c r="H113" s="15"/>
      <c r="I113" s="45"/>
    </row>
    <row r="114" s="1" customFormat="1" ht="35" customHeight="1" spans="1:9">
      <c r="A114" s="48" t="str">
        <f>"Debts Or Credits For the Comming "&amp;IF(Main!B2,TEXT(EDATE(Main!B3,24),"mmmm dd yyyy"),TEXT(Main!B3+((Main!B5-Main!B3)*24+24),"mmmm dd yyyy"))&amp;" to "&amp;IF(Main!B2,TEXT(EDATE(Main!B3,25)-1,"mmmm dd yyyy"),TEXT(Main!B3+((Main!B5-Main!B3)*25+24),"mmmm dd yyyy"))</f>
        <v>Debts Or Credits For the Comming May 01 2027 to May 31 2027</v>
      </c>
      <c r="B114" s="49"/>
      <c r="C114" s="49"/>
      <c r="D114" s="49"/>
      <c r="E114" s="50"/>
      <c r="F114" s="15"/>
      <c r="G114" s="15"/>
      <c r="H114" s="15"/>
      <c r="I114" s="45"/>
    </row>
    <row r="115" s="1" customFormat="1" ht="35" customHeight="1" spans="1:9">
      <c r="A115" s="48" t="s">
        <v>57</v>
      </c>
      <c r="B115" s="50"/>
      <c r="C115" s="48" t="s">
        <v>44</v>
      </c>
      <c r="D115" s="50"/>
      <c r="E115" s="64" t="s">
        <v>45</v>
      </c>
      <c r="F115" s="15"/>
      <c r="G115" s="15"/>
      <c r="H115" s="15"/>
      <c r="I115" s="45"/>
    </row>
    <row r="116" s="1" customFormat="1" ht="35" customHeight="1" spans="1:9">
      <c r="A116" s="51" t="str">
        <f>"Balance Brought Forward From "&amp;IF(Main!B2,TEXT(EDATE(Main!B3,24)-1,"mmmm yyyy"),TEXT(Main!B3+((Main!B5-Main!B3)*24+23),"mmmm yyyy"))</f>
        <v>Balance Brought Forward From April 2027</v>
      </c>
      <c r="B116" s="52"/>
      <c r="C116" s="53"/>
      <c r="D116" s="53"/>
      <c r="E116" s="65" cm="1">
        <f ca="1" t="array" ref="E116">INDIRECT("'"&amp;INDIRECT("Main!B30")&amp;"'!E190")</f>
        <v>0</v>
      </c>
      <c r="F116" s="15"/>
      <c r="G116" s="15"/>
      <c r="H116" s="15"/>
      <c r="I116" s="45"/>
    </row>
    <row r="117" s="1" customFormat="1" ht="35" customHeight="1" spans="1:9">
      <c r="A117" s="54" t="s">
        <v>52</v>
      </c>
      <c r="B117" s="55"/>
      <c r="C117" s="56" t="s">
        <v>58</v>
      </c>
      <c r="D117" s="57"/>
      <c r="E117" s="66"/>
      <c r="F117" s="15"/>
      <c r="G117" s="15"/>
      <c r="H117" s="15"/>
      <c r="I117" s="45"/>
    </row>
    <row r="118" s="1" customFormat="1" ht="35" customHeight="1" spans="1:9">
      <c r="A118" s="58"/>
      <c r="B118" s="59"/>
      <c r="C118" s="60"/>
      <c r="D118" s="61"/>
      <c r="E118" s="35">
        <v>0</v>
      </c>
      <c r="F118" s="15"/>
      <c r="G118" s="15"/>
      <c r="H118" s="15"/>
      <c r="I118" s="45"/>
    </row>
    <row r="119" s="1" customFormat="1" ht="35" customHeight="1" spans="1:9">
      <c r="A119" s="58"/>
      <c r="B119" s="59"/>
      <c r="C119" s="60"/>
      <c r="D119" s="61"/>
      <c r="E119" s="35">
        <v>0</v>
      </c>
      <c r="F119" s="15"/>
      <c r="G119" s="15"/>
      <c r="H119" s="15"/>
      <c r="I119" s="45"/>
    </row>
    <row r="120" s="1" customFormat="1" ht="35" customHeight="1" spans="1:9">
      <c r="A120" s="58"/>
      <c r="B120" s="59"/>
      <c r="C120" s="60"/>
      <c r="D120" s="61"/>
      <c r="E120" s="35">
        <v>0</v>
      </c>
      <c r="F120" s="15"/>
      <c r="G120" s="15"/>
      <c r="H120" s="15"/>
      <c r="I120" s="45"/>
    </row>
    <row r="121" s="1" customFormat="1" ht="35" customHeight="1" spans="1:9">
      <c r="A121" s="58"/>
      <c r="B121" s="59"/>
      <c r="C121" s="60"/>
      <c r="D121" s="61"/>
      <c r="E121" s="35">
        <v>0</v>
      </c>
      <c r="F121" s="15"/>
      <c r="G121" s="15"/>
      <c r="H121" s="15"/>
      <c r="I121" s="45"/>
    </row>
    <row r="122" s="1" customFormat="1" ht="35" customHeight="1" spans="1:9">
      <c r="A122" s="58"/>
      <c r="B122" s="59"/>
      <c r="C122" s="60"/>
      <c r="D122" s="61"/>
      <c r="E122" s="35">
        <v>0</v>
      </c>
      <c r="F122" s="15"/>
      <c r="G122" s="15"/>
      <c r="H122" s="15"/>
      <c r="I122" s="45"/>
    </row>
    <row r="123" s="1" customFormat="1" ht="35" customHeight="1" spans="1:9">
      <c r="A123" s="58"/>
      <c r="B123" s="59"/>
      <c r="C123" s="60"/>
      <c r="D123" s="61"/>
      <c r="E123" s="35">
        <v>0</v>
      </c>
      <c r="F123" s="15"/>
      <c r="G123" s="15"/>
      <c r="H123" s="15"/>
      <c r="I123" s="45"/>
    </row>
    <row r="124" s="1" customFormat="1" ht="35" customHeight="1" spans="1:9">
      <c r="A124" s="58"/>
      <c r="B124" s="59"/>
      <c r="C124" s="60"/>
      <c r="D124" s="61"/>
      <c r="E124" s="35">
        <v>0</v>
      </c>
      <c r="F124" s="15"/>
      <c r="G124" s="15"/>
      <c r="H124" s="15"/>
      <c r="I124" s="45"/>
    </row>
    <row r="125" s="1" customFormat="1" ht="35" customHeight="1" spans="1:9">
      <c r="A125" s="58"/>
      <c r="B125" s="59"/>
      <c r="C125" s="60"/>
      <c r="D125" s="61"/>
      <c r="E125" s="35">
        <v>0</v>
      </c>
      <c r="F125" s="15"/>
      <c r="G125" s="15"/>
      <c r="H125" s="15"/>
      <c r="I125" s="45"/>
    </row>
    <row r="126" s="1" customFormat="1" ht="35" customHeight="1" spans="1:9">
      <c r="A126" s="58"/>
      <c r="B126" s="59"/>
      <c r="C126" s="60"/>
      <c r="D126" s="61"/>
      <c r="E126" s="35">
        <v>0</v>
      </c>
      <c r="F126" s="15"/>
      <c r="G126" s="15"/>
      <c r="H126" s="15"/>
      <c r="I126" s="45"/>
    </row>
    <row r="127" s="1" customFormat="1" ht="35" customHeight="1" spans="1:9">
      <c r="A127" s="58"/>
      <c r="B127" s="59"/>
      <c r="C127" s="60"/>
      <c r="D127" s="61"/>
      <c r="E127" s="35">
        <v>0</v>
      </c>
      <c r="F127" s="15"/>
      <c r="G127" s="15"/>
      <c r="H127" s="15"/>
      <c r="I127" s="45"/>
    </row>
    <row r="128" s="1" customFormat="1" ht="35" customHeight="1" spans="1:9">
      <c r="A128" s="58"/>
      <c r="B128" s="59"/>
      <c r="C128" s="56" t="s">
        <v>59</v>
      </c>
      <c r="D128" s="57"/>
      <c r="E128" s="66"/>
      <c r="F128" s="15"/>
      <c r="G128" s="15"/>
      <c r="H128" s="15"/>
      <c r="I128" s="45"/>
    </row>
    <row r="129" s="1" customFormat="1" ht="35" customHeight="1" spans="1:9">
      <c r="A129" s="58"/>
      <c r="B129" s="59"/>
      <c r="C129" s="60"/>
      <c r="D129" s="61"/>
      <c r="E129" s="78">
        <v>0</v>
      </c>
      <c r="F129" s="15"/>
      <c r="G129" s="15"/>
      <c r="H129" s="15"/>
      <c r="I129" s="45"/>
    </row>
    <row r="130" s="1" customFormat="1" ht="35" customHeight="1" spans="1:9">
      <c r="A130" s="58"/>
      <c r="B130" s="59"/>
      <c r="C130" s="60"/>
      <c r="D130" s="61"/>
      <c r="E130" s="78">
        <v>0</v>
      </c>
      <c r="F130" s="15"/>
      <c r="G130" s="15"/>
      <c r="H130" s="15"/>
      <c r="I130" s="45"/>
    </row>
    <row r="131" s="1" customFormat="1" ht="35" customHeight="1" spans="1:9">
      <c r="A131" s="58"/>
      <c r="B131" s="59"/>
      <c r="C131" s="60"/>
      <c r="D131" s="61"/>
      <c r="E131" s="78">
        <v>0</v>
      </c>
      <c r="F131" s="15"/>
      <c r="G131" s="15"/>
      <c r="H131" s="15"/>
      <c r="I131" s="45"/>
    </row>
    <row r="132" s="1" customFormat="1" ht="35" customHeight="1" spans="1:9">
      <c r="A132" s="58"/>
      <c r="B132" s="59"/>
      <c r="C132" s="60"/>
      <c r="D132" s="61"/>
      <c r="E132" s="78">
        <v>0</v>
      </c>
      <c r="F132" s="15"/>
      <c r="G132" s="15"/>
      <c r="H132" s="15"/>
      <c r="I132" s="45"/>
    </row>
    <row r="133" s="1" customFormat="1" ht="35" customHeight="1" spans="1:9">
      <c r="A133" s="58"/>
      <c r="B133" s="59"/>
      <c r="C133" s="60"/>
      <c r="D133" s="61"/>
      <c r="E133" s="78">
        <v>0</v>
      </c>
      <c r="F133" s="15"/>
      <c r="G133" s="15"/>
      <c r="H133" s="15"/>
      <c r="I133" s="45"/>
    </row>
    <row r="134" s="1" customFormat="1" ht="35" customHeight="1" spans="1:9">
      <c r="A134" s="67"/>
      <c r="B134" s="68"/>
      <c r="C134" s="60"/>
      <c r="D134" s="61"/>
      <c r="E134" s="78">
        <v>0</v>
      </c>
      <c r="F134" s="15"/>
      <c r="G134" s="15"/>
      <c r="H134" s="15"/>
      <c r="I134" s="45"/>
    </row>
    <row r="135" s="1" customFormat="1" ht="35" customHeight="1" spans="1:9">
      <c r="A135" s="51" t="s">
        <v>60</v>
      </c>
      <c r="B135" s="69"/>
      <c r="C135" s="70"/>
      <c r="D135" s="71"/>
      <c r="E135" s="78">
        <f>C96</f>
        <v>0</v>
      </c>
      <c r="F135" s="15"/>
      <c r="G135" s="15"/>
      <c r="H135" s="15"/>
      <c r="I135" s="45"/>
    </row>
    <row r="136" s="1" customFormat="1" ht="35" customHeight="1" spans="1:9">
      <c r="A136" s="72"/>
      <c r="B136" s="73"/>
      <c r="C136" s="37" t="s">
        <v>61</v>
      </c>
      <c r="D136" s="37"/>
      <c r="E136" s="79">
        <f ca="1">(F16+E116)-(SUM(E118:E127)+SUM(E129:E135))</f>
        <v>0</v>
      </c>
      <c r="F136" s="15"/>
      <c r="G136" s="15"/>
      <c r="H136" s="15"/>
      <c r="I136" s="45"/>
    </row>
    <row r="137" s="1" customFormat="1" ht="35" customHeight="1" spans="1:9">
      <c r="A137" s="15"/>
      <c r="B137" s="15"/>
      <c r="C137" s="15"/>
      <c r="D137" s="15"/>
      <c r="E137" s="15"/>
      <c r="F137" s="15"/>
      <c r="G137" s="15"/>
      <c r="H137" s="15"/>
      <c r="I137" s="45"/>
    </row>
    <row r="138" s="1" customFormat="1" ht="35" customHeight="1" spans="1:9">
      <c r="A138" s="15"/>
      <c r="B138" s="15"/>
      <c r="C138" s="15"/>
      <c r="D138" s="15"/>
      <c r="E138" s="15"/>
      <c r="F138" s="15"/>
      <c r="G138" s="15"/>
      <c r="H138" s="15"/>
      <c r="I138" s="45"/>
    </row>
    <row r="139" s="1" customFormat="1" ht="35" customHeight="1" spans="1:9">
      <c r="A139" s="15"/>
      <c r="B139" s="15"/>
      <c r="C139" s="15"/>
      <c r="D139" s="15"/>
      <c r="E139" s="15"/>
      <c r="F139" s="15"/>
      <c r="G139" s="15"/>
      <c r="H139" s="15"/>
      <c r="I139" s="45"/>
    </row>
    <row r="140" s="1" customFormat="1" ht="35" customHeight="1" spans="1:9">
      <c r="A140" s="15"/>
      <c r="B140" s="15"/>
      <c r="C140" s="15"/>
      <c r="D140" s="15"/>
      <c r="E140" s="15"/>
      <c r="F140" s="15"/>
      <c r="G140" s="15"/>
      <c r="H140" s="15"/>
      <c r="I140" s="45"/>
    </row>
    <row r="141" s="1" customFormat="1" ht="35" customHeight="1" spans="1:9">
      <c r="A141" s="48" t="str">
        <f>"Debts Or Credits For the Comming "&amp;IF(Main!B2,TEXT(EDATE(Main!B3,25),"mmmm dd yyyy"),TEXT(Main!B3+((Main!B5-Main!B3)*25+25),"dd mmmm yyyy"))&amp;" to "&amp;IF(Main!B2,TEXT(EDATE(Main!B3,26)-1,"mmmm dd yyyy"),TEXT(Main!B3+((Main!B5-Main!B3)*26+25),"mmmm dd yyyy"))</f>
        <v>Debts Or Credits For the Comming June 01 2027 to June 30 2027</v>
      </c>
      <c r="B141" s="49"/>
      <c r="C141" s="49"/>
      <c r="D141" s="49"/>
      <c r="E141" s="50"/>
      <c r="F141" s="15"/>
      <c r="G141" s="15"/>
      <c r="H141" s="15"/>
      <c r="I141" s="45"/>
    </row>
    <row r="142" s="1" customFormat="1" ht="35" customHeight="1" spans="1:9">
      <c r="A142" s="48" t="s">
        <v>57</v>
      </c>
      <c r="B142" s="50"/>
      <c r="C142" s="74" t="s">
        <v>44</v>
      </c>
      <c r="D142" s="75"/>
      <c r="E142" s="80" t="s">
        <v>45</v>
      </c>
      <c r="F142" s="15"/>
      <c r="G142" s="15"/>
      <c r="H142" s="15"/>
      <c r="I142" s="45"/>
    </row>
    <row r="143" s="1" customFormat="1" ht="35" customHeight="1" spans="1:9">
      <c r="A143" s="51" t="str">
        <f>"Balance Brought Forward From "&amp;IF(Main!B2,TEXT(EDATE(Main!B3,25)-1,"mmmm yyyy"),TEXT(Main!B3+((Main!B5-Main!B3)*25+24),"mmmm yyyy"))</f>
        <v>Balance Brought Forward From May 2027</v>
      </c>
      <c r="B143" s="52"/>
      <c r="C143" s="53"/>
      <c r="D143" s="53"/>
      <c r="E143" s="79">
        <f ca="1">E136</f>
        <v>0</v>
      </c>
      <c r="F143" s="15"/>
      <c r="G143" s="15"/>
      <c r="H143" s="15"/>
      <c r="I143" s="45"/>
    </row>
    <row r="144" s="1" customFormat="1" ht="35" customHeight="1" spans="1:9">
      <c r="A144" s="54" t="s">
        <v>52</v>
      </c>
      <c r="B144" s="55"/>
      <c r="C144" s="76" t="s">
        <v>58</v>
      </c>
      <c r="D144" s="77"/>
      <c r="E144" s="81"/>
      <c r="F144" s="15"/>
      <c r="G144" s="15"/>
      <c r="H144" s="15"/>
      <c r="I144" s="45"/>
    </row>
    <row r="145" s="1" customFormat="1" ht="35" customHeight="1" spans="1:9">
      <c r="A145" s="58"/>
      <c r="B145" s="59"/>
      <c r="C145" s="60"/>
      <c r="D145" s="61"/>
      <c r="E145" s="35">
        <v>0</v>
      </c>
      <c r="F145" s="15"/>
      <c r="G145" s="15"/>
      <c r="H145" s="15"/>
      <c r="I145" s="45"/>
    </row>
    <row r="146" s="1" customFormat="1" ht="35" customHeight="1" spans="1:9">
      <c r="A146" s="58"/>
      <c r="B146" s="59"/>
      <c r="C146" s="60"/>
      <c r="D146" s="61"/>
      <c r="E146" s="35">
        <v>0</v>
      </c>
      <c r="F146" s="15"/>
      <c r="G146" s="15"/>
      <c r="H146" s="15"/>
      <c r="I146" s="45"/>
    </row>
    <row r="147" s="1" customFormat="1" ht="35" customHeight="1" spans="1:9">
      <c r="A147" s="58"/>
      <c r="B147" s="59"/>
      <c r="C147" s="60"/>
      <c r="D147" s="61"/>
      <c r="E147" s="35">
        <v>0</v>
      </c>
      <c r="F147" s="15"/>
      <c r="G147" s="15"/>
      <c r="H147" s="15"/>
      <c r="I147" s="45"/>
    </row>
    <row r="148" s="1" customFormat="1" ht="35" customHeight="1" spans="1:9">
      <c r="A148" s="58"/>
      <c r="B148" s="59"/>
      <c r="C148" s="60"/>
      <c r="D148" s="61"/>
      <c r="E148" s="35">
        <v>0</v>
      </c>
      <c r="F148" s="15"/>
      <c r="G148" s="15"/>
      <c r="H148" s="15"/>
      <c r="I148" s="45"/>
    </row>
    <row r="149" s="1" customFormat="1" ht="35" customHeight="1" spans="1:9">
      <c r="A149" s="58"/>
      <c r="B149" s="59"/>
      <c r="C149" s="60"/>
      <c r="D149" s="61"/>
      <c r="E149" s="35">
        <v>0</v>
      </c>
      <c r="F149" s="15"/>
      <c r="G149" s="15"/>
      <c r="H149" s="15"/>
      <c r="I149" s="45"/>
    </row>
    <row r="150" s="1" customFormat="1" ht="35" customHeight="1" spans="1:9">
      <c r="A150" s="58"/>
      <c r="B150" s="59"/>
      <c r="C150" s="60"/>
      <c r="D150" s="61"/>
      <c r="E150" s="35">
        <v>0</v>
      </c>
      <c r="F150" s="15"/>
      <c r="G150" s="15"/>
      <c r="H150" s="15"/>
      <c r="I150" s="45"/>
    </row>
    <row r="151" s="1" customFormat="1" ht="35" customHeight="1" spans="1:9">
      <c r="A151" s="58"/>
      <c r="B151" s="59"/>
      <c r="C151" s="60"/>
      <c r="D151" s="61"/>
      <c r="E151" s="35">
        <v>0</v>
      </c>
      <c r="F151" s="15"/>
      <c r="G151" s="15"/>
      <c r="H151" s="15"/>
      <c r="I151" s="45"/>
    </row>
    <row r="152" s="1" customFormat="1" ht="35" customHeight="1" spans="1:9">
      <c r="A152" s="58"/>
      <c r="B152" s="59"/>
      <c r="C152" s="60"/>
      <c r="D152" s="61"/>
      <c r="E152" s="35">
        <v>0</v>
      </c>
      <c r="F152" s="15"/>
      <c r="G152" s="15"/>
      <c r="H152" s="15"/>
      <c r="I152" s="45"/>
    </row>
    <row r="153" s="1" customFormat="1" ht="35" customHeight="1" spans="1:9">
      <c r="A153" s="58"/>
      <c r="B153" s="59"/>
      <c r="C153" s="60"/>
      <c r="D153" s="61"/>
      <c r="E153" s="35">
        <v>0</v>
      </c>
      <c r="F153" s="15"/>
      <c r="G153" s="15"/>
      <c r="H153" s="15"/>
      <c r="I153" s="45"/>
    </row>
    <row r="154" s="1" customFormat="1" ht="35" customHeight="1" spans="1:9">
      <c r="A154" s="58"/>
      <c r="B154" s="59"/>
      <c r="C154" s="60"/>
      <c r="D154" s="61"/>
      <c r="E154" s="35">
        <v>0</v>
      </c>
      <c r="F154" s="15"/>
      <c r="G154" s="15"/>
      <c r="H154" s="15"/>
      <c r="I154" s="45"/>
    </row>
    <row r="155" s="1" customFormat="1" ht="35" customHeight="1" spans="1:9">
      <c r="A155" s="58"/>
      <c r="B155" s="59"/>
      <c r="C155" s="56" t="s">
        <v>59</v>
      </c>
      <c r="D155" s="57"/>
      <c r="E155" s="66"/>
      <c r="F155" s="15"/>
      <c r="G155" s="15"/>
      <c r="H155" s="15"/>
      <c r="I155" s="45"/>
    </row>
    <row r="156" s="1" customFormat="1" ht="35" customHeight="1" spans="1:9">
      <c r="A156" s="58"/>
      <c r="B156" s="59"/>
      <c r="C156" s="60"/>
      <c r="D156" s="61"/>
      <c r="E156" s="78">
        <v>0</v>
      </c>
      <c r="F156" s="15"/>
      <c r="G156" s="15"/>
      <c r="H156" s="15"/>
      <c r="I156" s="45"/>
    </row>
    <row r="157" s="1" customFormat="1" ht="35" customHeight="1" spans="1:9">
      <c r="A157" s="58"/>
      <c r="B157" s="59"/>
      <c r="C157" s="60"/>
      <c r="D157" s="61"/>
      <c r="E157" s="78">
        <v>0</v>
      </c>
      <c r="F157" s="15"/>
      <c r="G157" s="15"/>
      <c r="H157" s="15"/>
      <c r="I157" s="45"/>
    </row>
    <row r="158" s="1" customFormat="1" ht="35" customHeight="1" spans="1:9">
      <c r="A158" s="58"/>
      <c r="B158" s="59"/>
      <c r="C158" s="60"/>
      <c r="D158" s="61"/>
      <c r="E158" s="78">
        <v>0</v>
      </c>
      <c r="F158" s="15"/>
      <c r="G158" s="15"/>
      <c r="H158" s="15"/>
      <c r="I158" s="45"/>
    </row>
    <row r="159" s="1" customFormat="1" ht="35" customHeight="1" spans="1:9">
      <c r="A159" s="58"/>
      <c r="B159" s="59"/>
      <c r="C159" s="60"/>
      <c r="D159" s="61"/>
      <c r="E159" s="78">
        <v>0</v>
      </c>
      <c r="F159" s="15"/>
      <c r="G159" s="15"/>
      <c r="H159" s="15"/>
      <c r="I159" s="45"/>
    </row>
    <row r="160" s="1" customFormat="1" ht="35" customHeight="1" spans="1:9">
      <c r="A160" s="58"/>
      <c r="B160" s="59"/>
      <c r="C160" s="60"/>
      <c r="D160" s="61"/>
      <c r="E160" s="78">
        <v>0</v>
      </c>
      <c r="F160" s="15"/>
      <c r="G160" s="15"/>
      <c r="H160" s="15"/>
      <c r="I160" s="45"/>
    </row>
    <row r="161" s="1" customFormat="1" ht="35" customHeight="1" spans="1:9">
      <c r="A161" s="67"/>
      <c r="B161" s="68"/>
      <c r="C161" s="60"/>
      <c r="D161" s="61"/>
      <c r="E161" s="78">
        <v>0</v>
      </c>
      <c r="F161" s="15"/>
      <c r="G161" s="15"/>
      <c r="H161" s="15"/>
      <c r="I161" s="45"/>
    </row>
    <row r="162" s="1" customFormat="1" ht="35" customHeight="1" spans="1:9">
      <c r="A162" s="51" t="s">
        <v>60</v>
      </c>
      <c r="B162" s="69"/>
      <c r="C162" s="70"/>
      <c r="D162" s="71"/>
      <c r="E162" s="78">
        <f>C96</f>
        <v>0</v>
      </c>
      <c r="F162" s="15"/>
      <c r="G162" s="15"/>
      <c r="H162" s="15"/>
      <c r="I162" s="45"/>
    </row>
    <row r="163" s="1" customFormat="1" ht="35" customHeight="1" spans="1:9">
      <c r="A163" s="72"/>
      <c r="B163" s="73"/>
      <c r="C163" s="37" t="s">
        <v>61</v>
      </c>
      <c r="D163" s="37"/>
      <c r="E163" s="65">
        <f ca="1">(F28+E143)-(SUM(E145:E154)+SUM(E156:E162))</f>
        <v>0</v>
      </c>
      <c r="F163" s="15"/>
      <c r="G163" s="15"/>
      <c r="H163" s="15"/>
      <c r="I163" s="45"/>
    </row>
    <row r="164" s="1" customFormat="1" ht="35" customHeight="1" spans="1:9">
      <c r="A164" s="15"/>
      <c r="B164" s="15"/>
      <c r="C164" s="15"/>
      <c r="D164" s="15"/>
      <c r="E164" s="15"/>
      <c r="F164" s="15"/>
      <c r="G164" s="15"/>
      <c r="H164" s="15"/>
      <c r="I164" s="45"/>
    </row>
    <row r="165" s="1" customFormat="1" ht="35" customHeight="1" spans="1:9">
      <c r="A165" s="15"/>
      <c r="B165" s="15"/>
      <c r="C165" s="15"/>
      <c r="D165" s="15"/>
      <c r="E165" s="15"/>
      <c r="F165" s="15"/>
      <c r="G165" s="15"/>
      <c r="H165" s="15"/>
      <c r="I165" s="45"/>
    </row>
    <row r="166" s="1" customFormat="1" ht="35" customHeight="1" spans="1:9">
      <c r="A166" s="15"/>
      <c r="B166" s="15"/>
      <c r="C166" s="15"/>
      <c r="D166" s="15"/>
      <c r="E166" s="15"/>
      <c r="F166" s="15"/>
      <c r="G166" s="15"/>
      <c r="H166" s="15"/>
      <c r="I166" s="45"/>
    </row>
    <row r="167" s="1" customFormat="1" ht="35" customHeight="1" spans="1:9">
      <c r="A167" s="15"/>
      <c r="B167" s="15"/>
      <c r="C167" s="15"/>
      <c r="D167" s="15"/>
      <c r="E167" s="15"/>
      <c r="F167" s="15"/>
      <c r="G167" s="15"/>
      <c r="H167" s="15"/>
      <c r="I167" s="45"/>
    </row>
    <row r="168" s="1" customFormat="1" ht="35" customHeight="1" spans="1:9">
      <c r="A168" s="48" t="str">
        <f>"Debts Or Credits For the Comming "&amp;IF(Main!B2,TEXT(EDATE(Main!B3,26),"mmmm dd yyyy"),TEXT(Main!B3+((Main!B5-Main!B3)*26+26),"mmmm dd yyyy"))&amp;" to "&amp;IF(Main!B2,TEXT(EDATE(Main!B3,27)-1,"mmmm dd yyyy"),TEXT(Main!B3+((Main!B5-Main!B3)*27+26),"mmmm dd yyyy"))</f>
        <v>Debts Or Credits For the Comming July 01 2027 to July 31 2027</v>
      </c>
      <c r="B168" s="49"/>
      <c r="C168" s="49"/>
      <c r="D168" s="49"/>
      <c r="E168" s="50"/>
      <c r="F168" s="15"/>
      <c r="G168" s="15"/>
      <c r="H168" s="15"/>
      <c r="I168" s="45"/>
    </row>
    <row r="169" s="1" customFormat="1" ht="35" customHeight="1" spans="1:9">
      <c r="A169" s="48" t="s">
        <v>57</v>
      </c>
      <c r="B169" s="50"/>
      <c r="C169" s="74" t="s">
        <v>44</v>
      </c>
      <c r="D169" s="75"/>
      <c r="E169" s="80" t="s">
        <v>45</v>
      </c>
      <c r="F169" s="15"/>
      <c r="G169" s="15"/>
      <c r="H169" s="15"/>
      <c r="I169" s="45"/>
    </row>
    <row r="170" s="1" customFormat="1" ht="35" customHeight="1" spans="1:9">
      <c r="A170" s="51" t="str">
        <f>"Balance Brought Forward From "&amp;IF(Main!B2,TEXT(EDATE(Main!B3,26)-1,"mmmm yyyy"),TEXT(Main!B3+((Main!B5-Main!B3)*26+25),"mmmm yyyy"))</f>
        <v>Balance Brought Forward From June 2027</v>
      </c>
      <c r="B170" s="52"/>
      <c r="C170" s="53"/>
      <c r="D170" s="53"/>
      <c r="E170" s="65">
        <f ca="1">E163</f>
        <v>0</v>
      </c>
      <c r="F170" s="15"/>
      <c r="G170" s="15"/>
      <c r="H170" s="15"/>
      <c r="I170" s="45"/>
    </row>
    <row r="171" s="1" customFormat="1" ht="35" customHeight="1" spans="1:9">
      <c r="A171" s="54" t="s">
        <v>52</v>
      </c>
      <c r="B171" s="55"/>
      <c r="C171" s="76" t="s">
        <v>58</v>
      </c>
      <c r="D171" s="77"/>
      <c r="E171" s="81"/>
      <c r="F171" s="15"/>
      <c r="G171" s="15"/>
      <c r="H171" s="15"/>
      <c r="I171" s="45"/>
    </row>
    <row r="172" s="1" customFormat="1" ht="35" customHeight="1" spans="1:9">
      <c r="A172" s="58"/>
      <c r="B172" s="59"/>
      <c r="C172" s="60"/>
      <c r="D172" s="61"/>
      <c r="E172" s="35">
        <v>0</v>
      </c>
      <c r="F172" s="15"/>
      <c r="G172" s="15"/>
      <c r="H172" s="15"/>
      <c r="I172" s="45"/>
    </row>
    <row r="173" s="1" customFormat="1" ht="35" customHeight="1" spans="1:9">
      <c r="A173" s="58"/>
      <c r="B173" s="59"/>
      <c r="C173" s="60"/>
      <c r="D173" s="61"/>
      <c r="E173" s="35">
        <v>0</v>
      </c>
      <c r="F173" s="15"/>
      <c r="G173" s="15"/>
      <c r="H173" s="15"/>
      <c r="I173" s="45"/>
    </row>
    <row r="174" s="1" customFormat="1" ht="35" customHeight="1" spans="1:9">
      <c r="A174" s="58"/>
      <c r="B174" s="59"/>
      <c r="C174" s="60"/>
      <c r="D174" s="61"/>
      <c r="E174" s="35">
        <v>0</v>
      </c>
      <c r="F174" s="15"/>
      <c r="G174" s="15"/>
      <c r="H174" s="15"/>
      <c r="I174" s="45"/>
    </row>
    <row r="175" s="1" customFormat="1" ht="35" customHeight="1" spans="1:9">
      <c r="A175" s="58"/>
      <c r="B175" s="59"/>
      <c r="C175" s="60"/>
      <c r="D175" s="61"/>
      <c r="E175" s="35">
        <v>0</v>
      </c>
      <c r="F175" s="15"/>
      <c r="G175" s="15"/>
      <c r="H175" s="15"/>
      <c r="I175" s="45"/>
    </row>
    <row r="176" s="1" customFormat="1" ht="35" customHeight="1" spans="1:9">
      <c r="A176" s="58"/>
      <c r="B176" s="59"/>
      <c r="C176" s="60"/>
      <c r="D176" s="61"/>
      <c r="E176" s="35">
        <v>0</v>
      </c>
      <c r="F176" s="15"/>
      <c r="G176" s="15"/>
      <c r="H176" s="15"/>
      <c r="I176" s="45"/>
    </row>
    <row r="177" s="1" customFormat="1" ht="35" customHeight="1" spans="1:9">
      <c r="A177" s="58"/>
      <c r="B177" s="59"/>
      <c r="C177" s="60"/>
      <c r="D177" s="61"/>
      <c r="E177" s="35">
        <v>0</v>
      </c>
      <c r="F177" s="15"/>
      <c r="G177" s="15"/>
      <c r="H177" s="15"/>
      <c r="I177" s="45"/>
    </row>
    <row r="178" s="1" customFormat="1" ht="35" customHeight="1" spans="1:9">
      <c r="A178" s="58"/>
      <c r="B178" s="59"/>
      <c r="C178" s="60"/>
      <c r="D178" s="61"/>
      <c r="E178" s="35">
        <v>0</v>
      </c>
      <c r="F178" s="15"/>
      <c r="G178" s="15"/>
      <c r="H178" s="15"/>
      <c r="I178" s="45"/>
    </row>
    <row r="179" s="1" customFormat="1" ht="35" customHeight="1" spans="1:9">
      <c r="A179" s="58"/>
      <c r="B179" s="59"/>
      <c r="C179" s="60"/>
      <c r="D179" s="61"/>
      <c r="E179" s="35">
        <v>0</v>
      </c>
      <c r="F179" s="15"/>
      <c r="G179" s="15"/>
      <c r="H179" s="15"/>
      <c r="I179" s="45"/>
    </row>
    <row r="180" s="1" customFormat="1" ht="35" customHeight="1" spans="1:9">
      <c r="A180" s="58"/>
      <c r="B180" s="59"/>
      <c r="C180" s="60"/>
      <c r="D180" s="61"/>
      <c r="E180" s="35">
        <v>0</v>
      </c>
      <c r="F180" s="15"/>
      <c r="G180" s="15"/>
      <c r="H180" s="15"/>
      <c r="I180" s="45"/>
    </row>
    <row r="181" s="1" customFormat="1" ht="35" customHeight="1" spans="1:9">
      <c r="A181" s="58"/>
      <c r="B181" s="59"/>
      <c r="C181" s="60"/>
      <c r="D181" s="61"/>
      <c r="E181" s="35">
        <v>0</v>
      </c>
      <c r="F181" s="15"/>
      <c r="G181" s="15"/>
      <c r="H181" s="15"/>
      <c r="I181" s="45"/>
    </row>
    <row r="182" s="1" customFormat="1" ht="35" customHeight="1" spans="1:9">
      <c r="A182" s="58"/>
      <c r="B182" s="59"/>
      <c r="C182" s="56" t="s">
        <v>59</v>
      </c>
      <c r="D182" s="57"/>
      <c r="E182" s="66"/>
      <c r="F182" s="15"/>
      <c r="G182" s="15"/>
      <c r="H182" s="15"/>
      <c r="I182" s="45"/>
    </row>
    <row r="183" s="1" customFormat="1" ht="35" customHeight="1" spans="1:9">
      <c r="A183" s="58"/>
      <c r="B183" s="59"/>
      <c r="C183" s="60"/>
      <c r="D183" s="61"/>
      <c r="E183" s="78">
        <v>0</v>
      </c>
      <c r="F183" s="15"/>
      <c r="G183" s="15"/>
      <c r="H183" s="15"/>
      <c r="I183" s="45"/>
    </row>
    <row r="184" s="1" customFormat="1" ht="35" customHeight="1" spans="1:9">
      <c r="A184" s="58"/>
      <c r="B184" s="59"/>
      <c r="C184" s="60"/>
      <c r="D184" s="61"/>
      <c r="E184" s="78">
        <v>0</v>
      </c>
      <c r="F184" s="15"/>
      <c r="G184" s="15"/>
      <c r="H184" s="15"/>
      <c r="I184" s="45"/>
    </row>
    <row r="185" s="1" customFormat="1" ht="35" customHeight="1" spans="1:9">
      <c r="A185" s="58"/>
      <c r="B185" s="59"/>
      <c r="C185" s="60"/>
      <c r="D185" s="61"/>
      <c r="E185" s="78">
        <v>0</v>
      </c>
      <c r="F185" s="15"/>
      <c r="G185" s="15"/>
      <c r="H185" s="15"/>
      <c r="I185" s="45"/>
    </row>
    <row r="186" s="1" customFormat="1" ht="35" customHeight="1" spans="1:9">
      <c r="A186" s="58"/>
      <c r="B186" s="59"/>
      <c r="C186" s="60"/>
      <c r="D186" s="61"/>
      <c r="E186" s="78">
        <v>0</v>
      </c>
      <c r="F186" s="15"/>
      <c r="G186" s="15"/>
      <c r="H186" s="15"/>
      <c r="I186" s="45"/>
    </row>
    <row r="187" s="1" customFormat="1" ht="35" customHeight="1" spans="1:9">
      <c r="A187" s="58"/>
      <c r="B187" s="59"/>
      <c r="C187" s="60"/>
      <c r="D187" s="61"/>
      <c r="E187" s="78">
        <v>0</v>
      </c>
      <c r="F187" s="15"/>
      <c r="G187" s="15"/>
      <c r="H187" s="15"/>
      <c r="I187" s="45"/>
    </row>
    <row r="188" s="1" customFormat="1" ht="35" customHeight="1" spans="1:9">
      <c r="A188" s="67"/>
      <c r="B188" s="68"/>
      <c r="C188" s="60"/>
      <c r="D188" s="61"/>
      <c r="E188" s="78">
        <v>0</v>
      </c>
      <c r="F188" s="15"/>
      <c r="G188" s="15"/>
      <c r="H188" s="15"/>
      <c r="I188" s="45"/>
    </row>
    <row r="189" s="1" customFormat="1" ht="35" customHeight="1" spans="1:9">
      <c r="A189" s="51" t="s">
        <v>60</v>
      </c>
      <c r="B189" s="69"/>
      <c r="C189" s="70"/>
      <c r="D189" s="71"/>
      <c r="E189" s="78">
        <f>C96</f>
        <v>0</v>
      </c>
      <c r="F189" s="15"/>
      <c r="G189" s="15"/>
      <c r="H189" s="15"/>
      <c r="I189" s="45"/>
    </row>
    <row r="190" s="1" customFormat="1" ht="35" customHeight="1" spans="1:9">
      <c r="A190" s="72"/>
      <c r="B190" s="73"/>
      <c r="C190" s="37" t="s">
        <v>61</v>
      </c>
      <c r="D190" s="37"/>
      <c r="E190" s="65">
        <f ca="1">(F40+E170)-(SUM(E172:E181)+SUM(E183:E189))</f>
        <v>0</v>
      </c>
      <c r="F190" s="15"/>
      <c r="G190" s="15"/>
      <c r="H190" s="15"/>
      <c r="I190" s="45"/>
    </row>
    <row r="191" s="1" customFormat="1" ht="35" customHeight="1" spans="1:9">
      <c r="A191" s="15"/>
      <c r="B191" s="15"/>
      <c r="C191" s="15"/>
      <c r="D191" s="15"/>
      <c r="E191" s="15"/>
      <c r="F191" s="15"/>
      <c r="G191" s="15"/>
      <c r="H191" s="15"/>
      <c r="I191" s="45"/>
    </row>
    <row r="192" ht="24.75" customHeight="1" spans="1:9">
      <c r="A192" s="82"/>
      <c r="B192" s="82"/>
      <c r="C192" s="82"/>
      <c r="D192" s="82"/>
      <c r="E192" s="82"/>
      <c r="F192" s="82"/>
      <c r="G192" s="82"/>
      <c r="H192" s="82"/>
      <c r="I192" s="82"/>
    </row>
    <row r="193" spans="1:9">
      <c r="A193" s="82"/>
      <c r="B193" s="82"/>
      <c r="C193" s="82"/>
      <c r="D193" s="82"/>
      <c r="E193" s="82"/>
      <c r="F193" s="82"/>
      <c r="G193" s="82"/>
      <c r="H193" s="82"/>
      <c r="I193" s="82"/>
    </row>
  </sheetData>
  <sheetProtection sheet="1" formatCells="0" formatColumns="0" formatRows="0" objects="1"/>
  <protectedRanges>
    <protectedRange sqref="A10:G15" name="R1"/>
    <protectedRange sqref="A22:G27" name="R2"/>
    <protectedRange sqref="A34:G39" name="R3"/>
    <protectedRange sqref="A46:C46 C47:C54" name="F1"/>
    <protectedRange sqref="C56:C65" name="F2"/>
    <protectedRange sqref="C67:C74" name="F3"/>
    <protectedRange sqref="C76:C84" name="F4"/>
    <protectedRange sqref="C86:C94" name="F5"/>
    <protectedRange sqref="C117:E134" name="E1"/>
    <protectedRange sqref="C144:E161" name="E2"/>
    <protectedRange sqref="C171:E188" name="E3"/>
    <protectedRange sqref="A56:B56" name="F2_1"/>
    <protectedRange sqref="A67:B67" name="F3_1"/>
    <protectedRange sqref="A76:B76" name="F4_1"/>
    <protectedRange sqref="A86:B86" name="F5_1"/>
  </protectedRanges>
  <mergeCells count="174">
    <mergeCell ref="A1:G1"/>
    <mergeCell ref="C2:G2"/>
    <mergeCell ref="C3:G3"/>
    <mergeCell ref="A4:B4"/>
    <mergeCell ref="C4:G4"/>
    <mergeCell ref="A5:B5"/>
    <mergeCell ref="C5:G5"/>
    <mergeCell ref="A8:G8"/>
    <mergeCell ref="B9:C9"/>
    <mergeCell ref="D9:E9"/>
    <mergeCell ref="F9:G9"/>
    <mergeCell ref="B10:C10"/>
    <mergeCell ref="D10:E10"/>
    <mergeCell ref="F10:G10"/>
    <mergeCell ref="B11:C11"/>
    <mergeCell ref="D11:E11"/>
    <mergeCell ref="F11:G11"/>
    <mergeCell ref="B12:C12"/>
    <mergeCell ref="D12:E12"/>
    <mergeCell ref="F12:G12"/>
    <mergeCell ref="B13:C13"/>
    <mergeCell ref="D13:E13"/>
    <mergeCell ref="F13:G13"/>
    <mergeCell ref="B14:C14"/>
    <mergeCell ref="D14:E14"/>
    <mergeCell ref="F14:G14"/>
    <mergeCell ref="B15:C15"/>
    <mergeCell ref="D15:E15"/>
    <mergeCell ref="F15:G15"/>
    <mergeCell ref="B16:C16"/>
    <mergeCell ref="D16:E16"/>
    <mergeCell ref="F16:G16"/>
    <mergeCell ref="A20:G20"/>
    <mergeCell ref="B21:C21"/>
    <mergeCell ref="D21:E21"/>
    <mergeCell ref="F21:G21"/>
    <mergeCell ref="B22:C22"/>
    <mergeCell ref="D22:E22"/>
    <mergeCell ref="F22:G22"/>
    <mergeCell ref="B23:C23"/>
    <mergeCell ref="D23:E23"/>
    <mergeCell ref="F23:G23"/>
    <mergeCell ref="B24:C24"/>
    <mergeCell ref="D24:E24"/>
    <mergeCell ref="F24:G24"/>
    <mergeCell ref="B25:C25"/>
    <mergeCell ref="D25:E25"/>
    <mergeCell ref="F25:G25"/>
    <mergeCell ref="B26:C26"/>
    <mergeCell ref="D26:E26"/>
    <mergeCell ref="F26:G26"/>
    <mergeCell ref="B27:C27"/>
    <mergeCell ref="D27:E27"/>
    <mergeCell ref="F27:G27"/>
    <mergeCell ref="B28:C28"/>
    <mergeCell ref="D28:E28"/>
    <mergeCell ref="F28:G28"/>
    <mergeCell ref="A32:G32"/>
    <mergeCell ref="B33:C33"/>
    <mergeCell ref="D33:E33"/>
    <mergeCell ref="F33:G33"/>
    <mergeCell ref="B34:C34"/>
    <mergeCell ref="D34:E34"/>
    <mergeCell ref="F34:G34"/>
    <mergeCell ref="B35:C35"/>
    <mergeCell ref="D35:E35"/>
    <mergeCell ref="F35:G35"/>
    <mergeCell ref="B36:C36"/>
    <mergeCell ref="D36:E36"/>
    <mergeCell ref="F36:G36"/>
    <mergeCell ref="B37:C37"/>
    <mergeCell ref="D37:E37"/>
    <mergeCell ref="F37:G37"/>
    <mergeCell ref="B38:C38"/>
    <mergeCell ref="D38:E38"/>
    <mergeCell ref="F38:G38"/>
    <mergeCell ref="B39:C39"/>
    <mergeCell ref="D39:E39"/>
    <mergeCell ref="F39:G39"/>
    <mergeCell ref="B40:C40"/>
    <mergeCell ref="D40:E40"/>
    <mergeCell ref="F40:G40"/>
    <mergeCell ref="A44:C44"/>
    <mergeCell ref="A46:C46"/>
    <mergeCell ref="A56:C56"/>
    <mergeCell ref="A67:C67"/>
    <mergeCell ref="A76:C76"/>
    <mergeCell ref="A86:C86"/>
    <mergeCell ref="A97:C97"/>
    <mergeCell ref="A114:E114"/>
    <mergeCell ref="A115:B115"/>
    <mergeCell ref="C115:D115"/>
    <mergeCell ref="A116:B116"/>
    <mergeCell ref="C116:D116"/>
    <mergeCell ref="C117:D117"/>
    <mergeCell ref="C118:D118"/>
    <mergeCell ref="C119:D119"/>
    <mergeCell ref="C120:D120"/>
    <mergeCell ref="C121:D121"/>
    <mergeCell ref="C122:D122"/>
    <mergeCell ref="C123:D123"/>
    <mergeCell ref="C124:D124"/>
    <mergeCell ref="C125:D125"/>
    <mergeCell ref="C126:D126"/>
    <mergeCell ref="C127:D127"/>
    <mergeCell ref="C128:D128"/>
    <mergeCell ref="C129:D129"/>
    <mergeCell ref="C130:D130"/>
    <mergeCell ref="C131:D131"/>
    <mergeCell ref="C132:D132"/>
    <mergeCell ref="C133:D133"/>
    <mergeCell ref="C134:D134"/>
    <mergeCell ref="A135:B135"/>
    <mergeCell ref="C135:D135"/>
    <mergeCell ref="A136:B136"/>
    <mergeCell ref="C136:D136"/>
    <mergeCell ref="A141:E141"/>
    <mergeCell ref="A142:B142"/>
    <mergeCell ref="C142:D142"/>
    <mergeCell ref="A143:B143"/>
    <mergeCell ref="C143:D143"/>
    <mergeCell ref="C144:D144"/>
    <mergeCell ref="C145:D145"/>
    <mergeCell ref="C146:D146"/>
    <mergeCell ref="C147:D147"/>
    <mergeCell ref="C148:D148"/>
    <mergeCell ref="C149:D149"/>
    <mergeCell ref="C150:D150"/>
    <mergeCell ref="C151:D151"/>
    <mergeCell ref="C152:D152"/>
    <mergeCell ref="C153:D153"/>
    <mergeCell ref="C154:D154"/>
    <mergeCell ref="C155:D155"/>
    <mergeCell ref="C156:D156"/>
    <mergeCell ref="C157:D157"/>
    <mergeCell ref="C158:D158"/>
    <mergeCell ref="C159:D159"/>
    <mergeCell ref="C160:D160"/>
    <mergeCell ref="C161:D161"/>
    <mergeCell ref="A162:B162"/>
    <mergeCell ref="C162:D162"/>
    <mergeCell ref="A163:B163"/>
    <mergeCell ref="C163:D163"/>
    <mergeCell ref="A168:E168"/>
    <mergeCell ref="A169:B169"/>
    <mergeCell ref="C169:D169"/>
    <mergeCell ref="A170:B170"/>
    <mergeCell ref="C170:D170"/>
    <mergeCell ref="C171:D171"/>
    <mergeCell ref="C172:D172"/>
    <mergeCell ref="C173:D173"/>
    <mergeCell ref="C174:D174"/>
    <mergeCell ref="C175:D175"/>
    <mergeCell ref="C176:D176"/>
    <mergeCell ref="C177:D177"/>
    <mergeCell ref="C178:D178"/>
    <mergeCell ref="C179:D179"/>
    <mergeCell ref="C180:D180"/>
    <mergeCell ref="C181:D181"/>
    <mergeCell ref="C182:D182"/>
    <mergeCell ref="C183:D183"/>
    <mergeCell ref="C184:D184"/>
    <mergeCell ref="C185:D185"/>
    <mergeCell ref="C186:D186"/>
    <mergeCell ref="C187:D187"/>
    <mergeCell ref="C188:D188"/>
    <mergeCell ref="A189:B189"/>
    <mergeCell ref="C189:D189"/>
    <mergeCell ref="A190:B190"/>
    <mergeCell ref="C190:D190"/>
    <mergeCell ref="A2:A3"/>
    <mergeCell ref="A117:B134"/>
    <mergeCell ref="A144:B161"/>
    <mergeCell ref="A171:B188"/>
  </mergeCells>
  <conditionalFormatting sqref="C5">
    <cfRule type="cellIs" dxfId="0" priority="4" operator="equal">
      <formula>0</formula>
    </cfRule>
    <cfRule type="cellIs" dxfId="1" priority="3" operator="greaterThan">
      <formula>0</formula>
    </cfRule>
  </conditionalFormatting>
  <conditionalFormatting sqref="C75">
    <cfRule type="cellIs" dxfId="0" priority="51" operator="equal">
      <formula>0</formula>
    </cfRule>
    <cfRule type="cellIs" dxfId="1" priority="50" operator="greaterThan">
      <formula>0</formula>
    </cfRule>
  </conditionalFormatting>
  <conditionalFormatting sqref="C77">
    <cfRule type="cellIs" dxfId="0" priority="49" operator="equal">
      <formula>0</formula>
    </cfRule>
    <cfRule type="cellIs" dxfId="1" priority="48" operator="greaterThan">
      <formula>0</formula>
    </cfRule>
  </conditionalFormatting>
  <conditionalFormatting sqref="C108">
    <cfRule type="cellIs" dxfId="0" priority="6" operator="greaterThanOrEqual">
      <formula>0</formula>
    </cfRule>
    <cfRule type="cellIs" dxfId="1" priority="5" operator="lessThan">
      <formula>0</formula>
    </cfRule>
  </conditionalFormatting>
  <conditionalFormatting sqref="C109">
    <cfRule type="cellIs" dxfId="0" priority="2" operator="greaterThanOrEqual">
      <formula>0</formula>
    </cfRule>
    <cfRule type="cellIs" dxfId="1" priority="1" operator="lessThan">
      <formula>0</formula>
    </cfRule>
  </conditionalFormatting>
  <conditionalFormatting sqref="E116">
    <cfRule type="cellIs" dxfId="3" priority="12" operator="greaterThanOrEqual">
      <formula>0</formula>
    </cfRule>
    <cfRule type="cellIs" dxfId="4" priority="11" operator="lessThan">
      <formula>0</formula>
    </cfRule>
  </conditionalFormatting>
  <conditionalFormatting sqref="E136">
    <cfRule type="cellIs" dxfId="3" priority="43" operator="greaterThanOrEqual">
      <formula>0</formula>
    </cfRule>
    <cfRule type="cellIs" dxfId="4" priority="42" operator="lessThan">
      <formula>0</formula>
    </cfRule>
  </conditionalFormatting>
  <conditionalFormatting sqref="E143">
    <cfRule type="cellIs" dxfId="3" priority="30" operator="greaterThanOrEqual">
      <formula>0</formula>
    </cfRule>
    <cfRule type="cellIs" dxfId="4" priority="29" operator="lessThan">
      <formula>0</formula>
    </cfRule>
  </conditionalFormatting>
  <conditionalFormatting sqref="E163">
    <cfRule type="cellIs" dxfId="3" priority="32" operator="greaterThanOrEqual">
      <formula>0</formula>
    </cfRule>
    <cfRule type="cellIs" dxfId="4" priority="31" operator="lessThan">
      <formula>0</formula>
    </cfRule>
  </conditionalFormatting>
  <conditionalFormatting sqref="E170">
    <cfRule type="cellIs" dxfId="3" priority="24" operator="greaterThanOrEqual">
      <formula>0</formula>
    </cfRule>
    <cfRule type="cellIs" dxfId="4" priority="23" operator="lessThan">
      <formula>0</formula>
    </cfRule>
  </conditionalFormatting>
  <conditionalFormatting sqref="E190">
    <cfRule type="cellIs" dxfId="3" priority="26" operator="greaterThanOrEqual">
      <formula>0</formula>
    </cfRule>
    <cfRule type="cellIs" dxfId="4" priority="25" operator="lessThan">
      <formula>0</formula>
    </cfRule>
  </conditionalFormatting>
  <conditionalFormatting sqref="C57:C66">
    <cfRule type="cellIs" dxfId="0" priority="55" operator="equal">
      <formula>0</formula>
    </cfRule>
    <cfRule type="cellIs" dxfId="1" priority="54" operator="greaterThan">
      <formula>0</formula>
    </cfRule>
  </conditionalFormatting>
  <conditionalFormatting sqref="C68:C69">
    <cfRule type="cellIs" dxfId="0" priority="53" operator="equal">
      <formula>0</formula>
    </cfRule>
    <cfRule type="cellIs" dxfId="1" priority="52" operator="greaterThan">
      <formula>0</formula>
    </cfRule>
  </conditionalFormatting>
  <conditionalFormatting sqref="C70:C74">
    <cfRule type="cellIs" dxfId="0" priority="41" operator="equal">
      <formula>0</formula>
    </cfRule>
    <cfRule type="cellIs" dxfId="1" priority="40" operator="greaterThan">
      <formula>0</formula>
    </cfRule>
  </conditionalFormatting>
  <conditionalFormatting sqref="C78:C79">
    <cfRule type="cellIs" dxfId="0" priority="10" operator="equal">
      <formula>0</formula>
    </cfRule>
    <cfRule type="cellIs" dxfId="1" priority="9" operator="greaterThan">
      <formula>0</formula>
    </cfRule>
  </conditionalFormatting>
  <conditionalFormatting sqref="C80:C84">
    <cfRule type="cellIs" dxfId="0" priority="39" operator="equal">
      <formula>0</formula>
    </cfRule>
    <cfRule type="cellIs" dxfId="1" priority="38" operator="greaterThan">
      <formula>0</formula>
    </cfRule>
  </conditionalFormatting>
  <conditionalFormatting sqref="C87:C89">
    <cfRule type="cellIs" dxfId="0" priority="47" operator="equal">
      <formula>0</formula>
    </cfRule>
    <cfRule type="cellIs" dxfId="1" priority="46" operator="greaterThan">
      <formula>0</formula>
    </cfRule>
  </conditionalFormatting>
  <conditionalFormatting sqref="C90:C91">
    <cfRule type="cellIs" dxfId="0" priority="8" operator="equal">
      <formula>0</formula>
    </cfRule>
    <cfRule type="cellIs" dxfId="1" priority="7" operator="greaterThan">
      <formula>0</formula>
    </cfRule>
  </conditionalFormatting>
  <conditionalFormatting sqref="C92:C94">
    <cfRule type="cellIs" dxfId="0" priority="37" operator="equal">
      <formula>0</formula>
    </cfRule>
    <cfRule type="cellIs" dxfId="1" priority="36" operator="greaterThan">
      <formula>0</formula>
    </cfRule>
  </conditionalFormatting>
  <conditionalFormatting sqref="C98:C107">
    <cfRule type="cellIs" dxfId="1" priority="20" operator="lessThan">
      <formula>0</formula>
    </cfRule>
    <cfRule type="cellIs" dxfId="2" priority="19" operator="greaterThanOrEqual">
      <formula>0</formula>
    </cfRule>
  </conditionalFormatting>
  <conditionalFormatting sqref="E118:E127">
    <cfRule type="cellIs" dxfId="0" priority="18" operator="equal">
      <formula>0</formula>
    </cfRule>
    <cfRule type="cellIs" dxfId="1" priority="17" operator="greaterThan">
      <formula>0</formula>
    </cfRule>
  </conditionalFormatting>
  <conditionalFormatting sqref="E145:E154">
    <cfRule type="cellIs" dxfId="0" priority="16" operator="equal">
      <formula>0</formula>
    </cfRule>
    <cfRule type="cellIs" dxfId="1" priority="15" operator="greaterThan">
      <formula>0</formula>
    </cfRule>
  </conditionalFormatting>
  <conditionalFormatting sqref="E172:E181">
    <cfRule type="cellIs" dxfId="0" priority="14" operator="equal">
      <formula>0</formula>
    </cfRule>
    <cfRule type="cellIs" dxfId="1" priority="13" operator="greaterThan">
      <formula>0</formula>
    </cfRule>
  </conditionalFormatting>
  <conditionalFormatting sqref="C47:C55 C85 C95:C96">
    <cfRule type="cellIs" dxfId="0" priority="57" operator="equal">
      <formula>0</formula>
    </cfRule>
  </conditionalFormatting>
  <conditionalFormatting sqref="C47:C55 C85 C95:C96 E144 E155:E162">
    <cfRule type="cellIs" dxfId="1" priority="56" operator="greaterThan">
      <formula>0</formula>
    </cfRule>
  </conditionalFormatting>
  <conditionalFormatting sqref="E117 E128:E135">
    <cfRule type="cellIs" dxfId="0" priority="45" operator="equal">
      <formula>0</formula>
    </cfRule>
    <cfRule type="cellIs" dxfId="1" priority="44" operator="greaterThan">
      <formula>0</formula>
    </cfRule>
  </conditionalFormatting>
  <conditionalFormatting sqref="E144 E155:E162">
    <cfRule type="cellIs" dxfId="2" priority="33" operator="equal">
      <formula>0</formula>
    </cfRule>
  </conditionalFormatting>
  <conditionalFormatting sqref="E171 E182:E189">
    <cfRule type="cellIs" dxfId="2" priority="28" operator="equal">
      <formula>0</formula>
    </cfRule>
    <cfRule type="cellIs" dxfId="1" priority="27" operator="greaterThan">
      <formula>0</formula>
    </cfRule>
  </conditionalFormatting>
  <pageMargins left="0.7" right="0.7" top="0.75" bottom="0.75" header="0.3" footer="0.3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93"/>
  <sheetViews>
    <sheetView topLeftCell="A168" workbookViewId="0">
      <selection activeCell="E175" sqref="E175"/>
    </sheetView>
  </sheetViews>
  <sheetFormatPr defaultColWidth="9" defaultRowHeight="17.6"/>
  <cols>
    <col min="1" max="7" width="25.6111111111111" customWidth="1"/>
    <col min="8" max="9" width="20.625" customWidth="1"/>
    <col min="11" max="11" width="20.625" customWidth="1"/>
  </cols>
  <sheetData>
    <row r="1" s="1" customFormat="1" ht="35" customHeight="1" spans="1:9">
      <c r="A1" s="2" t="str">
        <f>"Forecasts For the Year "&amp;IF(Main!B2,TEXT(EDATE(Main!B3,27),"mmmm yyyy"),TEXT(Main!B3+((Main!B5-Main!B3)*27+27),"mmmm yyyy"))&amp;" to "&amp;IF(Main!B2,TEXT(EDATE(Main!B3,30)-1,"mmmm yyyy"),TEXT(Main!B3+((Main!B5-Main!B3)*30+29),"mmmm yyyy"))</f>
        <v>Forecasts For the Year August 2027 to October 2027</v>
      </c>
      <c r="B1" s="2"/>
      <c r="C1" s="2"/>
      <c r="D1" s="2"/>
      <c r="E1" s="2"/>
      <c r="F1" s="2"/>
      <c r="G1" s="2"/>
      <c r="H1" s="38"/>
      <c r="I1" s="38"/>
    </row>
    <row r="2" s="1" customFormat="1" ht="35" customHeight="1" spans="1:9">
      <c r="A2" s="3" t="s">
        <v>33</v>
      </c>
      <c r="B2" s="4" t="s">
        <v>62</v>
      </c>
      <c r="C2" s="5" cm="1">
        <f ca="1" t="array" ref="C2">INDIRECT("'"&amp;Main!B9&amp;"'!$C$16")</f>
        <v>0</v>
      </c>
      <c r="D2" s="5"/>
      <c r="E2" s="5"/>
      <c r="F2" s="5"/>
      <c r="G2" s="5"/>
      <c r="H2" s="38"/>
      <c r="I2" s="38"/>
    </row>
    <row r="3" s="1" customFormat="1" ht="35" customHeight="1" spans="1:9">
      <c r="A3" s="6"/>
      <c r="B3" s="7" t="s">
        <v>63</v>
      </c>
      <c r="C3" s="8">
        <f ca="1">E190</f>
        <v>0</v>
      </c>
      <c r="D3" s="8"/>
      <c r="E3" s="8"/>
      <c r="F3" s="8"/>
      <c r="G3" s="8"/>
      <c r="H3" s="38"/>
      <c r="I3" s="38"/>
    </row>
    <row r="4" s="1" customFormat="1" ht="35" customHeight="1" spans="1:9">
      <c r="A4" s="9" t="s">
        <v>42</v>
      </c>
      <c r="B4" s="10"/>
      <c r="C4" s="11">
        <f ca="1">SUM(C2:G3)</f>
        <v>0</v>
      </c>
      <c r="D4" s="11"/>
      <c r="E4" s="11"/>
      <c r="F4" s="11"/>
      <c r="G4" s="11"/>
      <c r="H4" s="15"/>
      <c r="I4" s="45"/>
    </row>
    <row r="5" s="1" customFormat="1" ht="35" customHeight="1" spans="1:9">
      <c r="A5" s="12" t="s">
        <v>64</v>
      </c>
      <c r="B5" s="12"/>
      <c r="C5" s="13">
        <f ca="1">C108</f>
        <v>0</v>
      </c>
      <c r="D5" s="14"/>
      <c r="E5" s="14"/>
      <c r="F5" s="14"/>
      <c r="G5" s="14"/>
      <c r="H5" s="15"/>
      <c r="I5" s="45"/>
    </row>
    <row r="6" s="1" customFormat="1" ht="35" customHeight="1" spans="1:9">
      <c r="A6" s="15"/>
      <c r="B6" s="15"/>
      <c r="C6" s="15"/>
      <c r="D6" s="15"/>
      <c r="E6" s="15"/>
      <c r="F6" s="15"/>
      <c r="G6" s="15"/>
      <c r="H6" s="15"/>
      <c r="I6" s="45"/>
    </row>
    <row r="7" s="1" customFormat="1" ht="35" customHeight="1" spans="1:9">
      <c r="A7" s="15"/>
      <c r="B7" s="15"/>
      <c r="C7" s="15"/>
      <c r="D7" s="15"/>
      <c r="E7" s="15"/>
      <c r="F7" s="15"/>
      <c r="G7" s="15"/>
      <c r="H7" s="15"/>
      <c r="I7" s="45"/>
    </row>
    <row r="8" s="1" customFormat="1" ht="35" customHeight="1" spans="1:9">
      <c r="A8" s="16" t="str">
        <f>IF(Main!B2,TEXT(EDATE(Main!B3,27),"dd mmmm yyyy"),TEXT(Main!B3+((Main!B5-Main!B3)*27+27),"dd mmmm yyyy"))&amp;" - "&amp;IF(Main!B2,TEXT(EDATE(Main!B3,28)-1,"dd mmmm yyyy"),TEXT(Main!B3+((Main!B5-Main!B3)*28+27),"dd mmmm yyyy"))&amp;" / "&amp;" (Revenue / Deferred Debts Or Expenses)"</f>
        <v>01 August 2027 - 31 August 2027 /  (Revenue / Deferred Debts Or Expenses)</v>
      </c>
      <c r="B8" s="17"/>
      <c r="C8" s="17"/>
      <c r="D8" s="17"/>
      <c r="E8" s="17"/>
      <c r="F8" s="17"/>
      <c r="G8" s="17"/>
      <c r="H8" s="15"/>
      <c r="I8" s="45"/>
    </row>
    <row r="9" s="1" customFormat="1" ht="35" customHeight="1" spans="1:9">
      <c r="A9" s="18" t="s">
        <v>29</v>
      </c>
      <c r="B9" s="18" t="s">
        <v>43</v>
      </c>
      <c r="C9" s="18"/>
      <c r="D9" s="18" t="s">
        <v>44</v>
      </c>
      <c r="E9" s="18"/>
      <c r="F9" s="18" t="s">
        <v>45</v>
      </c>
      <c r="G9" s="18"/>
      <c r="H9" s="15"/>
      <c r="I9" s="45"/>
    </row>
    <row r="10" s="1" customFormat="1" ht="35" customHeight="1" spans="1:9">
      <c r="A10" s="19"/>
      <c r="B10" s="20"/>
      <c r="C10" s="20"/>
      <c r="D10" s="20"/>
      <c r="E10" s="20"/>
      <c r="F10" s="39">
        <v>0</v>
      </c>
      <c r="G10" s="40"/>
      <c r="H10" s="15"/>
      <c r="I10" s="45"/>
    </row>
    <row r="11" s="1" customFormat="1" ht="35" customHeight="1" spans="1:9">
      <c r="A11" s="19"/>
      <c r="B11" s="21"/>
      <c r="C11" s="22"/>
      <c r="D11" s="23"/>
      <c r="E11" s="41"/>
      <c r="F11" s="39">
        <v>0</v>
      </c>
      <c r="G11" s="40"/>
      <c r="H11" s="15"/>
      <c r="I11" s="45"/>
    </row>
    <row r="12" s="1" customFormat="1" ht="35" customHeight="1" spans="1:9">
      <c r="A12" s="19"/>
      <c r="B12" s="21"/>
      <c r="C12" s="22"/>
      <c r="D12" s="23"/>
      <c r="E12" s="41"/>
      <c r="F12" s="39">
        <v>0</v>
      </c>
      <c r="G12" s="40"/>
      <c r="H12" s="15"/>
      <c r="I12" s="45"/>
    </row>
    <row r="13" s="1" customFormat="1" ht="35" customHeight="1" spans="1:9">
      <c r="A13" s="19"/>
      <c r="B13" s="21"/>
      <c r="C13" s="22"/>
      <c r="D13" s="23"/>
      <c r="E13" s="41"/>
      <c r="F13" s="39">
        <v>0</v>
      </c>
      <c r="G13" s="40"/>
      <c r="H13" s="15"/>
      <c r="I13" s="45"/>
    </row>
    <row r="14" s="1" customFormat="1" ht="35" customHeight="1" spans="1:9">
      <c r="A14" s="19"/>
      <c r="B14" s="21"/>
      <c r="C14" s="22"/>
      <c r="D14" s="23"/>
      <c r="E14" s="41"/>
      <c r="F14" s="39">
        <v>0</v>
      </c>
      <c r="G14" s="40"/>
      <c r="H14" s="15"/>
      <c r="I14" s="45"/>
    </row>
    <row r="15" s="1" customFormat="1" ht="35" customHeight="1" spans="1:9">
      <c r="A15" s="19"/>
      <c r="B15" s="21"/>
      <c r="C15" s="22"/>
      <c r="D15" s="23"/>
      <c r="E15" s="41"/>
      <c r="F15" s="39">
        <v>0</v>
      </c>
      <c r="G15" s="40"/>
      <c r="H15" s="15"/>
      <c r="I15" s="45"/>
    </row>
    <row r="16" s="1" customFormat="1" ht="35" customHeight="1" spans="1:9">
      <c r="A16" s="24"/>
      <c r="B16" s="25"/>
      <c r="C16" s="26"/>
      <c r="D16" s="27" t="s">
        <v>46</v>
      </c>
      <c r="E16" s="42"/>
      <c r="F16" s="43">
        <f>SUM(F10:G15)</f>
        <v>0</v>
      </c>
      <c r="G16" s="44"/>
      <c r="H16" s="15"/>
      <c r="I16" s="45"/>
    </row>
    <row r="17" s="1" customFormat="1" ht="35" customHeight="1" spans="1:9">
      <c r="A17" s="15"/>
      <c r="B17" s="15"/>
      <c r="C17" s="15"/>
      <c r="D17" s="15"/>
      <c r="E17" s="15"/>
      <c r="F17" s="15"/>
      <c r="G17" s="15"/>
      <c r="H17" s="15"/>
      <c r="I17" s="45"/>
    </row>
    <row r="18" s="1" customFormat="1" ht="35" customHeight="1" spans="1:9">
      <c r="A18" s="15"/>
      <c r="B18" s="15"/>
      <c r="C18" s="15"/>
      <c r="D18" s="15"/>
      <c r="E18" s="15"/>
      <c r="F18" s="15"/>
      <c r="G18" s="15"/>
      <c r="H18" s="15"/>
      <c r="I18" s="45"/>
    </row>
    <row r="19" s="1" customFormat="1" ht="35" customHeight="1" spans="1:9">
      <c r="A19" s="15"/>
      <c r="B19" s="15"/>
      <c r="C19" s="15"/>
      <c r="D19" s="15"/>
      <c r="E19" s="15"/>
      <c r="F19" s="15"/>
      <c r="G19" s="15"/>
      <c r="H19" s="15"/>
      <c r="I19" s="45"/>
    </row>
    <row r="20" s="1" customFormat="1" ht="35" customHeight="1" spans="1:9">
      <c r="A20" s="16" t="str">
        <f>IF(Main!B2,TEXT(EDATE(Main!B3,28),"dd mmmm yyyy"),TEXT(Main!B3+((Main!B5-Main!B3)*28+28),"dd mmmm yyyy"))&amp;" - "&amp;IF(Main!B2,TEXT(EDATE(Main!B3,29)-1,"dd mmmm yyyy"),TEXT(Main!B3+((Main!B5-Main!B3)*29+28),"dd mmmm yyyy"))&amp;" / "&amp;" (Revenue / Deferred Debts Or Expenses)"</f>
        <v>01 September 2027 - 30 September 2027 /  (Revenue / Deferred Debts Or Expenses)</v>
      </c>
      <c r="B20" s="17"/>
      <c r="C20" s="17"/>
      <c r="D20" s="17"/>
      <c r="E20" s="17"/>
      <c r="F20" s="17"/>
      <c r="G20" s="17"/>
      <c r="H20" s="15"/>
      <c r="I20" s="45"/>
    </row>
    <row r="21" s="1" customFormat="1" ht="35" customHeight="1" spans="1:9">
      <c r="A21" s="18" t="s">
        <v>29</v>
      </c>
      <c r="B21" s="18" t="s">
        <v>43</v>
      </c>
      <c r="C21" s="18"/>
      <c r="D21" s="18" t="s">
        <v>44</v>
      </c>
      <c r="E21" s="18"/>
      <c r="F21" s="18" t="s">
        <v>45</v>
      </c>
      <c r="G21" s="18"/>
      <c r="H21" s="15"/>
      <c r="I21" s="45"/>
    </row>
    <row r="22" s="1" customFormat="1" ht="35" customHeight="1" spans="1:9">
      <c r="A22" s="19"/>
      <c r="B22" s="20"/>
      <c r="C22" s="20"/>
      <c r="D22" s="20"/>
      <c r="E22" s="20"/>
      <c r="F22" s="39">
        <v>0</v>
      </c>
      <c r="G22" s="40"/>
      <c r="H22" s="15"/>
      <c r="I22" s="45"/>
    </row>
    <row r="23" s="1" customFormat="1" ht="35" customHeight="1" spans="1:9">
      <c r="A23" s="19"/>
      <c r="B23" s="21"/>
      <c r="C23" s="22"/>
      <c r="D23" s="23"/>
      <c r="E23" s="41"/>
      <c r="F23" s="39">
        <v>0</v>
      </c>
      <c r="G23" s="40"/>
      <c r="H23" s="15"/>
      <c r="I23" s="45"/>
    </row>
    <row r="24" s="1" customFormat="1" ht="35" customHeight="1" spans="1:9">
      <c r="A24" s="19"/>
      <c r="B24" s="21"/>
      <c r="C24" s="22"/>
      <c r="D24" s="23"/>
      <c r="E24" s="41"/>
      <c r="F24" s="39">
        <v>0</v>
      </c>
      <c r="G24" s="40"/>
      <c r="H24" s="15"/>
      <c r="I24" s="45"/>
    </row>
    <row r="25" s="1" customFormat="1" ht="35" customHeight="1" spans="1:9">
      <c r="A25" s="19"/>
      <c r="B25" s="21"/>
      <c r="C25" s="22"/>
      <c r="D25" s="23"/>
      <c r="E25" s="41"/>
      <c r="F25" s="39">
        <v>0</v>
      </c>
      <c r="G25" s="40"/>
      <c r="H25" s="15"/>
      <c r="I25" s="45"/>
    </row>
    <row r="26" s="1" customFormat="1" ht="35" customHeight="1" spans="1:9">
      <c r="A26" s="19"/>
      <c r="B26" s="21"/>
      <c r="C26" s="22"/>
      <c r="D26" s="23"/>
      <c r="E26" s="41"/>
      <c r="F26" s="39">
        <v>0</v>
      </c>
      <c r="G26" s="40"/>
      <c r="H26" s="15"/>
      <c r="I26" s="45"/>
    </row>
    <row r="27" s="1" customFormat="1" ht="35" customHeight="1" spans="1:9">
      <c r="A27" s="19"/>
      <c r="B27" s="21"/>
      <c r="C27" s="22"/>
      <c r="D27" s="23"/>
      <c r="E27" s="41"/>
      <c r="F27" s="39">
        <v>0</v>
      </c>
      <c r="G27" s="40"/>
      <c r="H27" s="15"/>
      <c r="I27" s="45"/>
    </row>
    <row r="28" s="1" customFormat="1" ht="35" customHeight="1" spans="1:9">
      <c r="A28" s="24"/>
      <c r="B28" s="25"/>
      <c r="C28" s="26"/>
      <c r="D28" s="27" t="s">
        <v>46</v>
      </c>
      <c r="E28" s="42"/>
      <c r="F28" s="43">
        <f>SUM(F22:G27)</f>
        <v>0</v>
      </c>
      <c r="G28" s="44"/>
      <c r="H28" s="15"/>
      <c r="I28" s="45"/>
    </row>
    <row r="29" s="1" customFormat="1" ht="35" customHeight="1" spans="1:9">
      <c r="A29" s="15"/>
      <c r="B29" s="15"/>
      <c r="C29" s="15"/>
      <c r="D29" s="15"/>
      <c r="E29" s="15"/>
      <c r="F29" s="15"/>
      <c r="G29" s="15"/>
      <c r="H29" s="15"/>
      <c r="I29" s="45"/>
    </row>
    <row r="30" s="1" customFormat="1" ht="35" customHeight="1" spans="1:9">
      <c r="A30" s="15"/>
      <c r="B30" s="15"/>
      <c r="C30" s="15"/>
      <c r="D30" s="15"/>
      <c r="E30" s="15"/>
      <c r="F30" s="15"/>
      <c r="G30" s="15"/>
      <c r="H30" s="15"/>
      <c r="I30" s="45"/>
    </row>
    <row r="31" s="1" customFormat="1" ht="35" customHeight="1" spans="1:9">
      <c r="A31" s="15"/>
      <c r="B31" s="15"/>
      <c r="C31" s="15"/>
      <c r="D31" s="15"/>
      <c r="E31" s="15"/>
      <c r="F31" s="15"/>
      <c r="G31" s="15"/>
      <c r="H31" s="15"/>
      <c r="I31" s="45"/>
    </row>
    <row r="32" s="1" customFormat="1" ht="35" customHeight="1" spans="1:9">
      <c r="A32" s="16" t="str">
        <f>IF(Main!B2,TEXT(EDATE(Main!B3,29),"dd mmmm yyyy"),TEXT(Main!B3+((Main!B5-Main!B3)*29+29),"dd mmmm yyyy"))&amp;" - "&amp;IF(Main!B2,TEXT(EDATE(Main!B3,30)-1,"dd mmmm yyyy"),TEXT(Main!B3+((Main!B5-Main!B3)*30+29),"dd mmmm yyyy"))&amp;" / "&amp;" (Revenue / Deferred Debts Or Expenses)"</f>
        <v>01 October 2027 - 31 October 2027 /  (Revenue / Deferred Debts Or Expenses)</v>
      </c>
      <c r="B32" s="17"/>
      <c r="C32" s="17"/>
      <c r="D32" s="17"/>
      <c r="E32" s="17"/>
      <c r="F32" s="17"/>
      <c r="G32" s="17"/>
      <c r="H32" s="15"/>
      <c r="I32" s="45"/>
    </row>
    <row r="33" s="1" customFormat="1" ht="35" customHeight="1" spans="1:9">
      <c r="A33" s="18" t="s">
        <v>29</v>
      </c>
      <c r="B33" s="18" t="s">
        <v>43</v>
      </c>
      <c r="C33" s="18"/>
      <c r="D33" s="18" t="s">
        <v>44</v>
      </c>
      <c r="E33" s="18"/>
      <c r="F33" s="18" t="s">
        <v>45</v>
      </c>
      <c r="G33" s="18"/>
      <c r="H33" s="15"/>
      <c r="I33" s="45"/>
    </row>
    <row r="34" s="1" customFormat="1" ht="35" customHeight="1" spans="1:9">
      <c r="A34" s="19"/>
      <c r="B34" s="20"/>
      <c r="C34" s="20"/>
      <c r="D34" s="20"/>
      <c r="E34" s="20"/>
      <c r="F34" s="39">
        <v>0</v>
      </c>
      <c r="G34" s="40"/>
      <c r="H34" s="15"/>
      <c r="I34" s="45"/>
    </row>
    <row r="35" s="1" customFormat="1" ht="35" customHeight="1" spans="1:9">
      <c r="A35" s="19"/>
      <c r="B35" s="21"/>
      <c r="C35" s="22"/>
      <c r="D35" s="23"/>
      <c r="E35" s="41"/>
      <c r="F35" s="39">
        <v>0</v>
      </c>
      <c r="G35" s="40"/>
      <c r="H35" s="15"/>
      <c r="I35" s="45"/>
    </row>
    <row r="36" s="1" customFormat="1" ht="35" customHeight="1" spans="1:9">
      <c r="A36" s="19"/>
      <c r="B36" s="21"/>
      <c r="C36" s="22"/>
      <c r="D36" s="23"/>
      <c r="E36" s="41"/>
      <c r="F36" s="39">
        <v>0</v>
      </c>
      <c r="G36" s="40"/>
      <c r="H36" s="15"/>
      <c r="I36" s="45"/>
    </row>
    <row r="37" s="1" customFormat="1" ht="35" customHeight="1" spans="1:9">
      <c r="A37" s="19"/>
      <c r="B37" s="21"/>
      <c r="C37" s="22"/>
      <c r="D37" s="23"/>
      <c r="E37" s="41"/>
      <c r="F37" s="39">
        <v>0</v>
      </c>
      <c r="G37" s="40"/>
      <c r="H37" s="15"/>
      <c r="I37" s="45"/>
    </row>
    <row r="38" s="1" customFormat="1" ht="35" customHeight="1" spans="1:9">
      <c r="A38" s="19"/>
      <c r="B38" s="21"/>
      <c r="C38" s="22"/>
      <c r="D38" s="23"/>
      <c r="E38" s="41"/>
      <c r="F38" s="39">
        <v>0</v>
      </c>
      <c r="G38" s="40"/>
      <c r="H38" s="15"/>
      <c r="I38" s="45"/>
    </row>
    <row r="39" s="1" customFormat="1" ht="35" customHeight="1" spans="1:9">
      <c r="A39" s="19"/>
      <c r="B39" s="21"/>
      <c r="C39" s="22"/>
      <c r="D39" s="23"/>
      <c r="E39" s="41"/>
      <c r="F39" s="39">
        <v>0</v>
      </c>
      <c r="G39" s="40"/>
      <c r="H39" s="15"/>
      <c r="I39" s="45"/>
    </row>
    <row r="40" s="1" customFormat="1" ht="35" customHeight="1" spans="1:9">
      <c r="A40" s="24"/>
      <c r="B40" s="25"/>
      <c r="C40" s="26"/>
      <c r="D40" s="27" t="s">
        <v>46</v>
      </c>
      <c r="E40" s="42"/>
      <c r="F40" s="43">
        <f>SUM(F34:G39)</f>
        <v>0</v>
      </c>
      <c r="G40" s="44"/>
      <c r="H40" s="15"/>
      <c r="I40" s="45"/>
    </row>
    <row r="41" s="1" customFormat="1" ht="35" customHeight="1" spans="1:9">
      <c r="A41" s="15"/>
      <c r="B41" s="15"/>
      <c r="C41" s="15"/>
      <c r="D41" s="15"/>
      <c r="E41" s="15"/>
      <c r="F41" s="15"/>
      <c r="G41" s="15"/>
      <c r="H41" s="15"/>
      <c r="I41" s="45"/>
    </row>
    <row r="42" s="1" customFormat="1" ht="35" customHeight="1" spans="1:9">
      <c r="A42" s="15"/>
      <c r="B42" s="15"/>
      <c r="C42" s="15"/>
      <c r="D42" s="15"/>
      <c r="E42" s="15"/>
      <c r="F42" s="15"/>
      <c r="G42" s="15"/>
      <c r="H42" s="15"/>
      <c r="I42" s="45"/>
    </row>
    <row r="43" s="1" customFormat="1" ht="35" customHeight="1" spans="1:9">
      <c r="A43" s="15"/>
      <c r="B43" s="15"/>
      <c r="C43" s="15"/>
      <c r="D43" s="15"/>
      <c r="E43" s="15"/>
      <c r="F43" s="15"/>
      <c r="G43" s="15"/>
      <c r="H43" s="15"/>
      <c r="I43" s="45"/>
    </row>
    <row r="44" s="1" customFormat="1" ht="35" customHeight="1" spans="1:9">
      <c r="A44" s="28" t="str">
        <f>"Fixed Expense For the Year "&amp;IF(Main!B2,TEXT(EDATE(Main!B3,27),"mmmm yyyy"),TEXT(Main!B3+((Main!B5-Main!B3)*27+27),"mmmm yyyy"))&amp;" to "&amp;IF(Main!B2,TEXT(EDATE(Main!B3,30)-1,"mmmm yyyy"),TEXT(Main!B3+((Main!B5-Main!B3)*30+29),"mmmm yyyy"))</f>
        <v>Fixed Expense For the Year August 2027 to October 2027</v>
      </c>
      <c r="B44" s="29"/>
      <c r="C44" s="30"/>
      <c r="D44" s="15"/>
      <c r="E44" s="15"/>
      <c r="F44" s="15"/>
      <c r="G44" s="15"/>
      <c r="H44" s="15"/>
      <c r="I44" s="45"/>
    </row>
    <row r="45" s="1" customFormat="1" ht="35" customHeight="1" spans="1:9">
      <c r="A45" s="2" t="s">
        <v>43</v>
      </c>
      <c r="B45" s="2" t="s">
        <v>44</v>
      </c>
      <c r="C45" s="2" t="s">
        <v>45</v>
      </c>
      <c r="D45" s="15"/>
      <c r="E45" s="15"/>
      <c r="F45" s="15"/>
      <c r="G45" s="15"/>
      <c r="H45" s="15"/>
      <c r="I45" s="45"/>
    </row>
    <row r="46" s="1" customFormat="1" ht="35" customHeight="1" spans="1:9">
      <c r="A46" s="31" t="s">
        <v>47</v>
      </c>
      <c r="B46" s="32"/>
      <c r="C46" s="33"/>
      <c r="D46" s="15"/>
      <c r="E46" s="15"/>
      <c r="F46" s="15"/>
      <c r="G46" s="15"/>
      <c r="H46" s="15"/>
      <c r="I46" s="45"/>
    </row>
    <row r="47" s="1" customFormat="1" ht="35" customHeight="1" spans="1:9">
      <c r="A47" s="34" t="str" cm="1">
        <f ca="1" t="array" ref="A47">IF((INDIRECT("'"&amp;INDIRECT("Main!B9")&amp;"'!A61"))=0,"",(INDIRECT("'"&amp;INDIRECT("Main!B9")&amp;"'!A61")))</f>
        <v/>
      </c>
      <c r="B47" s="34" t="str" cm="1">
        <f ca="1" t="array" ref="B47">IF((INDIRECT("'"&amp;INDIRECT("Main!B9")&amp;"'!B61"))=0,"",(INDIRECT("'"&amp;INDIRECT("Main!B9")&amp;"'!B61")))</f>
        <v/>
      </c>
      <c r="C47" s="35">
        <v>0</v>
      </c>
      <c r="D47" s="15"/>
      <c r="E47" s="15"/>
      <c r="F47" s="15"/>
      <c r="G47" s="15"/>
      <c r="H47" s="15"/>
      <c r="I47" s="45"/>
    </row>
    <row r="48" s="1" customFormat="1" ht="35" customHeight="1" spans="1:9">
      <c r="A48" s="34" t="str" cm="1">
        <f ca="1" t="array" ref="A48">IF((INDIRECT("'"&amp;INDIRECT("Main!B9")&amp;"'!A62"))=0,"",(INDIRECT("'"&amp;INDIRECT("Main!B9")&amp;"'!A62")))</f>
        <v/>
      </c>
      <c r="B48" s="34" t="str" cm="1">
        <f ca="1" t="array" ref="B48">IF((INDIRECT("'"&amp;INDIRECT("Main!B9")&amp;"'!B62"))=0,"",(INDIRECT("'"&amp;INDIRECT("Main!B9")&amp;"'!B62")))</f>
        <v/>
      </c>
      <c r="C48" s="35">
        <v>0</v>
      </c>
      <c r="D48" s="15"/>
      <c r="E48" s="15"/>
      <c r="F48" s="15"/>
      <c r="G48" s="15"/>
      <c r="H48" s="15"/>
      <c r="I48" s="45"/>
    </row>
    <row r="49" s="1" customFormat="1" ht="35" customHeight="1" spans="1:9">
      <c r="A49" s="34" t="str" cm="1">
        <f ca="1" t="array" ref="A49">IF((INDIRECT("'"&amp;INDIRECT("Main!B9")&amp;"'!A63"))=0,"",(INDIRECT("'"&amp;INDIRECT("Main!B9")&amp;"'!A63")))</f>
        <v/>
      </c>
      <c r="B49" s="34" t="str" cm="1">
        <f ca="1" t="array" ref="B49">IF((INDIRECT("'"&amp;INDIRECT("Main!B9")&amp;"'!B63"))=0,"",(INDIRECT("'"&amp;INDIRECT("Main!B9")&amp;"'!B63")))</f>
        <v/>
      </c>
      <c r="C49" s="35">
        <v>0</v>
      </c>
      <c r="D49" s="15"/>
      <c r="E49" s="15"/>
      <c r="F49" s="15"/>
      <c r="G49" s="15"/>
      <c r="H49" s="15"/>
      <c r="I49" s="45"/>
    </row>
    <row r="50" s="1" customFormat="1" ht="35" customHeight="1" spans="1:9">
      <c r="A50" s="34" t="str" cm="1">
        <f ca="1" t="array" ref="A50">IF((INDIRECT("'"&amp;INDIRECT("Main!B9")&amp;"'!A64"))=0,"",(INDIRECT("'"&amp;INDIRECT("Main!B9")&amp;"'!A64")))</f>
        <v/>
      </c>
      <c r="B50" s="34" t="str" cm="1">
        <f ca="1" t="array" ref="B50">IF((INDIRECT("'"&amp;INDIRECT("Main!B9")&amp;"'!B64"))=0,"",(INDIRECT("'"&amp;INDIRECT("Main!B9")&amp;"'!B64")))</f>
        <v/>
      </c>
      <c r="C50" s="35">
        <v>0</v>
      </c>
      <c r="D50" s="15"/>
      <c r="E50" s="15"/>
      <c r="F50" s="15"/>
      <c r="G50" s="15"/>
      <c r="H50" s="15"/>
      <c r="I50" s="45"/>
    </row>
    <row r="51" s="1" customFormat="1" ht="35" customHeight="1" spans="1:9">
      <c r="A51" s="34" t="str" cm="1">
        <f ca="1" t="array" ref="A51">IF((INDIRECT("'"&amp;INDIRECT("Main!B9")&amp;"'!A65"))=0,"",(INDIRECT("'"&amp;INDIRECT("Main!B9")&amp;"'!A65")))</f>
        <v/>
      </c>
      <c r="B51" s="34" t="str" cm="1">
        <f ca="1" t="array" ref="B51">IF((INDIRECT("'"&amp;INDIRECT("Main!B9")&amp;"'!B65"))=0,"",(INDIRECT("'"&amp;INDIRECT("Main!B9")&amp;"'!B65")))</f>
        <v/>
      </c>
      <c r="C51" s="35">
        <v>0</v>
      </c>
      <c r="D51" s="15"/>
      <c r="E51" s="15"/>
      <c r="F51" s="15"/>
      <c r="G51" s="15"/>
      <c r="H51" s="15"/>
      <c r="I51" s="45"/>
    </row>
    <row r="52" s="1" customFormat="1" ht="35" customHeight="1" spans="1:9">
      <c r="A52" s="34" t="str" cm="1">
        <f ca="1" t="array" ref="A52">IF((INDIRECT("'"&amp;INDIRECT("Main!B9")&amp;"'!A66"))=0,"",(INDIRECT("'"&amp;INDIRECT("Main!B9")&amp;"'!A66")))</f>
        <v/>
      </c>
      <c r="B52" s="34" t="str" cm="1">
        <f ca="1" t="array" ref="B52">IF((INDIRECT("'"&amp;INDIRECT("Main!B9")&amp;"'!B66"))=0,"",(INDIRECT("'"&amp;INDIRECT("Main!B9")&amp;"'!B66")))</f>
        <v/>
      </c>
      <c r="C52" s="35">
        <v>0</v>
      </c>
      <c r="D52" s="15"/>
      <c r="E52" s="15"/>
      <c r="F52" s="15"/>
      <c r="G52" s="15"/>
      <c r="H52" s="15"/>
      <c r="I52" s="45"/>
    </row>
    <row r="53" s="1" customFormat="1" ht="35" customHeight="1" spans="1:9">
      <c r="A53" s="34" t="str" cm="1">
        <f ca="1" t="array" ref="A53">IF((INDIRECT("'"&amp;INDIRECT("Main!B9")&amp;"'!A67"))=0,"",(INDIRECT("'"&amp;INDIRECT("Main!B9")&amp;"'!A67")))</f>
        <v/>
      </c>
      <c r="B53" s="34" t="str" cm="1">
        <f ca="1" t="array" ref="B53">IF((INDIRECT("'"&amp;INDIRECT("Main!B9")&amp;"'!B67"))=0,"",(INDIRECT("'"&amp;INDIRECT("Main!B9")&amp;"'!B67")))</f>
        <v/>
      </c>
      <c r="C53" s="35">
        <v>0</v>
      </c>
      <c r="D53" s="15"/>
      <c r="E53" s="15"/>
      <c r="F53" s="15"/>
      <c r="G53" s="15"/>
      <c r="H53" s="15"/>
      <c r="I53" s="45"/>
    </row>
    <row r="54" s="1" customFormat="1" ht="35" customHeight="1" spans="1:9">
      <c r="A54" s="34" t="str" cm="1">
        <f ca="1" t="array" ref="A54">IF((INDIRECT("'"&amp;INDIRECT("Main!B9")&amp;"'!A68"))=0,"",(INDIRECT("'"&amp;INDIRECT("Main!B9")&amp;"'!A68")))</f>
        <v/>
      </c>
      <c r="B54" s="34" t="str" cm="1">
        <f ca="1" t="array" ref="B54">IF((INDIRECT("'"&amp;INDIRECT("Main!B9")&amp;"'!B68"))=0,"",(INDIRECT("'"&amp;INDIRECT("Main!B9")&amp;"'!B68")))</f>
        <v/>
      </c>
      <c r="C54" s="35">
        <v>0</v>
      </c>
      <c r="D54" s="15"/>
      <c r="E54" s="15"/>
      <c r="F54" s="15"/>
      <c r="G54" s="15"/>
      <c r="H54" s="15"/>
      <c r="I54" s="45"/>
    </row>
    <row r="55" s="1" customFormat="1" ht="35" customHeight="1" spans="1:9">
      <c r="A55" s="36"/>
      <c r="B55" s="37" t="s">
        <v>48</v>
      </c>
      <c r="C55" s="35">
        <f>SUM(C47:C54)</f>
        <v>0</v>
      </c>
      <c r="D55" s="15"/>
      <c r="E55" s="15"/>
      <c r="F55" s="15"/>
      <c r="G55" s="15"/>
      <c r="H55" s="15"/>
      <c r="I55" s="45"/>
    </row>
    <row r="56" s="1" customFormat="1" ht="35" customHeight="1" spans="1:9">
      <c r="A56" s="83" t="s">
        <v>49</v>
      </c>
      <c r="B56" s="84"/>
      <c r="C56" s="85"/>
      <c r="D56" s="15"/>
      <c r="E56" s="15"/>
      <c r="F56" s="15"/>
      <c r="G56" s="15"/>
      <c r="H56" s="15"/>
      <c r="I56" s="45"/>
    </row>
    <row r="57" s="1" customFormat="1" ht="35" customHeight="1" spans="1:9">
      <c r="A57" s="34" t="str" cm="1">
        <f ca="1" t="array" ref="A57">IF((INDIRECT("'"&amp;INDIRECT("Main!B9")&amp;"'!A71"))=0,"",(INDIRECT("'"&amp;INDIRECT("Main!B9")&amp;"'!A71")))</f>
        <v/>
      </c>
      <c r="B57" s="34" t="str" cm="1">
        <f ca="1" t="array" ref="B57">IF((INDIRECT("'"&amp;INDIRECT("Main!B9")&amp;"'!B71"))=0,"",(INDIRECT("'"&amp;INDIRECT("Main!B9")&amp;"'!B71")))</f>
        <v/>
      </c>
      <c r="C57" s="35">
        <v>0</v>
      </c>
      <c r="D57" s="15"/>
      <c r="E57" s="15"/>
      <c r="F57" s="15"/>
      <c r="G57" s="15"/>
      <c r="H57" s="15"/>
      <c r="I57" s="45"/>
    </row>
    <row r="58" s="1" customFormat="1" ht="35" customHeight="1" spans="1:9">
      <c r="A58" s="34" t="str" cm="1">
        <f ca="1" t="array" ref="A58">IF((INDIRECT("'"&amp;INDIRECT("Main!B9")&amp;"'!A72"))=0,"",(INDIRECT("'"&amp;INDIRECT("Main!B9")&amp;"'!A72")))</f>
        <v/>
      </c>
      <c r="B58" s="34" t="str" cm="1">
        <f ca="1" t="array" ref="B58">IF((INDIRECT("'"&amp;INDIRECT("Main!B9")&amp;"'!B72"))=0,"",(INDIRECT("'"&amp;INDIRECT("Main!B9")&amp;"'!B72")))</f>
        <v/>
      </c>
      <c r="C58" s="35">
        <v>0</v>
      </c>
      <c r="D58" s="15"/>
      <c r="E58" s="15"/>
      <c r="F58" s="15"/>
      <c r="G58" s="15"/>
      <c r="H58" s="15"/>
      <c r="I58" s="45"/>
    </row>
    <row r="59" s="1" customFormat="1" ht="35" customHeight="1" spans="1:9">
      <c r="A59" s="34" t="str" cm="1">
        <f ca="1" t="array" ref="A59">IF((INDIRECT("'"&amp;INDIRECT("Main!B9")&amp;"'!A73"))=0,"",(INDIRECT("'"&amp;INDIRECT("Main!B9")&amp;"'!A73")))</f>
        <v/>
      </c>
      <c r="B59" s="34" t="str" cm="1">
        <f ca="1" t="array" ref="B59">IF((INDIRECT("'"&amp;INDIRECT("Main!B9")&amp;"'!B73"))=0,"",(INDIRECT("'"&amp;INDIRECT("Main!B9")&amp;"'!B73")))</f>
        <v/>
      </c>
      <c r="C59" s="35">
        <v>0</v>
      </c>
      <c r="D59" s="15"/>
      <c r="E59" s="15"/>
      <c r="F59" s="15"/>
      <c r="G59" s="15"/>
      <c r="H59" s="15"/>
      <c r="I59" s="45"/>
    </row>
    <row r="60" s="1" customFormat="1" ht="35" customHeight="1" spans="1:9">
      <c r="A60" s="34" t="str" cm="1">
        <f ca="1" t="array" ref="A60">IF((INDIRECT("'"&amp;INDIRECT("Main!B9")&amp;"'!A74"))=0,"",(INDIRECT("'"&amp;INDIRECT("Main!B9")&amp;"'!A74")))</f>
        <v/>
      </c>
      <c r="B60" s="34" t="str" cm="1">
        <f ca="1" t="array" ref="B60">IF((INDIRECT("'"&amp;INDIRECT("Main!B9")&amp;"'!B74"))=0,"",(INDIRECT("'"&amp;INDIRECT("Main!B9")&amp;"'!B74")))</f>
        <v/>
      </c>
      <c r="C60" s="35">
        <v>0</v>
      </c>
      <c r="D60" s="15"/>
      <c r="E60" s="15"/>
      <c r="F60" s="15"/>
      <c r="G60" s="15"/>
      <c r="H60" s="15"/>
      <c r="I60" s="45"/>
    </row>
    <row r="61" s="1" customFormat="1" ht="35" customHeight="1" spans="1:9">
      <c r="A61" s="34" t="str" cm="1">
        <f ca="1" t="array" ref="A61">IF((INDIRECT("'"&amp;INDIRECT("Main!B9")&amp;"'!A75"))=0,"",(INDIRECT("'"&amp;INDIRECT("Main!B9")&amp;"'!A75")))</f>
        <v/>
      </c>
      <c r="B61" s="34" t="str" cm="1">
        <f ca="1" t="array" ref="B61">IF((INDIRECT("'"&amp;INDIRECT("Main!B9")&amp;"'!B75"))=0,"",(INDIRECT("'"&amp;INDIRECT("Main!B9")&amp;"'!B75")))</f>
        <v/>
      </c>
      <c r="C61" s="35">
        <v>0</v>
      </c>
      <c r="D61" s="15"/>
      <c r="E61" s="15"/>
      <c r="F61" s="15"/>
      <c r="G61" s="15"/>
      <c r="H61" s="15"/>
      <c r="I61" s="45"/>
    </row>
    <row r="62" s="1" customFormat="1" ht="35" customHeight="1" spans="1:9">
      <c r="A62" s="34" t="str" cm="1">
        <f ca="1" t="array" ref="A62">IF((INDIRECT("'"&amp;INDIRECT("Main!B9")&amp;"'!A76"))=0,"",(INDIRECT("'"&amp;INDIRECT("Main!B9")&amp;"'!A76")))</f>
        <v/>
      </c>
      <c r="B62" s="34" t="str" cm="1">
        <f ca="1" t="array" ref="B62">IF((INDIRECT("'"&amp;INDIRECT("Main!B9")&amp;"'!B76"))=0,"",(INDIRECT("'"&amp;INDIRECT("Main!B9")&amp;"'!B76")))</f>
        <v/>
      </c>
      <c r="C62" s="35">
        <v>0</v>
      </c>
      <c r="D62" s="15"/>
      <c r="E62" s="15"/>
      <c r="F62" s="15"/>
      <c r="G62" s="15"/>
      <c r="H62" s="15"/>
      <c r="I62" s="45"/>
    </row>
    <row r="63" s="1" customFormat="1" ht="35" customHeight="1" spans="1:9">
      <c r="A63" s="34" t="str" cm="1">
        <f ca="1" t="array" ref="A63">IF((INDIRECT("'"&amp;INDIRECT("Main!B9")&amp;"'!A77"))=0,"",(INDIRECT("'"&amp;INDIRECT("Main!B9")&amp;"'!A77")))</f>
        <v/>
      </c>
      <c r="B63" s="34" t="str" cm="1">
        <f ca="1" t="array" ref="B63">IF((INDIRECT("'"&amp;INDIRECT("Main!B9")&amp;"'!B77"))=0,"",(INDIRECT("'"&amp;INDIRECT("Main!B9")&amp;"'!B77")))</f>
        <v/>
      </c>
      <c r="C63" s="35">
        <v>0</v>
      </c>
      <c r="D63" s="15"/>
      <c r="E63" s="15"/>
      <c r="F63" s="15"/>
      <c r="G63" s="15"/>
      <c r="H63" s="15"/>
      <c r="I63" s="45"/>
    </row>
    <row r="64" s="1" customFormat="1" ht="35" customHeight="1" spans="1:9">
      <c r="A64" s="34" t="str" cm="1">
        <f ca="1" t="array" ref="A64">IF((INDIRECT("'"&amp;INDIRECT("Main!B9")&amp;"'!A78"))=0,"",(INDIRECT("'"&amp;INDIRECT("Main!B9")&amp;"'!A78")))</f>
        <v/>
      </c>
      <c r="B64" s="34" t="str" cm="1">
        <f ca="1" t="array" ref="B64">IF((INDIRECT("'"&amp;INDIRECT("Main!B9")&amp;"'!B78"))=0,"",(INDIRECT("'"&amp;INDIRECT("Main!B9")&amp;"'!B78")))</f>
        <v/>
      </c>
      <c r="C64" s="35">
        <v>0</v>
      </c>
      <c r="D64" s="15"/>
      <c r="E64" s="15"/>
      <c r="F64" s="15"/>
      <c r="G64" s="15"/>
      <c r="H64" s="15"/>
      <c r="I64" s="45"/>
    </row>
    <row r="65" s="1" customFormat="1" ht="35" customHeight="1" spans="1:9">
      <c r="A65" s="34" t="str" cm="1">
        <f ca="1" t="array" ref="A65">IF((INDIRECT("'"&amp;INDIRECT("Main!B9")&amp;"'!A79"))=0,"",(INDIRECT("'"&amp;INDIRECT("Main!B9")&amp;"'!A79")))</f>
        <v/>
      </c>
      <c r="B65" s="34" t="str" cm="1">
        <f ca="1" t="array" ref="B65">IF((INDIRECT("'"&amp;INDIRECT("Main!B9")&amp;"'!B79"))=0,"",(INDIRECT("'"&amp;INDIRECT("Main!B9")&amp;"'!B79")))</f>
        <v/>
      </c>
      <c r="C65" s="35">
        <v>0</v>
      </c>
      <c r="D65" s="15"/>
      <c r="E65" s="15"/>
      <c r="F65" s="15"/>
      <c r="G65" s="15"/>
      <c r="H65" s="15"/>
      <c r="I65" s="45"/>
    </row>
    <row r="66" s="1" customFormat="1" ht="35" customHeight="1" spans="1:9">
      <c r="A66" s="46"/>
      <c r="B66" s="37" t="s">
        <v>48</v>
      </c>
      <c r="C66" s="35">
        <f>SUM(C57:C65)</f>
        <v>0</v>
      </c>
      <c r="D66" s="15"/>
      <c r="E66" s="15"/>
      <c r="F66" s="15"/>
      <c r="G66" s="15"/>
      <c r="H66" s="15"/>
      <c r="I66" s="45"/>
    </row>
    <row r="67" s="1" customFormat="1" ht="35" customHeight="1" spans="1:9">
      <c r="A67" s="83" t="s">
        <v>50</v>
      </c>
      <c r="B67" s="84"/>
      <c r="C67" s="85"/>
      <c r="D67" s="15"/>
      <c r="E67" s="15"/>
      <c r="F67" s="15"/>
      <c r="G67" s="15"/>
      <c r="H67" s="15"/>
      <c r="I67" s="45"/>
    </row>
    <row r="68" s="1" customFormat="1" ht="35" customHeight="1" spans="1:9">
      <c r="A68" s="47" t="str" cm="1">
        <f ca="1" t="array" ref="A68">IF((INDIRECT("'"&amp;INDIRECT("Main!B9")&amp;"'!A82"))=0,"",(INDIRECT("'"&amp;INDIRECT("Main!B9")&amp;"'!A82")))</f>
        <v/>
      </c>
      <c r="B68" s="47" t="str" cm="1">
        <f ca="1" t="array" ref="B68">IF((INDIRECT("'"&amp;INDIRECT("Main!B9")&amp;"'!B82"))=0,"",(INDIRECT("'"&amp;INDIRECT("Main!B9")&amp;"'!B82")))</f>
        <v/>
      </c>
      <c r="C68" s="35">
        <v>0</v>
      </c>
      <c r="D68" s="15"/>
      <c r="E68" s="15"/>
      <c r="F68" s="15"/>
      <c r="G68" s="15"/>
      <c r="H68" s="15"/>
      <c r="I68" s="45"/>
    </row>
    <row r="69" s="1" customFormat="1" ht="35" customHeight="1" spans="1:9">
      <c r="A69" s="47" t="str" cm="1">
        <f ca="1" t="array" ref="A69">IF((INDIRECT("'"&amp;INDIRECT("Main!B9")&amp;"'!A83"))=0,"",(INDIRECT("'"&amp;INDIRECT("Main!B9")&amp;"'!A83")))</f>
        <v/>
      </c>
      <c r="B69" s="47" t="str" cm="1">
        <f ca="1" t="array" ref="B69">IF((INDIRECT("'"&amp;INDIRECT("Main!B9")&amp;"'!B83"))=0,"",(INDIRECT("'"&amp;INDIRECT("Main!B9")&amp;"'!B83")))</f>
        <v/>
      </c>
      <c r="C69" s="35">
        <v>0</v>
      </c>
      <c r="D69" s="15"/>
      <c r="E69" s="15"/>
      <c r="F69" s="15"/>
      <c r="G69" s="15"/>
      <c r="H69" s="15"/>
      <c r="I69" s="45"/>
    </row>
    <row r="70" s="1" customFormat="1" ht="35" customHeight="1" spans="1:9">
      <c r="A70" s="47" t="str" cm="1">
        <f ca="1" t="array" ref="A70">IF((INDIRECT("'"&amp;INDIRECT("Main!B9")&amp;"'!A84"))=0,"",(INDIRECT("'"&amp;INDIRECT("Main!B9")&amp;"'!A84")))</f>
        <v/>
      </c>
      <c r="B70" s="47" t="str" cm="1">
        <f ca="1" t="array" ref="B70">IF((INDIRECT("'"&amp;INDIRECT("Main!B9")&amp;"'!B84"))=0,"",(INDIRECT("'"&amp;INDIRECT("Main!B9")&amp;"'!B84")))</f>
        <v/>
      </c>
      <c r="C70" s="35">
        <v>0</v>
      </c>
      <c r="D70" s="15"/>
      <c r="E70" s="15"/>
      <c r="F70" s="15"/>
      <c r="G70" s="15"/>
      <c r="H70" s="15"/>
      <c r="I70" s="45"/>
    </row>
    <row r="71" s="1" customFormat="1" ht="35" customHeight="1" spans="1:9">
      <c r="A71" s="47" t="str" cm="1">
        <f ca="1" t="array" ref="A71">IF((INDIRECT("'"&amp;INDIRECT("Main!B9")&amp;"'!A85"))=0,"",(INDIRECT("'"&amp;INDIRECT("Main!B9")&amp;"'!A85")))</f>
        <v/>
      </c>
      <c r="B71" s="47" t="str" cm="1">
        <f ca="1" t="array" ref="B71">IF((INDIRECT("'"&amp;INDIRECT("Main!B9")&amp;"'!B85"))=0,"",(INDIRECT("'"&amp;INDIRECT("Main!B9")&amp;"'!B85")))</f>
        <v/>
      </c>
      <c r="C71" s="35">
        <v>0</v>
      </c>
      <c r="D71" s="15"/>
      <c r="E71" s="15"/>
      <c r="F71" s="15"/>
      <c r="G71" s="15"/>
      <c r="H71" s="15"/>
      <c r="I71" s="45"/>
    </row>
    <row r="72" s="1" customFormat="1" ht="35" customHeight="1" spans="1:9">
      <c r="A72" s="47" t="str" cm="1">
        <f ca="1" t="array" ref="A72">IF((INDIRECT("'"&amp;INDIRECT("Main!B9")&amp;"'!A86"))=0,"",(INDIRECT("'"&amp;INDIRECT("Main!B9")&amp;"'!A86")))</f>
        <v/>
      </c>
      <c r="B72" s="47" t="str" cm="1">
        <f ca="1" t="array" ref="B72">IF((INDIRECT("'"&amp;INDIRECT("Main!B9")&amp;"'!B86"))=0,"",(INDIRECT("'"&amp;INDIRECT("Main!B9")&amp;"'!B86")))</f>
        <v/>
      </c>
      <c r="C72" s="35">
        <v>0</v>
      </c>
      <c r="D72" s="15"/>
      <c r="E72" s="15"/>
      <c r="F72" s="15"/>
      <c r="G72" s="15"/>
      <c r="H72" s="15"/>
      <c r="I72" s="45"/>
    </row>
    <row r="73" s="1" customFormat="1" ht="35" customHeight="1" spans="1:9">
      <c r="A73" s="47" t="str" cm="1">
        <f ca="1" t="array" ref="A73">IF((INDIRECT("'"&amp;INDIRECT("Main!B9")&amp;"'!A87"))=0,"",(INDIRECT("'"&amp;INDIRECT("Main!B9")&amp;"'!A87")))</f>
        <v/>
      </c>
      <c r="B73" s="47" t="str" cm="1">
        <f ca="1" t="array" ref="B73">IF((INDIRECT("'"&amp;INDIRECT("Main!B9")&amp;"'!B87"))=0,"",(INDIRECT("'"&amp;INDIRECT("Main!B9")&amp;"'!B87")))</f>
        <v/>
      </c>
      <c r="C73" s="35">
        <v>0</v>
      </c>
      <c r="D73" s="15"/>
      <c r="E73" s="15"/>
      <c r="F73" s="15"/>
      <c r="G73" s="15"/>
      <c r="H73" s="15"/>
      <c r="I73" s="45"/>
    </row>
    <row r="74" s="1" customFormat="1" ht="35" customHeight="1" spans="1:9">
      <c r="A74" s="47" t="str" cm="1">
        <f ca="1" t="array" ref="A74">IF((INDIRECT("'"&amp;INDIRECT("Main!B9")&amp;"'!A88"))=0,"",(INDIRECT("'"&amp;INDIRECT("Main!B9")&amp;"'!A88")))</f>
        <v/>
      </c>
      <c r="B74" s="47" t="str" cm="1">
        <f ca="1" t="array" ref="B74">IF((INDIRECT("'"&amp;INDIRECT("Main!B9")&amp;"'!B88"))=0,"",(INDIRECT("'"&amp;INDIRECT("Main!B9")&amp;"'!B88")))</f>
        <v/>
      </c>
      <c r="C74" s="35">
        <v>0</v>
      </c>
      <c r="D74" s="15"/>
      <c r="E74" s="15"/>
      <c r="F74" s="15"/>
      <c r="G74" s="15"/>
      <c r="H74" s="15"/>
      <c r="I74" s="45"/>
    </row>
    <row r="75" s="1" customFormat="1" ht="35" customHeight="1" spans="1:9">
      <c r="A75" s="46"/>
      <c r="B75" s="37" t="s">
        <v>48</v>
      </c>
      <c r="C75" s="35">
        <f>SUM(C68:C74)</f>
        <v>0</v>
      </c>
      <c r="D75" s="15"/>
      <c r="E75" s="15"/>
      <c r="F75" s="15"/>
      <c r="G75" s="15"/>
      <c r="H75" s="15"/>
      <c r="I75" s="45"/>
    </row>
    <row r="76" s="1" customFormat="1" ht="35" customHeight="1" spans="1:9">
      <c r="A76" s="83" t="s">
        <v>51</v>
      </c>
      <c r="B76" s="84"/>
      <c r="C76" s="85"/>
      <c r="D76" s="15"/>
      <c r="E76" s="15"/>
      <c r="F76" s="15"/>
      <c r="G76" s="15"/>
      <c r="H76" s="15"/>
      <c r="I76" s="45"/>
    </row>
    <row r="77" s="1" customFormat="1" ht="35" customHeight="1" spans="1:9">
      <c r="A77" s="34" t="str" cm="1">
        <f ca="1" t="array" ref="A77">IF((INDIRECT("'"&amp;INDIRECT("Main!B9")&amp;"'!A91"))=0,"",(INDIRECT("'"&amp;INDIRECT("Main!B9")&amp;"'!A91")))</f>
        <v/>
      </c>
      <c r="B77" s="34" t="str" cm="1">
        <f ca="1" t="array" ref="B77">IF((INDIRECT("'"&amp;INDIRECT("Main!B9")&amp;"'!B91"))=0,"",(INDIRECT("'"&amp;INDIRECT("Main!B9")&amp;"'!B91")))</f>
        <v/>
      </c>
      <c r="C77" s="35">
        <v>0</v>
      </c>
      <c r="D77" s="15"/>
      <c r="E77" s="15"/>
      <c r="F77" s="15"/>
      <c r="G77" s="15"/>
      <c r="H77" s="15"/>
      <c r="I77" s="45"/>
    </row>
    <row r="78" s="1" customFormat="1" ht="35" customHeight="1" spans="1:9">
      <c r="A78" s="34" t="str" cm="1">
        <f ca="1" t="array" ref="A78">IF((INDIRECT("'"&amp;INDIRECT("Main!B9")&amp;"'!A92"))=0,"",(INDIRECT("'"&amp;INDIRECT("Main!B9")&amp;"'!A92")))</f>
        <v/>
      </c>
      <c r="B78" s="34" t="str" cm="1">
        <f ca="1" t="array" ref="B78">IF((INDIRECT("'"&amp;INDIRECT("Main!B9")&amp;"'!B92"))=0,"",(INDIRECT("'"&amp;INDIRECT("Main!B9")&amp;"'!B92")))</f>
        <v/>
      </c>
      <c r="C78" s="35">
        <v>0</v>
      </c>
      <c r="D78" s="15"/>
      <c r="E78" s="15"/>
      <c r="F78" s="15"/>
      <c r="G78" s="15"/>
      <c r="H78" s="15"/>
      <c r="I78" s="45"/>
    </row>
    <row r="79" s="1" customFormat="1" ht="35" customHeight="1" spans="1:9">
      <c r="A79" s="34" t="str" cm="1">
        <f ca="1" t="array" ref="A79">IF((INDIRECT("'"&amp;INDIRECT("Main!B9")&amp;"'!A93"))=0,"",(INDIRECT("'"&amp;INDIRECT("Main!B9")&amp;"'!A93")))</f>
        <v/>
      </c>
      <c r="B79" s="34" t="str" cm="1">
        <f ca="1" t="array" ref="B79">IF((INDIRECT("'"&amp;INDIRECT("Main!B9")&amp;"'!B93"))=0,"",(INDIRECT("'"&amp;INDIRECT("Main!B9")&amp;"'!B93")))</f>
        <v/>
      </c>
      <c r="C79" s="35">
        <v>0</v>
      </c>
      <c r="D79" s="15"/>
      <c r="E79" s="15"/>
      <c r="F79" s="15"/>
      <c r="G79" s="15"/>
      <c r="H79" s="15"/>
      <c r="I79" s="45"/>
    </row>
    <row r="80" s="1" customFormat="1" ht="35" customHeight="1" spans="1:9">
      <c r="A80" s="34" t="str" cm="1">
        <f ca="1" t="array" ref="A80">IF((INDIRECT("'"&amp;INDIRECT("Main!B9")&amp;"'!A94"))=0,"",(INDIRECT("'"&amp;INDIRECT("Main!B9")&amp;"'!A94")))</f>
        <v/>
      </c>
      <c r="B80" s="34" t="str" cm="1">
        <f ca="1" t="array" ref="B80">IF((INDIRECT("'"&amp;INDIRECT("Main!B9")&amp;"'!B94"))=0,"",(INDIRECT("'"&amp;INDIRECT("Main!B9")&amp;"'!B94")))</f>
        <v/>
      </c>
      <c r="C80" s="35">
        <v>0</v>
      </c>
      <c r="D80" s="15"/>
      <c r="E80" s="15"/>
      <c r="F80" s="15"/>
      <c r="G80" s="15"/>
      <c r="H80" s="15"/>
      <c r="I80" s="45"/>
    </row>
    <row r="81" s="1" customFormat="1" ht="35" customHeight="1" spans="1:9">
      <c r="A81" s="34" t="str" cm="1">
        <f ca="1" t="array" ref="A81">IF((INDIRECT("'"&amp;INDIRECT("Main!B9")&amp;"'!A95"))=0,"",(INDIRECT("'"&amp;INDIRECT("Main!B9")&amp;"'!A95")))</f>
        <v/>
      </c>
      <c r="B81" s="34" t="str" cm="1">
        <f ca="1" t="array" ref="B81">IF((INDIRECT("'"&amp;INDIRECT("Main!B9")&amp;"'!B95"))=0,"",(INDIRECT("'"&amp;INDIRECT("Main!B9")&amp;"'!B95")))</f>
        <v/>
      </c>
      <c r="C81" s="35">
        <v>0</v>
      </c>
      <c r="D81" s="15"/>
      <c r="E81" s="15"/>
      <c r="F81" s="15"/>
      <c r="G81" s="15"/>
      <c r="H81" s="15"/>
      <c r="I81" s="45"/>
    </row>
    <row r="82" s="1" customFormat="1" ht="35" customHeight="1" spans="1:9">
      <c r="A82" s="34" t="str" cm="1">
        <f ca="1" t="array" ref="A82">IF((INDIRECT("'"&amp;INDIRECT("Main!B9")&amp;"'!A96"))=0,"",(INDIRECT("'"&amp;INDIRECT("Main!B9")&amp;"'!A96")))</f>
        <v/>
      </c>
      <c r="B82" s="34" t="str" cm="1">
        <f ca="1" t="array" ref="B82">IF((INDIRECT("'"&amp;INDIRECT("Main!B9")&amp;"'!B96"))=0,"",(INDIRECT("'"&amp;INDIRECT("Main!B9")&amp;"'!B96")))</f>
        <v/>
      </c>
      <c r="C82" s="35">
        <v>0</v>
      </c>
      <c r="D82" s="15"/>
      <c r="E82" s="15"/>
      <c r="F82" s="15"/>
      <c r="G82" s="15"/>
      <c r="H82" s="15"/>
      <c r="I82" s="45"/>
    </row>
    <row r="83" s="1" customFormat="1" ht="35" customHeight="1" spans="1:9">
      <c r="A83" s="34" t="str" cm="1">
        <f ca="1" t="array" ref="A83">IF((INDIRECT("'"&amp;INDIRECT("Main!B9")&amp;"'!A97"))=0,"",(INDIRECT("'"&amp;INDIRECT("Main!B9")&amp;"'!A97")))</f>
        <v/>
      </c>
      <c r="B83" s="34" t="str" cm="1">
        <f ca="1" t="array" ref="B83">IF((INDIRECT("'"&amp;INDIRECT("Main!B9")&amp;"'!B97"))=0,"",(INDIRECT("'"&amp;INDIRECT("Main!B9")&amp;"'!B97")))</f>
        <v/>
      </c>
      <c r="C83" s="35">
        <v>0</v>
      </c>
      <c r="D83" s="15"/>
      <c r="E83" s="15"/>
      <c r="F83" s="15"/>
      <c r="G83" s="15"/>
      <c r="H83" s="15"/>
      <c r="I83" s="45"/>
    </row>
    <row r="84" s="1" customFormat="1" ht="35" customHeight="1" spans="1:9">
      <c r="A84" s="34" t="str" cm="1">
        <f ca="1" t="array" ref="A84">IF((INDIRECT("'"&amp;INDIRECT("Main!B9")&amp;"'!A98"))=0,"",(INDIRECT("'"&amp;INDIRECT("Main!B9")&amp;"'!A98")))</f>
        <v/>
      </c>
      <c r="B84" s="34" t="str" cm="1">
        <f ca="1" t="array" ref="B84">IF((INDIRECT("'"&amp;INDIRECT("Main!B9")&amp;"'!B98"))=0,"",(INDIRECT("'"&amp;INDIRECT("Main!B9")&amp;"'!B98")))</f>
        <v/>
      </c>
      <c r="C84" s="35">
        <v>0</v>
      </c>
      <c r="D84" s="15"/>
      <c r="E84" s="15"/>
      <c r="F84" s="15"/>
      <c r="G84" s="15"/>
      <c r="H84" s="15"/>
      <c r="I84" s="45"/>
    </row>
    <row r="85" s="1" customFormat="1" ht="35" customHeight="1" spans="1:9">
      <c r="A85" s="46"/>
      <c r="B85" s="37" t="s">
        <v>48</v>
      </c>
      <c r="C85" s="35">
        <f>SUM(C77:C84)</f>
        <v>0</v>
      </c>
      <c r="D85" s="15"/>
      <c r="E85" s="15"/>
      <c r="F85" s="15"/>
      <c r="G85" s="15"/>
      <c r="H85" s="15"/>
      <c r="I85" s="45"/>
    </row>
    <row r="86" s="1" customFormat="1" ht="35" customHeight="1" spans="1:9">
      <c r="A86" s="83" t="s">
        <v>52</v>
      </c>
      <c r="B86" s="84"/>
      <c r="C86" s="85"/>
      <c r="D86" s="15"/>
      <c r="E86" s="15"/>
      <c r="F86" s="15"/>
      <c r="G86" s="15"/>
      <c r="H86" s="15"/>
      <c r="I86" s="45"/>
    </row>
    <row r="87" s="1" customFormat="1" ht="35" customHeight="1" spans="1:9">
      <c r="A87" s="34" t="str" cm="1">
        <f ca="1" t="array" ref="A87">IF((INDIRECT("'"&amp;INDIRECT("Main!B9")&amp;"'!A101"))=0,"",(INDIRECT("'"&amp;INDIRECT("Main!B9")&amp;"'!A101")))</f>
        <v/>
      </c>
      <c r="B87" s="34" t="str" cm="1">
        <f ca="1" t="array" ref="B87">IF((INDIRECT("'"&amp;INDIRECT("Main!B9")&amp;"'!B101"))=0,"",(INDIRECT("'"&amp;INDIRECT("Main!B9")&amp;"'!B101")))</f>
        <v/>
      </c>
      <c r="C87" s="35">
        <v>0</v>
      </c>
      <c r="D87" s="15"/>
      <c r="E87" s="15"/>
      <c r="F87" s="15"/>
      <c r="G87" s="15"/>
      <c r="H87" s="15"/>
      <c r="I87" s="45"/>
    </row>
    <row r="88" s="1" customFormat="1" ht="35" customHeight="1" spans="1:9">
      <c r="A88" s="34" t="str" cm="1">
        <f ca="1" t="array" ref="A88">IF((INDIRECT("'"&amp;INDIRECT("Main!B9")&amp;"'!A102"))=0,"",(INDIRECT("'"&amp;INDIRECT("Main!B9")&amp;"'!A102")))</f>
        <v/>
      </c>
      <c r="B88" s="34" t="str" cm="1">
        <f ca="1" t="array" ref="B88">IF((INDIRECT("'"&amp;INDIRECT("Main!B9")&amp;"'!B102"))=0,"",(INDIRECT("'"&amp;INDIRECT("Main!B9")&amp;"'!B102")))</f>
        <v/>
      </c>
      <c r="C88" s="35">
        <v>0</v>
      </c>
      <c r="D88" s="15"/>
      <c r="E88" s="15"/>
      <c r="F88" s="15"/>
      <c r="G88" s="15"/>
      <c r="H88" s="15"/>
      <c r="I88" s="45"/>
    </row>
    <row r="89" s="1" customFormat="1" ht="35" customHeight="1" spans="1:9">
      <c r="A89" s="34" t="str" cm="1">
        <f ca="1" t="array" ref="A89">IF((INDIRECT("'"&amp;INDIRECT("Main!B9")&amp;"'!A103"))=0,"",(INDIRECT("'"&amp;INDIRECT("Main!B9")&amp;"'!A103")))</f>
        <v/>
      </c>
      <c r="B89" s="34" t="str" cm="1">
        <f ca="1" t="array" ref="B89">IF((INDIRECT("'"&amp;INDIRECT("Main!B9")&amp;"'!B103"))=0,"",(INDIRECT("'"&amp;INDIRECT("Main!B9")&amp;"'!B103")))</f>
        <v/>
      </c>
      <c r="C89" s="35">
        <v>0</v>
      </c>
      <c r="D89" s="15"/>
      <c r="E89" s="15"/>
      <c r="F89" s="15"/>
      <c r="G89" s="15"/>
      <c r="H89" s="15"/>
      <c r="I89" s="45"/>
    </row>
    <row r="90" s="1" customFormat="1" ht="35" customHeight="1" spans="1:9">
      <c r="A90" s="34" t="str" cm="1">
        <f ca="1" t="array" ref="A90">IF((INDIRECT("'"&amp;INDIRECT("Main!B9")&amp;"'!A104"))=0,"",(INDIRECT("'"&amp;INDIRECT("Main!B9")&amp;"'!A104")))</f>
        <v/>
      </c>
      <c r="B90" s="34" t="str" cm="1">
        <f ca="1" t="array" ref="B90">IF((INDIRECT("'"&amp;INDIRECT("Main!B9")&amp;"'!B104"))=0,"",(INDIRECT("'"&amp;INDIRECT("Main!B9")&amp;"'!B104")))</f>
        <v/>
      </c>
      <c r="C90" s="35">
        <v>0</v>
      </c>
      <c r="D90" s="15"/>
      <c r="E90" s="62"/>
      <c r="F90" s="15"/>
      <c r="G90" s="15"/>
      <c r="H90" s="15"/>
      <c r="I90" s="45"/>
    </row>
    <row r="91" s="1" customFormat="1" ht="35" customHeight="1" spans="1:9">
      <c r="A91" s="34" t="str" cm="1">
        <f ca="1" t="array" ref="A91">IF((INDIRECT("'"&amp;INDIRECT("Main!B9")&amp;"'!A105"))=0,"",(INDIRECT("'"&amp;INDIRECT("Main!B9")&amp;"'!A105")))</f>
        <v/>
      </c>
      <c r="B91" s="34" t="str" cm="1">
        <f ca="1" t="array" ref="B91">IF((INDIRECT("'"&amp;INDIRECT("Main!B9")&amp;"'!B105"))=0,"",(INDIRECT("'"&amp;INDIRECT("Main!B9")&amp;"'!B105")))</f>
        <v/>
      </c>
      <c r="C91" s="35">
        <v>0</v>
      </c>
      <c r="D91" s="15"/>
      <c r="E91" s="15"/>
      <c r="F91" s="15"/>
      <c r="G91" s="15"/>
      <c r="H91" s="15"/>
      <c r="I91" s="45"/>
    </row>
    <row r="92" s="1" customFormat="1" ht="35" customHeight="1" spans="1:9">
      <c r="A92" s="34" t="str" cm="1">
        <f ca="1" t="array" ref="A92">IF((INDIRECT("'"&amp;INDIRECT("Main!B9")&amp;"'!A106"))=0,"",(INDIRECT("'"&amp;INDIRECT("Main!B9")&amp;"'!A106")))</f>
        <v/>
      </c>
      <c r="B92" s="34" t="str" cm="1">
        <f ca="1" t="array" ref="B92">IF((INDIRECT("'"&amp;INDIRECT("Main!B9")&amp;"'!B106"))=0,"",(INDIRECT("'"&amp;INDIRECT("Main!B9")&amp;"'!B106")))</f>
        <v/>
      </c>
      <c r="C92" s="35">
        <v>0</v>
      </c>
      <c r="D92" s="15"/>
      <c r="E92" s="15"/>
      <c r="F92" s="15"/>
      <c r="G92" s="15"/>
      <c r="H92" s="15"/>
      <c r="I92" s="45"/>
    </row>
    <row r="93" s="1" customFormat="1" ht="35" customHeight="1" spans="1:9">
      <c r="A93" s="34" t="str" cm="1">
        <f ca="1" t="array" ref="A93">IF((INDIRECT("'"&amp;INDIRECT("Main!B9")&amp;"'!A107"))=0,"",(INDIRECT("'"&amp;INDIRECT("Main!B9")&amp;"'!A107")))</f>
        <v/>
      </c>
      <c r="B93" s="34" t="str" cm="1">
        <f ca="1" t="array" ref="B93">IF((INDIRECT("'"&amp;INDIRECT("Main!B9")&amp;"'!B107"))=0,"",(INDIRECT("'"&amp;INDIRECT("Main!B9")&amp;"'!B107")))</f>
        <v/>
      </c>
      <c r="C93" s="35">
        <v>0</v>
      </c>
      <c r="D93" s="15"/>
      <c r="E93" s="15"/>
      <c r="F93" s="15"/>
      <c r="G93" s="15"/>
      <c r="H93" s="15"/>
      <c r="I93" s="45"/>
    </row>
    <row r="94" s="1" customFormat="1" ht="35" customHeight="1" spans="1:9">
      <c r="A94" s="34" t="str" cm="1">
        <f ca="1" t="array" ref="A94">IF((INDIRECT("'"&amp;INDIRECT("Main!B9")&amp;"'!A108"))=0,"",(INDIRECT("'"&amp;INDIRECT("Main!B9")&amp;"'!A108")))</f>
        <v/>
      </c>
      <c r="B94" s="34" t="str" cm="1">
        <f ca="1" t="array" ref="B94">IF((INDIRECT("'"&amp;INDIRECT("Main!B9")&amp;"'!B108"))=0,"",(INDIRECT("'"&amp;INDIRECT("Main!B9")&amp;"'!B108")))</f>
        <v/>
      </c>
      <c r="C94" s="35">
        <v>0</v>
      </c>
      <c r="D94" s="15"/>
      <c r="E94" s="15"/>
      <c r="F94" s="15"/>
      <c r="G94" s="15"/>
      <c r="H94" s="15"/>
      <c r="I94" s="45"/>
    </row>
    <row r="95" s="1" customFormat="1" ht="35" customHeight="1" spans="1:9">
      <c r="A95" s="47"/>
      <c r="B95" s="37" t="s">
        <v>48</v>
      </c>
      <c r="C95" s="35">
        <f>SUM(C87:C94)</f>
        <v>0</v>
      </c>
      <c r="D95" s="15"/>
      <c r="E95" s="15"/>
      <c r="F95" s="15"/>
      <c r="G95" s="15"/>
      <c r="H95" s="15"/>
      <c r="I95" s="45"/>
    </row>
    <row r="96" s="1" customFormat="1" ht="35" customHeight="1" spans="1:9">
      <c r="A96" s="46"/>
      <c r="B96" s="37" t="s">
        <v>53</v>
      </c>
      <c r="C96" s="35">
        <f>C55+C66+C75+C85+C95</f>
        <v>0</v>
      </c>
      <c r="D96" s="15"/>
      <c r="E96" s="15"/>
      <c r="F96" s="15"/>
      <c r="G96" s="15"/>
      <c r="H96" s="15"/>
      <c r="I96" s="45"/>
    </row>
    <row r="97" s="1" customFormat="1" ht="35" customHeight="1" spans="1:9">
      <c r="A97" s="83" t="s">
        <v>54</v>
      </c>
      <c r="B97" s="84"/>
      <c r="C97" s="85"/>
      <c r="D97" s="15"/>
      <c r="E97" s="15"/>
      <c r="F97" s="15"/>
      <c r="G97" s="15"/>
      <c r="H97" s="15"/>
      <c r="I97" s="45"/>
    </row>
    <row r="98" s="1" customFormat="1" ht="35" customHeight="1" spans="1:9">
      <c r="A98" s="34" t="str" cm="1">
        <f ca="1" t="array" ref="A98">IF((INDIRECT("'"&amp;INDIRECT("Main!B9")&amp;"'!A112"))=0,"",(INDIRECT("'"&amp;INDIRECT("Main!B9")&amp;"'!A112")))</f>
        <v/>
      </c>
      <c r="B98" s="34" t="str" cm="1">
        <f ca="1" t="array" ref="B98">IF((INDIRECT("'"&amp;INDIRECT("Main!B9")&amp;"'!B112"))=0,"",(INDIRECT("'"&amp;INDIRECT("Main!B9")&amp;"'!B112")))</f>
        <v/>
      </c>
      <c r="C98" s="35" cm="1">
        <f ca="1" t="array" ref="C98">INDIRECT("'"&amp;INDIRECT("Main!B33")&amp;"'!C98")+SUM(E118+E145+E172)</f>
        <v>0</v>
      </c>
      <c r="D98" s="15"/>
      <c r="E98" s="15"/>
      <c r="F98" s="15"/>
      <c r="G98" s="15"/>
      <c r="H98" s="15"/>
      <c r="I98" s="45"/>
    </row>
    <row r="99" s="1" customFormat="1" ht="35" customHeight="1" spans="1:9">
      <c r="A99" s="34" t="str" cm="1">
        <f ca="1" t="array" ref="A99">IF((INDIRECT("'"&amp;INDIRECT("Main!B9")&amp;"'!A113"))=0,"",(INDIRECT("'"&amp;INDIRECT("Main!B9")&amp;"'!A113")))</f>
        <v/>
      </c>
      <c r="B99" s="34" t="str" cm="1">
        <f ca="1" t="array" ref="B99">IF((INDIRECT("'"&amp;INDIRECT("Main!B9")&amp;"'!B113"))=0,"",(INDIRECT("'"&amp;INDIRECT("Main!B9")&amp;"'!B113")))</f>
        <v/>
      </c>
      <c r="C99" s="35" cm="1">
        <f ca="1" t="array" ref="C99">INDIRECT("'"&amp;INDIRECT("Main!B33")&amp;"'!C99")+SUM(E119+E146+E173)</f>
        <v>0</v>
      </c>
      <c r="D99" s="15"/>
      <c r="E99" s="15"/>
      <c r="F99" s="15"/>
      <c r="G99" s="15"/>
      <c r="H99" s="15"/>
      <c r="I99" s="45"/>
    </row>
    <row r="100" s="1" customFormat="1" ht="35" customHeight="1" spans="1:9">
      <c r="A100" s="34" t="str" cm="1">
        <f ca="1" t="array" ref="A100">IF((INDIRECT("'"&amp;INDIRECT("Main!B9")&amp;"'!A114"))=0,"",(INDIRECT("'"&amp;INDIRECT("Main!B9")&amp;"'!A114")))</f>
        <v/>
      </c>
      <c r="B100" s="34" t="str" cm="1">
        <f ca="1" t="array" ref="B100">IF((INDIRECT("'"&amp;INDIRECT("Main!B9")&amp;"'!B114"))=0,"",(INDIRECT("'"&amp;INDIRECT("Main!B9")&amp;"'!B114")))</f>
        <v/>
      </c>
      <c r="C100" s="35" cm="1">
        <f ca="1" t="array" ref="C100">INDIRECT("'"&amp;INDIRECT("Main!B33")&amp;"'!C100")+SUM(E120+E147+E174)</f>
        <v>0</v>
      </c>
      <c r="D100" s="15"/>
      <c r="E100" s="15"/>
      <c r="F100" s="15"/>
      <c r="G100" s="15"/>
      <c r="H100" s="15"/>
      <c r="I100" s="45"/>
    </row>
    <row r="101" s="1" customFormat="1" ht="35" customHeight="1" spans="1:9">
      <c r="A101" s="34" t="str" cm="1">
        <f ca="1" t="array" ref="A101">IF((INDIRECT("'"&amp;INDIRECT("Main!B9")&amp;"'!A115"))=0,"",(INDIRECT("'"&amp;INDIRECT("Main!B9")&amp;"'!A115")))</f>
        <v/>
      </c>
      <c r="B101" s="34" t="str" cm="1">
        <f ca="1" t="array" ref="B101">IF((INDIRECT("'"&amp;INDIRECT("Main!B9")&amp;"'!B115"))=0,"",(INDIRECT("'"&amp;INDIRECT("Main!B9")&amp;"'!B115")))</f>
        <v/>
      </c>
      <c r="C101" s="35" cm="1">
        <f ca="1" t="array" ref="C101">INDIRECT("'"&amp;INDIRECT("Main!B33")&amp;"'!C101")+SUM(E121+E148+E175)</f>
        <v>0</v>
      </c>
      <c r="D101" s="15"/>
      <c r="E101" s="15"/>
      <c r="F101" s="15"/>
      <c r="G101" s="15"/>
      <c r="H101" s="15"/>
      <c r="I101" s="45"/>
    </row>
    <row r="102" s="1" customFormat="1" ht="35" customHeight="1" spans="1:9">
      <c r="A102" s="34" t="str" cm="1">
        <f ca="1" t="array" ref="A102">IF((INDIRECT("'"&amp;INDIRECT("Main!B9")&amp;"'!A116"))=0,"",(INDIRECT("'"&amp;INDIRECT("Main!B9")&amp;"'!A116")))</f>
        <v/>
      </c>
      <c r="B102" s="34" t="str" cm="1">
        <f ca="1" t="array" ref="B102">IF((INDIRECT("'"&amp;INDIRECT("Main!B9")&amp;"'!B116"))=0,"",(INDIRECT("'"&amp;INDIRECT("Main!B9")&amp;"'!B116")))</f>
        <v/>
      </c>
      <c r="C102" s="35" cm="1">
        <f ca="1" t="array" ref="C102">INDIRECT("'"&amp;INDIRECT("Main!B33")&amp;"'!C102")+SUM(E122+E149+E176)</f>
        <v>0</v>
      </c>
      <c r="D102" s="15"/>
      <c r="E102" s="15"/>
      <c r="F102" s="15"/>
      <c r="G102" s="15"/>
      <c r="H102" s="15"/>
      <c r="I102" s="45"/>
    </row>
    <row r="103" s="1" customFormat="1" ht="35" customHeight="1" spans="1:9">
      <c r="A103" s="34" t="str" cm="1">
        <f ca="1" t="array" ref="A103">IF((INDIRECT("'"&amp;INDIRECT("Main!B9")&amp;"'!A117"))=0,"",(INDIRECT("'"&amp;INDIRECT("Main!B9")&amp;"'!A117")))</f>
        <v/>
      </c>
      <c r="B103" s="34" t="str" cm="1">
        <f ca="1" t="array" ref="B103">IF((INDIRECT("'"&amp;INDIRECT("Main!B9")&amp;"'!B117"))=0,"",(INDIRECT("'"&amp;INDIRECT("Main!B9")&amp;"'!B117")))</f>
        <v/>
      </c>
      <c r="C103" s="35" cm="1">
        <f ca="1" t="array" ref="C103">INDIRECT("'"&amp;INDIRECT("Main!B33")&amp;"'!C103")+SUM(E123+E150+E177)</f>
        <v>0</v>
      </c>
      <c r="D103" s="15"/>
      <c r="E103" s="15"/>
      <c r="F103" s="15"/>
      <c r="G103" s="15"/>
      <c r="H103" s="15"/>
      <c r="I103" s="45"/>
    </row>
    <row r="104" s="1" customFormat="1" ht="35" customHeight="1" spans="1:9">
      <c r="A104" s="34" t="str" cm="1">
        <f ca="1" t="array" ref="A104">IF((INDIRECT("'"&amp;INDIRECT("Main!B9")&amp;"'!A118"))=0,"",(INDIRECT("'"&amp;INDIRECT("Main!B9")&amp;"'!A118")))</f>
        <v/>
      </c>
      <c r="B104" s="34" t="str" cm="1">
        <f ca="1" t="array" ref="B104">IF((INDIRECT("'"&amp;INDIRECT("Main!B9")&amp;"'!B118"))=0,"",(INDIRECT("'"&amp;INDIRECT("Main!B9")&amp;"'!B118")))</f>
        <v/>
      </c>
      <c r="C104" s="35" cm="1">
        <f ca="1" t="array" ref="C104">INDIRECT("'"&amp;INDIRECT("Main!B33")&amp;"'!C104")+SUM(E124+E151+E178)</f>
        <v>0</v>
      </c>
      <c r="D104" s="15"/>
      <c r="E104" s="15"/>
      <c r="F104" s="15"/>
      <c r="G104" s="15"/>
      <c r="H104" s="15"/>
      <c r="I104" s="45"/>
    </row>
    <row r="105" s="1" customFormat="1" ht="35" customHeight="1" spans="1:9">
      <c r="A105" s="34" t="str" cm="1">
        <f ca="1" t="array" ref="A105">IF((INDIRECT("'"&amp;INDIRECT("Main!B9")&amp;"'!A119"))=0,"",(INDIRECT("'"&amp;INDIRECT("Main!B9")&amp;"'!A119")))</f>
        <v/>
      </c>
      <c r="B105" s="34" t="str" cm="1">
        <f ca="1" t="array" ref="B105">IF((INDIRECT("'"&amp;INDIRECT("Main!B9")&amp;"'!B119"))=0,"",(INDIRECT("'"&amp;INDIRECT("Main!B9")&amp;"'!B119")))</f>
        <v/>
      </c>
      <c r="C105" s="35" cm="1">
        <f ca="1" t="array" ref="C105">INDIRECT("'"&amp;INDIRECT("Main!B33")&amp;"'!C105")+SUM(E125+E152+E179)</f>
        <v>0</v>
      </c>
      <c r="D105" s="15"/>
      <c r="E105" s="15"/>
      <c r="F105" s="15"/>
      <c r="G105" s="15"/>
      <c r="H105" s="15"/>
      <c r="I105" s="45"/>
    </row>
    <row r="106" s="1" customFormat="1" ht="35" customHeight="1" spans="1:9">
      <c r="A106" s="34" t="str" cm="1">
        <f ca="1" t="array" ref="A106">IF((INDIRECT("'"&amp;INDIRECT("Main!B9")&amp;"'!A120"))=0,"",(INDIRECT("'"&amp;INDIRECT("Main!B9")&amp;"'!A120")))</f>
        <v/>
      </c>
      <c r="B106" s="34" t="str" cm="1">
        <f ca="1" t="array" ref="B106">IF((INDIRECT("'"&amp;INDIRECT("Main!B9")&amp;"'!B120"))=0,"",(INDIRECT("'"&amp;INDIRECT("Main!B9")&amp;"'!B120")))</f>
        <v/>
      </c>
      <c r="C106" s="35" cm="1">
        <f ca="1" t="array" ref="C106">INDIRECT("'"&amp;INDIRECT("Main!B33")&amp;"'!C106")+SUM(E126+E153+E180)</f>
        <v>0</v>
      </c>
      <c r="D106" s="15"/>
      <c r="E106" s="15"/>
      <c r="F106" s="15"/>
      <c r="G106" s="15"/>
      <c r="H106" s="15"/>
      <c r="I106" s="45"/>
    </row>
    <row r="107" s="1" customFormat="1" ht="35" customHeight="1" spans="1:9">
      <c r="A107" s="34" t="str" cm="1">
        <f ca="1" t="array" ref="A107">IF((INDIRECT("'"&amp;INDIRECT("Main!B9")&amp;"'!A121"))=0,"",(INDIRECT("'"&amp;INDIRECT("Main!B9")&amp;"'!A121")))</f>
        <v/>
      </c>
      <c r="B107" s="34" t="str" cm="1">
        <f ca="1" t="array" ref="B107">IF((INDIRECT("'"&amp;INDIRECT("Main!B9")&amp;"'!B121"))=0,"",(INDIRECT("'"&amp;INDIRECT("Main!B9")&amp;"'!B121")))</f>
        <v/>
      </c>
      <c r="C107" s="35" cm="1">
        <f ca="1" t="array" ref="C107">INDIRECT("'"&amp;INDIRECT("Main!B33")&amp;"'!C107")+SUM(E127+E154+E181)</f>
        <v>0</v>
      </c>
      <c r="D107" s="15"/>
      <c r="E107" s="15"/>
      <c r="F107" s="15"/>
      <c r="G107" s="15"/>
      <c r="H107" s="15"/>
      <c r="I107" s="45"/>
    </row>
    <row r="108" s="1" customFormat="1" ht="35" customHeight="1" spans="1:9">
      <c r="A108" s="46"/>
      <c r="B108" s="37" t="s">
        <v>55</v>
      </c>
      <c r="C108" s="35">
        <f ca="1">SUM(C98:C107)</f>
        <v>0</v>
      </c>
      <c r="D108" s="15"/>
      <c r="E108" s="15"/>
      <c r="F108" s="15"/>
      <c r="G108" s="15"/>
      <c r="H108" s="15"/>
      <c r="I108" s="45"/>
    </row>
    <row r="109" s="1" customFormat="1" ht="35" customHeight="1" spans="1:9">
      <c r="A109" s="46"/>
      <c r="B109" s="37" t="s">
        <v>56</v>
      </c>
      <c r="C109" s="35">
        <f ca="1">C108-C96</f>
        <v>0</v>
      </c>
      <c r="D109" s="15"/>
      <c r="E109" s="15"/>
      <c r="F109" s="15"/>
      <c r="G109" s="15"/>
      <c r="H109" s="15"/>
      <c r="I109" s="45"/>
    </row>
    <row r="110" s="1" customFormat="1" ht="35" customHeight="1" spans="1:9">
      <c r="A110" s="15"/>
      <c r="B110" s="15"/>
      <c r="C110" s="15"/>
      <c r="D110" s="15"/>
      <c r="E110" s="15"/>
      <c r="F110" s="15"/>
      <c r="G110" s="15"/>
      <c r="H110" s="15"/>
      <c r="I110" s="45"/>
    </row>
    <row r="111" s="1" customFormat="1" ht="35" customHeight="1" spans="1:9">
      <c r="A111" s="15"/>
      <c r="B111" s="15"/>
      <c r="C111" s="15"/>
      <c r="D111" s="15"/>
      <c r="E111" s="15"/>
      <c r="F111" s="15"/>
      <c r="G111" s="15"/>
      <c r="H111" s="15"/>
      <c r="I111" s="45"/>
    </row>
    <row r="112" s="1" customFormat="1" ht="35" customHeight="1" spans="1:9">
      <c r="A112" s="15"/>
      <c r="B112" s="15"/>
      <c r="C112" s="15"/>
      <c r="D112" s="15"/>
      <c r="E112" s="15"/>
      <c r="F112" s="15"/>
      <c r="G112" s="15"/>
      <c r="H112" s="15"/>
      <c r="I112" s="45"/>
    </row>
    <row r="113" s="1" customFormat="1" ht="35" customHeight="1" spans="1:9">
      <c r="A113" s="15"/>
      <c r="B113" s="15"/>
      <c r="C113" s="15"/>
      <c r="D113" s="15"/>
      <c r="E113" s="15"/>
      <c r="F113" s="15"/>
      <c r="G113" s="15"/>
      <c r="H113" s="15"/>
      <c r="I113" s="45"/>
    </row>
    <row r="114" s="1" customFormat="1" ht="35" customHeight="1" spans="1:9">
      <c r="A114" s="48" t="str">
        <f>"Debts Or Credits For the Comming "&amp;IF(Main!B2,TEXT(EDATE(Main!B3,27),"mmmm dd yyyy"),TEXT(Main!B3+((Main!B5-Main!B3)*27+27),"mmmm dd yyyy"))&amp;" to "&amp;IF(Main!B2,TEXT(EDATE(Main!B3,28)-1,"mmmm dd yyyy"),TEXT(Main!B3+((Main!B5-Main!B3)*28+27),"mmmm dd yyyy"))</f>
        <v>Debts Or Credits For the Comming August 01 2027 to August 31 2027</v>
      </c>
      <c r="B114" s="49"/>
      <c r="C114" s="49"/>
      <c r="D114" s="49"/>
      <c r="E114" s="50"/>
      <c r="F114" s="15"/>
      <c r="G114" s="15"/>
      <c r="H114" s="15"/>
      <c r="I114" s="45"/>
    </row>
    <row r="115" s="1" customFormat="1" ht="35" customHeight="1" spans="1:9">
      <c r="A115" s="48" t="s">
        <v>57</v>
      </c>
      <c r="B115" s="50"/>
      <c r="C115" s="48" t="s">
        <v>44</v>
      </c>
      <c r="D115" s="50"/>
      <c r="E115" s="64" t="s">
        <v>45</v>
      </c>
      <c r="F115" s="15"/>
      <c r="G115" s="15"/>
      <c r="H115" s="15"/>
      <c r="I115" s="45"/>
    </row>
    <row r="116" s="1" customFormat="1" ht="35" customHeight="1" spans="1:9">
      <c r="A116" s="51" t="str">
        <f>"Balance Brought Forward From "&amp;IF(Main!B2,TEXT(EDATE(Main!B3,27)-1,"mmmm yyyy"),TEXT(Main!B3+((Main!B5-Main!B3)*27+26),"mmmm yyyy"))</f>
        <v>Balance Brought Forward From July 2027</v>
      </c>
      <c r="B116" s="52"/>
      <c r="C116" s="53"/>
      <c r="D116" s="53"/>
      <c r="E116" s="65" cm="1">
        <f ca="1" t="array" ref="E116">INDIRECT("'"&amp;INDIRECT("Main!B33")&amp;"'!E190")</f>
        <v>0</v>
      </c>
      <c r="F116" s="15"/>
      <c r="G116" s="15"/>
      <c r="H116" s="15"/>
      <c r="I116" s="45"/>
    </row>
    <row r="117" s="1" customFormat="1" ht="35" customHeight="1" spans="1:9">
      <c r="A117" s="54" t="s">
        <v>52</v>
      </c>
      <c r="B117" s="55"/>
      <c r="C117" s="56" t="s">
        <v>58</v>
      </c>
      <c r="D117" s="57"/>
      <c r="E117" s="66"/>
      <c r="F117" s="15"/>
      <c r="G117" s="15"/>
      <c r="H117" s="15"/>
      <c r="I117" s="45"/>
    </row>
    <row r="118" s="1" customFormat="1" ht="35" customHeight="1" spans="1:9">
      <c r="A118" s="58"/>
      <c r="B118" s="59"/>
      <c r="C118" s="60"/>
      <c r="D118" s="61"/>
      <c r="E118" s="35">
        <v>0</v>
      </c>
      <c r="F118" s="15"/>
      <c r="G118" s="15"/>
      <c r="H118" s="15"/>
      <c r="I118" s="45"/>
    </row>
    <row r="119" s="1" customFormat="1" ht="35" customHeight="1" spans="1:9">
      <c r="A119" s="58"/>
      <c r="B119" s="59"/>
      <c r="C119" s="60"/>
      <c r="D119" s="61"/>
      <c r="E119" s="35">
        <v>0</v>
      </c>
      <c r="F119" s="15"/>
      <c r="G119" s="15"/>
      <c r="H119" s="15"/>
      <c r="I119" s="45"/>
    </row>
    <row r="120" s="1" customFormat="1" ht="35" customHeight="1" spans="1:9">
      <c r="A120" s="58"/>
      <c r="B120" s="59"/>
      <c r="C120" s="60"/>
      <c r="D120" s="61"/>
      <c r="E120" s="35">
        <v>0</v>
      </c>
      <c r="F120" s="15"/>
      <c r="G120" s="15"/>
      <c r="H120" s="15"/>
      <c r="I120" s="45"/>
    </row>
    <row r="121" s="1" customFormat="1" ht="35" customHeight="1" spans="1:9">
      <c r="A121" s="58"/>
      <c r="B121" s="59"/>
      <c r="C121" s="60"/>
      <c r="D121" s="61"/>
      <c r="E121" s="35">
        <v>0</v>
      </c>
      <c r="F121" s="15"/>
      <c r="G121" s="15"/>
      <c r="H121" s="15"/>
      <c r="I121" s="45"/>
    </row>
    <row r="122" s="1" customFormat="1" ht="35" customHeight="1" spans="1:9">
      <c r="A122" s="58"/>
      <c r="B122" s="59"/>
      <c r="C122" s="60"/>
      <c r="D122" s="61"/>
      <c r="E122" s="35">
        <v>0</v>
      </c>
      <c r="F122" s="15"/>
      <c r="G122" s="15"/>
      <c r="H122" s="15"/>
      <c r="I122" s="45"/>
    </row>
    <row r="123" s="1" customFormat="1" ht="35" customHeight="1" spans="1:9">
      <c r="A123" s="58"/>
      <c r="B123" s="59"/>
      <c r="C123" s="60"/>
      <c r="D123" s="61"/>
      <c r="E123" s="35">
        <v>0</v>
      </c>
      <c r="F123" s="15"/>
      <c r="G123" s="15"/>
      <c r="H123" s="15"/>
      <c r="I123" s="45"/>
    </row>
    <row r="124" s="1" customFormat="1" ht="35" customHeight="1" spans="1:9">
      <c r="A124" s="58"/>
      <c r="B124" s="59"/>
      <c r="C124" s="60"/>
      <c r="D124" s="61"/>
      <c r="E124" s="35">
        <v>0</v>
      </c>
      <c r="F124" s="15"/>
      <c r="G124" s="15"/>
      <c r="H124" s="15"/>
      <c r="I124" s="45"/>
    </row>
    <row r="125" s="1" customFormat="1" ht="35" customHeight="1" spans="1:9">
      <c r="A125" s="58"/>
      <c r="B125" s="59"/>
      <c r="C125" s="60"/>
      <c r="D125" s="61"/>
      <c r="E125" s="35">
        <v>0</v>
      </c>
      <c r="F125" s="15"/>
      <c r="G125" s="15"/>
      <c r="H125" s="15"/>
      <c r="I125" s="45"/>
    </row>
    <row r="126" s="1" customFormat="1" ht="35" customHeight="1" spans="1:9">
      <c r="A126" s="58"/>
      <c r="B126" s="59"/>
      <c r="C126" s="60"/>
      <c r="D126" s="61"/>
      <c r="E126" s="35">
        <v>0</v>
      </c>
      <c r="F126" s="15"/>
      <c r="G126" s="15"/>
      <c r="H126" s="15"/>
      <c r="I126" s="45"/>
    </row>
    <row r="127" s="1" customFormat="1" ht="35" customHeight="1" spans="1:9">
      <c r="A127" s="58"/>
      <c r="B127" s="59"/>
      <c r="C127" s="60"/>
      <c r="D127" s="61"/>
      <c r="E127" s="35">
        <v>0</v>
      </c>
      <c r="F127" s="15"/>
      <c r="G127" s="15"/>
      <c r="H127" s="15"/>
      <c r="I127" s="45"/>
    </row>
    <row r="128" s="1" customFormat="1" ht="35" customHeight="1" spans="1:9">
      <c r="A128" s="58"/>
      <c r="B128" s="59"/>
      <c r="C128" s="56" t="s">
        <v>59</v>
      </c>
      <c r="D128" s="57"/>
      <c r="E128" s="66"/>
      <c r="F128" s="15"/>
      <c r="G128" s="15"/>
      <c r="H128" s="15"/>
      <c r="I128" s="45"/>
    </row>
    <row r="129" s="1" customFormat="1" ht="35" customHeight="1" spans="1:9">
      <c r="A129" s="58"/>
      <c r="B129" s="59"/>
      <c r="C129" s="60"/>
      <c r="D129" s="61"/>
      <c r="E129" s="78">
        <v>0</v>
      </c>
      <c r="F129" s="15"/>
      <c r="G129" s="15"/>
      <c r="H129" s="15"/>
      <c r="I129" s="45"/>
    </row>
    <row r="130" s="1" customFormat="1" ht="35" customHeight="1" spans="1:9">
      <c r="A130" s="58"/>
      <c r="B130" s="59"/>
      <c r="C130" s="60"/>
      <c r="D130" s="61"/>
      <c r="E130" s="78">
        <v>0</v>
      </c>
      <c r="F130" s="15"/>
      <c r="G130" s="15"/>
      <c r="H130" s="15"/>
      <c r="I130" s="45"/>
    </row>
    <row r="131" s="1" customFormat="1" ht="35" customHeight="1" spans="1:9">
      <c r="A131" s="58"/>
      <c r="B131" s="59"/>
      <c r="C131" s="60"/>
      <c r="D131" s="61"/>
      <c r="E131" s="78">
        <v>0</v>
      </c>
      <c r="F131" s="15"/>
      <c r="G131" s="15"/>
      <c r="H131" s="15"/>
      <c r="I131" s="45"/>
    </row>
    <row r="132" s="1" customFormat="1" ht="35" customHeight="1" spans="1:9">
      <c r="A132" s="58"/>
      <c r="B132" s="59"/>
      <c r="C132" s="60"/>
      <c r="D132" s="61"/>
      <c r="E132" s="78">
        <v>0</v>
      </c>
      <c r="F132" s="15"/>
      <c r="G132" s="15"/>
      <c r="H132" s="15"/>
      <c r="I132" s="45"/>
    </row>
    <row r="133" s="1" customFormat="1" ht="35" customHeight="1" spans="1:9">
      <c r="A133" s="58"/>
      <c r="B133" s="59"/>
      <c r="C133" s="60"/>
      <c r="D133" s="61"/>
      <c r="E133" s="78">
        <v>0</v>
      </c>
      <c r="F133" s="15"/>
      <c r="G133" s="15"/>
      <c r="H133" s="15"/>
      <c r="I133" s="45"/>
    </row>
    <row r="134" s="1" customFormat="1" ht="35" customHeight="1" spans="1:9">
      <c r="A134" s="67"/>
      <c r="B134" s="68"/>
      <c r="C134" s="60"/>
      <c r="D134" s="61"/>
      <c r="E134" s="78">
        <v>0</v>
      </c>
      <c r="F134" s="15"/>
      <c r="G134" s="15"/>
      <c r="H134" s="15"/>
      <c r="I134" s="45"/>
    </row>
    <row r="135" s="1" customFormat="1" ht="35" customHeight="1" spans="1:9">
      <c r="A135" s="51" t="s">
        <v>60</v>
      </c>
      <c r="B135" s="69"/>
      <c r="C135" s="70"/>
      <c r="D135" s="71"/>
      <c r="E135" s="78">
        <f>C96</f>
        <v>0</v>
      </c>
      <c r="F135" s="15"/>
      <c r="G135" s="15"/>
      <c r="H135" s="15"/>
      <c r="I135" s="45"/>
    </row>
    <row r="136" s="1" customFormat="1" ht="35" customHeight="1" spans="1:9">
      <c r="A136" s="72"/>
      <c r="B136" s="73"/>
      <c r="C136" s="37" t="s">
        <v>61</v>
      </c>
      <c r="D136" s="37"/>
      <c r="E136" s="79">
        <f ca="1">(F16+E116)-(SUM(E118:E127)+SUM(E129:E135))</f>
        <v>0</v>
      </c>
      <c r="F136" s="15"/>
      <c r="G136" s="15"/>
      <c r="H136" s="15"/>
      <c r="I136" s="45"/>
    </row>
    <row r="137" s="1" customFormat="1" ht="35" customHeight="1" spans="1:9">
      <c r="A137" s="15"/>
      <c r="B137" s="15"/>
      <c r="C137" s="15"/>
      <c r="D137" s="15"/>
      <c r="E137" s="15"/>
      <c r="F137" s="15"/>
      <c r="G137" s="15"/>
      <c r="H137" s="15"/>
      <c r="I137" s="45"/>
    </row>
    <row r="138" s="1" customFormat="1" ht="35" customHeight="1" spans="1:9">
      <c r="A138" s="15"/>
      <c r="B138" s="15"/>
      <c r="C138" s="15"/>
      <c r="D138" s="15"/>
      <c r="E138" s="15"/>
      <c r="F138" s="15"/>
      <c r="G138" s="15"/>
      <c r="H138" s="15"/>
      <c r="I138" s="45"/>
    </row>
    <row r="139" s="1" customFormat="1" ht="35" customHeight="1" spans="1:9">
      <c r="A139" s="15"/>
      <c r="B139" s="15"/>
      <c r="C139" s="15"/>
      <c r="D139" s="15"/>
      <c r="E139" s="15"/>
      <c r="F139" s="15"/>
      <c r="G139" s="15"/>
      <c r="H139" s="15"/>
      <c r="I139" s="45"/>
    </row>
    <row r="140" s="1" customFormat="1" ht="35" customHeight="1" spans="1:9">
      <c r="A140" s="15"/>
      <c r="B140" s="15"/>
      <c r="C140" s="15"/>
      <c r="D140" s="15"/>
      <c r="E140" s="15"/>
      <c r="F140" s="15"/>
      <c r="G140" s="15"/>
      <c r="H140" s="15"/>
      <c r="I140" s="45"/>
    </row>
    <row r="141" s="1" customFormat="1" ht="35" customHeight="1" spans="1:9">
      <c r="A141" s="48" t="str">
        <f>"Debts Or Credits For the Comming "&amp;IF(Main!B2,TEXT(EDATE(Main!B3,28),"mmmm dd yyyy"),TEXT(Main!B3+((Main!B5-Main!B3)*28+28),"dd mmmm yyyy"))&amp;" to "&amp;IF(Main!B2,TEXT(EDATE(Main!B3,29)-1,"mmmm dd yyyy"),TEXT(Main!B3+((Main!B5-Main!B3)*29+28),"mmmm dd yyyy"))</f>
        <v>Debts Or Credits For the Comming September 01 2027 to September 30 2027</v>
      </c>
      <c r="B141" s="49"/>
      <c r="C141" s="49"/>
      <c r="D141" s="49"/>
      <c r="E141" s="50"/>
      <c r="F141" s="15"/>
      <c r="G141" s="15"/>
      <c r="H141" s="15"/>
      <c r="I141" s="45"/>
    </row>
    <row r="142" s="1" customFormat="1" ht="35" customHeight="1" spans="1:9">
      <c r="A142" s="48" t="s">
        <v>57</v>
      </c>
      <c r="B142" s="50"/>
      <c r="C142" s="74" t="s">
        <v>44</v>
      </c>
      <c r="D142" s="75"/>
      <c r="E142" s="80" t="s">
        <v>45</v>
      </c>
      <c r="F142" s="15"/>
      <c r="G142" s="15"/>
      <c r="H142" s="15"/>
      <c r="I142" s="45"/>
    </row>
    <row r="143" s="1" customFormat="1" ht="35" customHeight="1" spans="1:9">
      <c r="A143" s="51" t="str">
        <f>"Balance Brought Forward From "&amp;IF(Main!B2,TEXT(EDATE(Main!B3,28)-1,"mmmm yyyy"),TEXT(Main!B3+((Main!B5-Main!B3)*28+27),"mmmm yyyy"))</f>
        <v>Balance Brought Forward From August 2027</v>
      </c>
      <c r="B143" s="52"/>
      <c r="C143" s="53"/>
      <c r="D143" s="53"/>
      <c r="E143" s="79">
        <f ca="1">E136</f>
        <v>0</v>
      </c>
      <c r="F143" s="15"/>
      <c r="G143" s="15"/>
      <c r="H143" s="15"/>
      <c r="I143" s="45"/>
    </row>
    <row r="144" s="1" customFormat="1" ht="35" customHeight="1" spans="1:9">
      <c r="A144" s="54" t="s">
        <v>52</v>
      </c>
      <c r="B144" s="55"/>
      <c r="C144" s="76" t="s">
        <v>58</v>
      </c>
      <c r="D144" s="77"/>
      <c r="E144" s="81"/>
      <c r="F144" s="15"/>
      <c r="G144" s="15"/>
      <c r="H144" s="15"/>
      <c r="I144" s="45"/>
    </row>
    <row r="145" s="1" customFormat="1" ht="35" customHeight="1" spans="1:9">
      <c r="A145" s="58"/>
      <c r="B145" s="59"/>
      <c r="C145" s="60"/>
      <c r="D145" s="61"/>
      <c r="E145" s="35">
        <v>0</v>
      </c>
      <c r="F145" s="15"/>
      <c r="G145" s="15"/>
      <c r="H145" s="15"/>
      <c r="I145" s="45"/>
    </row>
    <row r="146" s="1" customFormat="1" ht="35" customHeight="1" spans="1:9">
      <c r="A146" s="58"/>
      <c r="B146" s="59"/>
      <c r="C146" s="60"/>
      <c r="D146" s="61"/>
      <c r="E146" s="35">
        <v>0</v>
      </c>
      <c r="F146" s="15"/>
      <c r="G146" s="15"/>
      <c r="H146" s="15"/>
      <c r="I146" s="45"/>
    </row>
    <row r="147" s="1" customFormat="1" ht="35" customHeight="1" spans="1:9">
      <c r="A147" s="58"/>
      <c r="B147" s="59"/>
      <c r="C147" s="60"/>
      <c r="D147" s="61"/>
      <c r="E147" s="35">
        <v>0</v>
      </c>
      <c r="F147" s="15"/>
      <c r="G147" s="15"/>
      <c r="H147" s="15"/>
      <c r="I147" s="45"/>
    </row>
    <row r="148" s="1" customFormat="1" ht="35" customHeight="1" spans="1:9">
      <c r="A148" s="58"/>
      <c r="B148" s="59"/>
      <c r="C148" s="60"/>
      <c r="D148" s="61"/>
      <c r="E148" s="35">
        <v>0</v>
      </c>
      <c r="F148" s="15"/>
      <c r="G148" s="15"/>
      <c r="H148" s="15"/>
      <c r="I148" s="45"/>
    </row>
    <row r="149" s="1" customFormat="1" ht="35" customHeight="1" spans="1:9">
      <c r="A149" s="58"/>
      <c r="B149" s="59"/>
      <c r="C149" s="60"/>
      <c r="D149" s="61"/>
      <c r="E149" s="35">
        <v>0</v>
      </c>
      <c r="F149" s="15"/>
      <c r="G149" s="15"/>
      <c r="H149" s="15"/>
      <c r="I149" s="45"/>
    </row>
    <row r="150" s="1" customFormat="1" ht="35" customHeight="1" spans="1:9">
      <c r="A150" s="58"/>
      <c r="B150" s="59"/>
      <c r="C150" s="60"/>
      <c r="D150" s="61"/>
      <c r="E150" s="35">
        <v>0</v>
      </c>
      <c r="F150" s="15"/>
      <c r="G150" s="15"/>
      <c r="H150" s="15"/>
      <c r="I150" s="45"/>
    </row>
    <row r="151" s="1" customFormat="1" ht="35" customHeight="1" spans="1:9">
      <c r="A151" s="58"/>
      <c r="B151" s="59"/>
      <c r="C151" s="60"/>
      <c r="D151" s="61"/>
      <c r="E151" s="35">
        <v>0</v>
      </c>
      <c r="F151" s="15"/>
      <c r="G151" s="15"/>
      <c r="H151" s="15"/>
      <c r="I151" s="45"/>
    </row>
    <row r="152" s="1" customFormat="1" ht="35" customHeight="1" spans="1:9">
      <c r="A152" s="58"/>
      <c r="B152" s="59"/>
      <c r="C152" s="60"/>
      <c r="D152" s="61"/>
      <c r="E152" s="35">
        <v>0</v>
      </c>
      <c r="F152" s="15"/>
      <c r="G152" s="15"/>
      <c r="H152" s="15"/>
      <c r="I152" s="45"/>
    </row>
    <row r="153" s="1" customFormat="1" ht="35" customHeight="1" spans="1:9">
      <c r="A153" s="58"/>
      <c r="B153" s="59"/>
      <c r="C153" s="60"/>
      <c r="D153" s="61"/>
      <c r="E153" s="35">
        <v>0</v>
      </c>
      <c r="F153" s="15"/>
      <c r="G153" s="15"/>
      <c r="H153" s="15"/>
      <c r="I153" s="45"/>
    </row>
    <row r="154" s="1" customFormat="1" ht="35" customHeight="1" spans="1:9">
      <c r="A154" s="58"/>
      <c r="B154" s="59"/>
      <c r="C154" s="60"/>
      <c r="D154" s="61"/>
      <c r="E154" s="35">
        <v>0</v>
      </c>
      <c r="F154" s="15"/>
      <c r="G154" s="15"/>
      <c r="H154" s="15"/>
      <c r="I154" s="45"/>
    </row>
    <row r="155" s="1" customFormat="1" ht="35" customHeight="1" spans="1:9">
      <c r="A155" s="58"/>
      <c r="B155" s="59"/>
      <c r="C155" s="56" t="s">
        <v>59</v>
      </c>
      <c r="D155" s="57"/>
      <c r="E155" s="66"/>
      <c r="F155" s="15"/>
      <c r="G155" s="15"/>
      <c r="H155" s="15"/>
      <c r="I155" s="45"/>
    </row>
    <row r="156" s="1" customFormat="1" ht="35" customHeight="1" spans="1:9">
      <c r="A156" s="58"/>
      <c r="B156" s="59"/>
      <c r="C156" s="60"/>
      <c r="D156" s="61"/>
      <c r="E156" s="78">
        <v>0</v>
      </c>
      <c r="F156" s="15"/>
      <c r="G156" s="15"/>
      <c r="H156" s="15"/>
      <c r="I156" s="45"/>
    </row>
    <row r="157" s="1" customFormat="1" ht="35" customHeight="1" spans="1:9">
      <c r="A157" s="58"/>
      <c r="B157" s="59"/>
      <c r="C157" s="60"/>
      <c r="D157" s="61"/>
      <c r="E157" s="78">
        <v>0</v>
      </c>
      <c r="F157" s="15"/>
      <c r="G157" s="15"/>
      <c r="H157" s="15"/>
      <c r="I157" s="45"/>
    </row>
    <row r="158" s="1" customFormat="1" ht="35" customHeight="1" spans="1:9">
      <c r="A158" s="58"/>
      <c r="B158" s="59"/>
      <c r="C158" s="60"/>
      <c r="D158" s="61"/>
      <c r="E158" s="78">
        <v>0</v>
      </c>
      <c r="F158" s="15"/>
      <c r="G158" s="15"/>
      <c r="H158" s="15"/>
      <c r="I158" s="45"/>
    </row>
    <row r="159" s="1" customFormat="1" ht="35" customHeight="1" spans="1:9">
      <c r="A159" s="58"/>
      <c r="B159" s="59"/>
      <c r="C159" s="60"/>
      <c r="D159" s="61"/>
      <c r="E159" s="78">
        <v>0</v>
      </c>
      <c r="F159" s="15"/>
      <c r="G159" s="15"/>
      <c r="H159" s="15"/>
      <c r="I159" s="45"/>
    </row>
    <row r="160" s="1" customFormat="1" ht="35" customHeight="1" spans="1:9">
      <c r="A160" s="58"/>
      <c r="B160" s="59"/>
      <c r="C160" s="60"/>
      <c r="D160" s="61"/>
      <c r="E160" s="78">
        <v>0</v>
      </c>
      <c r="F160" s="15"/>
      <c r="G160" s="15"/>
      <c r="H160" s="15"/>
      <c r="I160" s="45"/>
    </row>
    <row r="161" s="1" customFormat="1" ht="35" customHeight="1" spans="1:9">
      <c r="A161" s="67"/>
      <c r="B161" s="68"/>
      <c r="C161" s="60"/>
      <c r="D161" s="61"/>
      <c r="E161" s="78">
        <v>0</v>
      </c>
      <c r="F161" s="15"/>
      <c r="G161" s="15"/>
      <c r="H161" s="15"/>
      <c r="I161" s="45"/>
    </row>
    <row r="162" s="1" customFormat="1" ht="35" customHeight="1" spans="1:9">
      <c r="A162" s="51" t="s">
        <v>60</v>
      </c>
      <c r="B162" s="69"/>
      <c r="C162" s="70"/>
      <c r="D162" s="71"/>
      <c r="E162" s="78">
        <f>C96</f>
        <v>0</v>
      </c>
      <c r="F162" s="15"/>
      <c r="G162" s="15"/>
      <c r="H162" s="15"/>
      <c r="I162" s="45"/>
    </row>
    <row r="163" s="1" customFormat="1" ht="35" customHeight="1" spans="1:9">
      <c r="A163" s="72"/>
      <c r="B163" s="73"/>
      <c r="C163" s="37" t="s">
        <v>61</v>
      </c>
      <c r="D163" s="37"/>
      <c r="E163" s="65">
        <f ca="1">(F28+E143)-(SUM(E145:E154)+SUM(E156:E162))</f>
        <v>0</v>
      </c>
      <c r="F163" s="15"/>
      <c r="G163" s="15"/>
      <c r="H163" s="15"/>
      <c r="I163" s="45"/>
    </row>
    <row r="164" s="1" customFormat="1" ht="35" customHeight="1" spans="1:9">
      <c r="A164" s="15"/>
      <c r="B164" s="15"/>
      <c r="C164" s="15"/>
      <c r="D164" s="15"/>
      <c r="E164" s="15"/>
      <c r="F164" s="15"/>
      <c r="G164" s="15"/>
      <c r="H164" s="15"/>
      <c r="I164" s="45"/>
    </row>
    <row r="165" s="1" customFormat="1" ht="35" customHeight="1" spans="1:9">
      <c r="A165" s="15"/>
      <c r="B165" s="15"/>
      <c r="C165" s="15"/>
      <c r="D165" s="15"/>
      <c r="E165" s="15"/>
      <c r="F165" s="15"/>
      <c r="G165" s="15"/>
      <c r="H165" s="15"/>
      <c r="I165" s="45"/>
    </row>
    <row r="166" s="1" customFormat="1" ht="35" customHeight="1" spans="1:9">
      <c r="A166" s="15"/>
      <c r="B166" s="15"/>
      <c r="C166" s="15"/>
      <c r="D166" s="15"/>
      <c r="E166" s="15"/>
      <c r="F166" s="15"/>
      <c r="G166" s="15"/>
      <c r="H166" s="15"/>
      <c r="I166" s="45"/>
    </row>
    <row r="167" s="1" customFormat="1" ht="35" customHeight="1" spans="1:9">
      <c r="A167" s="15"/>
      <c r="B167" s="15"/>
      <c r="C167" s="15"/>
      <c r="D167" s="15"/>
      <c r="E167" s="15"/>
      <c r="F167" s="15"/>
      <c r="G167" s="15"/>
      <c r="H167" s="15"/>
      <c r="I167" s="45"/>
    </row>
    <row r="168" s="1" customFormat="1" ht="35" customHeight="1" spans="1:9">
      <c r="A168" s="48" t="str">
        <f>"Debts Or Credits For the Comming "&amp;IF(Main!B2,TEXT(EDATE(Main!B3,29),"mmmm dd yyyy"),TEXT(Main!B3+((Main!B5-Main!B3)*29+29),"mmmm dd yyyy"))&amp;" to "&amp;IF(Main!B2,TEXT(EDATE(Main!B3,30)-1,"mmmm dd yyyy"),TEXT(Main!B3+((Main!B5-Main!B3)*30+29),"mmmm dd yyyy"))</f>
        <v>Debts Or Credits For the Comming October 01 2027 to October 31 2027</v>
      </c>
      <c r="B168" s="49"/>
      <c r="C168" s="49"/>
      <c r="D168" s="49"/>
      <c r="E168" s="50"/>
      <c r="F168" s="15"/>
      <c r="G168" s="15"/>
      <c r="H168" s="15"/>
      <c r="I168" s="45"/>
    </row>
    <row r="169" s="1" customFormat="1" ht="35" customHeight="1" spans="1:9">
      <c r="A169" s="48" t="s">
        <v>57</v>
      </c>
      <c r="B169" s="50"/>
      <c r="C169" s="74" t="s">
        <v>44</v>
      </c>
      <c r="D169" s="75"/>
      <c r="E169" s="80" t="s">
        <v>45</v>
      </c>
      <c r="F169" s="15"/>
      <c r="G169" s="15"/>
      <c r="H169" s="15"/>
      <c r="I169" s="45"/>
    </row>
    <row r="170" s="1" customFormat="1" ht="35" customHeight="1" spans="1:9">
      <c r="A170" s="51" t="str">
        <f>"Balance Brought Forward From "&amp;IF(Main!B2,TEXT(EDATE(Main!B3,29)-1,"mmmm yyyy"),TEXT(Main!B3+((Main!B5-Main!B3)*29+28),"mmmm yyyy"))</f>
        <v>Balance Brought Forward From September 2027</v>
      </c>
      <c r="B170" s="52"/>
      <c r="C170" s="53"/>
      <c r="D170" s="53"/>
      <c r="E170" s="65">
        <f ca="1">E163</f>
        <v>0</v>
      </c>
      <c r="F170" s="15"/>
      <c r="G170" s="15"/>
      <c r="H170" s="15"/>
      <c r="I170" s="45"/>
    </row>
    <row r="171" s="1" customFormat="1" ht="35" customHeight="1" spans="1:9">
      <c r="A171" s="54" t="s">
        <v>52</v>
      </c>
      <c r="B171" s="55"/>
      <c r="C171" s="76" t="s">
        <v>58</v>
      </c>
      <c r="D171" s="77"/>
      <c r="E171" s="81"/>
      <c r="F171" s="15"/>
      <c r="G171" s="15"/>
      <c r="H171" s="15"/>
      <c r="I171" s="45"/>
    </row>
    <row r="172" s="1" customFormat="1" ht="35" customHeight="1" spans="1:9">
      <c r="A172" s="58"/>
      <c r="B172" s="59"/>
      <c r="C172" s="60"/>
      <c r="D172" s="61"/>
      <c r="E172" s="35">
        <v>0</v>
      </c>
      <c r="F172" s="15"/>
      <c r="G172" s="15"/>
      <c r="H172" s="15"/>
      <c r="I172" s="45"/>
    </row>
    <row r="173" s="1" customFormat="1" ht="35" customHeight="1" spans="1:9">
      <c r="A173" s="58"/>
      <c r="B173" s="59"/>
      <c r="C173" s="60"/>
      <c r="D173" s="61"/>
      <c r="E173" s="35">
        <v>0</v>
      </c>
      <c r="F173" s="15"/>
      <c r="G173" s="15"/>
      <c r="H173" s="15"/>
      <c r="I173" s="45"/>
    </row>
    <row r="174" s="1" customFormat="1" ht="35" customHeight="1" spans="1:9">
      <c r="A174" s="58"/>
      <c r="B174" s="59"/>
      <c r="C174" s="60"/>
      <c r="D174" s="61"/>
      <c r="E174" s="35">
        <v>0</v>
      </c>
      <c r="F174" s="15"/>
      <c r="G174" s="15"/>
      <c r="H174" s="15"/>
      <c r="I174" s="45"/>
    </row>
    <row r="175" s="1" customFormat="1" ht="35" customHeight="1" spans="1:9">
      <c r="A175" s="58"/>
      <c r="B175" s="59"/>
      <c r="C175" s="60"/>
      <c r="D175" s="61"/>
      <c r="E175" s="35">
        <v>0</v>
      </c>
      <c r="F175" s="15"/>
      <c r="G175" s="15"/>
      <c r="H175" s="15"/>
      <c r="I175" s="45"/>
    </row>
    <row r="176" s="1" customFormat="1" ht="35" customHeight="1" spans="1:9">
      <c r="A176" s="58"/>
      <c r="B176" s="59"/>
      <c r="C176" s="60"/>
      <c r="D176" s="61"/>
      <c r="E176" s="35">
        <v>0</v>
      </c>
      <c r="F176" s="15"/>
      <c r="G176" s="15"/>
      <c r="H176" s="15"/>
      <c r="I176" s="45"/>
    </row>
    <row r="177" s="1" customFormat="1" ht="35" customHeight="1" spans="1:9">
      <c r="A177" s="58"/>
      <c r="B177" s="59"/>
      <c r="C177" s="60"/>
      <c r="D177" s="61"/>
      <c r="E177" s="35">
        <v>0</v>
      </c>
      <c r="F177" s="15"/>
      <c r="G177" s="15"/>
      <c r="H177" s="15"/>
      <c r="I177" s="45"/>
    </row>
    <row r="178" s="1" customFormat="1" ht="35" customHeight="1" spans="1:9">
      <c r="A178" s="58"/>
      <c r="B178" s="59"/>
      <c r="C178" s="60"/>
      <c r="D178" s="61"/>
      <c r="E178" s="35">
        <v>0</v>
      </c>
      <c r="F178" s="15"/>
      <c r="G178" s="15"/>
      <c r="H178" s="15"/>
      <c r="I178" s="45"/>
    </row>
    <row r="179" s="1" customFormat="1" ht="35" customHeight="1" spans="1:9">
      <c r="A179" s="58"/>
      <c r="B179" s="59"/>
      <c r="C179" s="60"/>
      <c r="D179" s="61"/>
      <c r="E179" s="35">
        <v>0</v>
      </c>
      <c r="F179" s="15"/>
      <c r="G179" s="15"/>
      <c r="H179" s="15"/>
      <c r="I179" s="45"/>
    </row>
    <row r="180" s="1" customFormat="1" ht="35" customHeight="1" spans="1:9">
      <c r="A180" s="58"/>
      <c r="B180" s="59"/>
      <c r="C180" s="60"/>
      <c r="D180" s="61"/>
      <c r="E180" s="35">
        <v>0</v>
      </c>
      <c r="F180" s="15"/>
      <c r="G180" s="15"/>
      <c r="H180" s="15"/>
      <c r="I180" s="45"/>
    </row>
    <row r="181" s="1" customFormat="1" ht="35" customHeight="1" spans="1:9">
      <c r="A181" s="58"/>
      <c r="B181" s="59"/>
      <c r="C181" s="60"/>
      <c r="D181" s="61"/>
      <c r="E181" s="35">
        <v>0</v>
      </c>
      <c r="F181" s="15"/>
      <c r="G181" s="15"/>
      <c r="H181" s="15"/>
      <c r="I181" s="45"/>
    </row>
    <row r="182" s="1" customFormat="1" ht="35" customHeight="1" spans="1:9">
      <c r="A182" s="58"/>
      <c r="B182" s="59"/>
      <c r="C182" s="56" t="s">
        <v>59</v>
      </c>
      <c r="D182" s="57"/>
      <c r="E182" s="66"/>
      <c r="F182" s="15"/>
      <c r="G182" s="15"/>
      <c r="H182" s="15"/>
      <c r="I182" s="45"/>
    </row>
    <row r="183" s="1" customFormat="1" ht="35" customHeight="1" spans="1:9">
      <c r="A183" s="58"/>
      <c r="B183" s="59"/>
      <c r="C183" s="60"/>
      <c r="D183" s="61"/>
      <c r="E183" s="78">
        <v>0</v>
      </c>
      <c r="F183" s="15"/>
      <c r="G183" s="15"/>
      <c r="H183" s="15"/>
      <c r="I183" s="45"/>
    </row>
    <row r="184" s="1" customFormat="1" ht="35" customHeight="1" spans="1:9">
      <c r="A184" s="58"/>
      <c r="B184" s="59"/>
      <c r="C184" s="60"/>
      <c r="D184" s="61"/>
      <c r="E184" s="78">
        <v>0</v>
      </c>
      <c r="F184" s="15"/>
      <c r="G184" s="15"/>
      <c r="H184" s="15"/>
      <c r="I184" s="45"/>
    </row>
    <row r="185" s="1" customFormat="1" ht="35" customHeight="1" spans="1:9">
      <c r="A185" s="58"/>
      <c r="B185" s="59"/>
      <c r="C185" s="60"/>
      <c r="D185" s="61"/>
      <c r="E185" s="78">
        <v>0</v>
      </c>
      <c r="F185" s="15"/>
      <c r="G185" s="15"/>
      <c r="H185" s="15"/>
      <c r="I185" s="45"/>
    </row>
    <row r="186" s="1" customFormat="1" ht="35" customHeight="1" spans="1:9">
      <c r="A186" s="58"/>
      <c r="B186" s="59"/>
      <c r="C186" s="60"/>
      <c r="D186" s="61"/>
      <c r="E186" s="78">
        <v>0</v>
      </c>
      <c r="F186" s="15"/>
      <c r="G186" s="15"/>
      <c r="H186" s="15"/>
      <c r="I186" s="45"/>
    </row>
    <row r="187" s="1" customFormat="1" ht="35" customHeight="1" spans="1:9">
      <c r="A187" s="58"/>
      <c r="B187" s="59"/>
      <c r="C187" s="60"/>
      <c r="D187" s="61"/>
      <c r="E187" s="78">
        <v>0</v>
      </c>
      <c r="F187" s="15"/>
      <c r="G187" s="15"/>
      <c r="H187" s="15"/>
      <c r="I187" s="45"/>
    </row>
    <row r="188" s="1" customFormat="1" ht="35" customHeight="1" spans="1:9">
      <c r="A188" s="67"/>
      <c r="B188" s="68"/>
      <c r="C188" s="60"/>
      <c r="D188" s="61"/>
      <c r="E188" s="78">
        <v>0</v>
      </c>
      <c r="F188" s="15"/>
      <c r="G188" s="15"/>
      <c r="H188" s="15"/>
      <c r="I188" s="45"/>
    </row>
    <row r="189" s="1" customFormat="1" ht="35" customHeight="1" spans="1:9">
      <c r="A189" s="51" t="s">
        <v>60</v>
      </c>
      <c r="B189" s="69"/>
      <c r="C189" s="70"/>
      <c r="D189" s="71"/>
      <c r="E189" s="78">
        <f>C96</f>
        <v>0</v>
      </c>
      <c r="F189" s="15"/>
      <c r="G189" s="15"/>
      <c r="H189" s="15"/>
      <c r="I189" s="45"/>
    </row>
    <row r="190" s="1" customFormat="1" ht="35" customHeight="1" spans="1:9">
      <c r="A190" s="72"/>
      <c r="B190" s="73"/>
      <c r="C190" s="37" t="s">
        <v>61</v>
      </c>
      <c r="D190" s="37"/>
      <c r="E190" s="65">
        <f ca="1">(F40+E170)-(SUM(E172:E181)+SUM(E183:E189))</f>
        <v>0</v>
      </c>
      <c r="F190" s="15"/>
      <c r="G190" s="15"/>
      <c r="H190" s="15"/>
      <c r="I190" s="45"/>
    </row>
    <row r="191" s="1" customFormat="1" ht="35" customHeight="1" spans="1:9">
      <c r="A191" s="15"/>
      <c r="B191" s="15"/>
      <c r="C191" s="15"/>
      <c r="D191" s="15"/>
      <c r="E191" s="15"/>
      <c r="F191" s="15"/>
      <c r="G191" s="15"/>
      <c r="H191" s="15"/>
      <c r="I191" s="45"/>
    </row>
    <row r="192" ht="24.75" customHeight="1" spans="1:9">
      <c r="A192" s="82"/>
      <c r="B192" s="82"/>
      <c r="C192" s="82"/>
      <c r="D192" s="82"/>
      <c r="E192" s="82"/>
      <c r="F192" s="82"/>
      <c r="G192" s="82"/>
      <c r="H192" s="82"/>
      <c r="I192" s="82"/>
    </row>
    <row r="193" spans="1:9">
      <c r="A193" s="82"/>
      <c r="B193" s="82"/>
      <c r="C193" s="82"/>
      <c r="D193" s="82"/>
      <c r="E193" s="82"/>
      <c r="F193" s="82"/>
      <c r="G193" s="82"/>
      <c r="H193" s="82"/>
      <c r="I193" s="82"/>
    </row>
  </sheetData>
  <sheetProtection sheet="1" formatCells="0" formatColumns="0" formatRows="0" objects="1"/>
  <protectedRanges>
    <protectedRange sqref="A10:G15" name="R1"/>
    <protectedRange sqref="A22:G27" name="R2"/>
    <protectedRange sqref="A34:G39" name="R3"/>
    <protectedRange sqref="A46:C46 C47:C54" name="F1"/>
    <protectedRange sqref="C56:C65" name="F2"/>
    <protectedRange sqref="C67:C74" name="F3"/>
    <protectedRange sqref="C76:C84" name="F4"/>
    <protectedRange sqref="C86:C94" name="F5"/>
    <protectedRange sqref="C117:E134" name="E1"/>
    <protectedRange sqref="C144:E161" name="E2"/>
    <protectedRange sqref="C171:E188" name="E3"/>
    <protectedRange sqref="A56:B56" name="F2_1"/>
    <protectedRange sqref="A67:B67" name="F3_1"/>
    <protectedRange sqref="A76:B76" name="F4_1"/>
    <protectedRange sqref="A86:B86" name="F5_1"/>
  </protectedRanges>
  <mergeCells count="174">
    <mergeCell ref="A1:G1"/>
    <mergeCell ref="C2:G2"/>
    <mergeCell ref="C3:G3"/>
    <mergeCell ref="A4:B4"/>
    <mergeCell ref="C4:G4"/>
    <mergeCell ref="A5:B5"/>
    <mergeCell ref="C5:G5"/>
    <mergeCell ref="A8:G8"/>
    <mergeCell ref="B9:C9"/>
    <mergeCell ref="D9:E9"/>
    <mergeCell ref="F9:G9"/>
    <mergeCell ref="B10:C10"/>
    <mergeCell ref="D10:E10"/>
    <mergeCell ref="F10:G10"/>
    <mergeCell ref="B11:C11"/>
    <mergeCell ref="D11:E11"/>
    <mergeCell ref="F11:G11"/>
    <mergeCell ref="B12:C12"/>
    <mergeCell ref="D12:E12"/>
    <mergeCell ref="F12:G12"/>
    <mergeCell ref="B13:C13"/>
    <mergeCell ref="D13:E13"/>
    <mergeCell ref="F13:G13"/>
    <mergeCell ref="B14:C14"/>
    <mergeCell ref="D14:E14"/>
    <mergeCell ref="F14:G14"/>
    <mergeCell ref="B15:C15"/>
    <mergeCell ref="D15:E15"/>
    <mergeCell ref="F15:G15"/>
    <mergeCell ref="B16:C16"/>
    <mergeCell ref="D16:E16"/>
    <mergeCell ref="F16:G16"/>
    <mergeCell ref="A20:G20"/>
    <mergeCell ref="B21:C21"/>
    <mergeCell ref="D21:E21"/>
    <mergeCell ref="F21:G21"/>
    <mergeCell ref="B22:C22"/>
    <mergeCell ref="D22:E22"/>
    <mergeCell ref="F22:G22"/>
    <mergeCell ref="B23:C23"/>
    <mergeCell ref="D23:E23"/>
    <mergeCell ref="F23:G23"/>
    <mergeCell ref="B24:C24"/>
    <mergeCell ref="D24:E24"/>
    <mergeCell ref="F24:G24"/>
    <mergeCell ref="B25:C25"/>
    <mergeCell ref="D25:E25"/>
    <mergeCell ref="F25:G25"/>
    <mergeCell ref="B26:C26"/>
    <mergeCell ref="D26:E26"/>
    <mergeCell ref="F26:G26"/>
    <mergeCell ref="B27:C27"/>
    <mergeCell ref="D27:E27"/>
    <mergeCell ref="F27:G27"/>
    <mergeCell ref="B28:C28"/>
    <mergeCell ref="D28:E28"/>
    <mergeCell ref="F28:G28"/>
    <mergeCell ref="A32:G32"/>
    <mergeCell ref="B33:C33"/>
    <mergeCell ref="D33:E33"/>
    <mergeCell ref="F33:G33"/>
    <mergeCell ref="B34:C34"/>
    <mergeCell ref="D34:E34"/>
    <mergeCell ref="F34:G34"/>
    <mergeCell ref="B35:C35"/>
    <mergeCell ref="D35:E35"/>
    <mergeCell ref="F35:G35"/>
    <mergeCell ref="B36:C36"/>
    <mergeCell ref="D36:E36"/>
    <mergeCell ref="F36:G36"/>
    <mergeCell ref="B37:C37"/>
    <mergeCell ref="D37:E37"/>
    <mergeCell ref="F37:G37"/>
    <mergeCell ref="B38:C38"/>
    <mergeCell ref="D38:E38"/>
    <mergeCell ref="F38:G38"/>
    <mergeCell ref="B39:C39"/>
    <mergeCell ref="D39:E39"/>
    <mergeCell ref="F39:G39"/>
    <mergeCell ref="B40:C40"/>
    <mergeCell ref="D40:E40"/>
    <mergeCell ref="F40:G40"/>
    <mergeCell ref="A44:C44"/>
    <mergeCell ref="A46:C46"/>
    <mergeCell ref="A56:C56"/>
    <mergeCell ref="A67:C67"/>
    <mergeCell ref="A76:C76"/>
    <mergeCell ref="A86:C86"/>
    <mergeCell ref="A97:C97"/>
    <mergeCell ref="A114:E114"/>
    <mergeCell ref="A115:B115"/>
    <mergeCell ref="C115:D115"/>
    <mergeCell ref="A116:B116"/>
    <mergeCell ref="C116:D116"/>
    <mergeCell ref="C117:D117"/>
    <mergeCell ref="C118:D118"/>
    <mergeCell ref="C119:D119"/>
    <mergeCell ref="C120:D120"/>
    <mergeCell ref="C121:D121"/>
    <mergeCell ref="C122:D122"/>
    <mergeCell ref="C123:D123"/>
    <mergeCell ref="C124:D124"/>
    <mergeCell ref="C125:D125"/>
    <mergeCell ref="C126:D126"/>
    <mergeCell ref="C127:D127"/>
    <mergeCell ref="C128:D128"/>
    <mergeCell ref="C129:D129"/>
    <mergeCell ref="C130:D130"/>
    <mergeCell ref="C131:D131"/>
    <mergeCell ref="C132:D132"/>
    <mergeCell ref="C133:D133"/>
    <mergeCell ref="C134:D134"/>
    <mergeCell ref="A135:B135"/>
    <mergeCell ref="C135:D135"/>
    <mergeCell ref="A136:B136"/>
    <mergeCell ref="C136:D136"/>
    <mergeCell ref="A141:E141"/>
    <mergeCell ref="A142:B142"/>
    <mergeCell ref="C142:D142"/>
    <mergeCell ref="A143:B143"/>
    <mergeCell ref="C143:D143"/>
    <mergeCell ref="C144:D144"/>
    <mergeCell ref="C145:D145"/>
    <mergeCell ref="C146:D146"/>
    <mergeCell ref="C147:D147"/>
    <mergeCell ref="C148:D148"/>
    <mergeCell ref="C149:D149"/>
    <mergeCell ref="C150:D150"/>
    <mergeCell ref="C151:D151"/>
    <mergeCell ref="C152:D152"/>
    <mergeCell ref="C153:D153"/>
    <mergeCell ref="C154:D154"/>
    <mergeCell ref="C155:D155"/>
    <mergeCell ref="C156:D156"/>
    <mergeCell ref="C157:D157"/>
    <mergeCell ref="C158:D158"/>
    <mergeCell ref="C159:D159"/>
    <mergeCell ref="C160:D160"/>
    <mergeCell ref="C161:D161"/>
    <mergeCell ref="A162:B162"/>
    <mergeCell ref="C162:D162"/>
    <mergeCell ref="A163:B163"/>
    <mergeCell ref="C163:D163"/>
    <mergeCell ref="A168:E168"/>
    <mergeCell ref="A169:B169"/>
    <mergeCell ref="C169:D169"/>
    <mergeCell ref="A170:B170"/>
    <mergeCell ref="C170:D170"/>
    <mergeCell ref="C171:D171"/>
    <mergeCell ref="C172:D172"/>
    <mergeCell ref="C173:D173"/>
    <mergeCell ref="C174:D174"/>
    <mergeCell ref="C175:D175"/>
    <mergeCell ref="C176:D176"/>
    <mergeCell ref="C177:D177"/>
    <mergeCell ref="C178:D178"/>
    <mergeCell ref="C179:D179"/>
    <mergeCell ref="C180:D180"/>
    <mergeCell ref="C181:D181"/>
    <mergeCell ref="C182:D182"/>
    <mergeCell ref="C183:D183"/>
    <mergeCell ref="C184:D184"/>
    <mergeCell ref="C185:D185"/>
    <mergeCell ref="C186:D186"/>
    <mergeCell ref="C187:D187"/>
    <mergeCell ref="C188:D188"/>
    <mergeCell ref="A189:B189"/>
    <mergeCell ref="C189:D189"/>
    <mergeCell ref="A190:B190"/>
    <mergeCell ref="C190:D190"/>
    <mergeCell ref="A2:A3"/>
    <mergeCell ref="A117:B134"/>
    <mergeCell ref="A144:B161"/>
    <mergeCell ref="A171:B188"/>
  </mergeCells>
  <conditionalFormatting sqref="C5">
    <cfRule type="cellIs" dxfId="0" priority="6" operator="equal">
      <formula>0</formula>
    </cfRule>
    <cfRule type="cellIs" dxfId="1" priority="5" operator="greaterThan">
      <formula>0</formula>
    </cfRule>
  </conditionalFormatting>
  <conditionalFormatting sqref="C75">
    <cfRule type="cellIs" dxfId="0" priority="51" operator="equal">
      <formula>0</formula>
    </cfRule>
    <cfRule type="cellIs" dxfId="1" priority="50" operator="greaterThan">
      <formula>0</formula>
    </cfRule>
  </conditionalFormatting>
  <conditionalFormatting sqref="C77">
    <cfRule type="cellIs" dxfId="0" priority="49" operator="equal">
      <formula>0</formula>
    </cfRule>
    <cfRule type="cellIs" dxfId="1" priority="48" operator="greaterThan">
      <formula>0</formula>
    </cfRule>
  </conditionalFormatting>
  <conditionalFormatting sqref="C108">
    <cfRule type="cellIs" dxfId="0" priority="4" operator="greaterThanOrEqual">
      <formula>0</formula>
    </cfRule>
    <cfRule type="cellIs" dxfId="1" priority="3" operator="lessThan">
      <formula>0</formula>
    </cfRule>
  </conditionalFormatting>
  <conditionalFormatting sqref="C109">
    <cfRule type="cellIs" dxfId="0" priority="2" operator="greaterThanOrEqual">
      <formula>0</formula>
    </cfRule>
    <cfRule type="cellIs" dxfId="1" priority="1" operator="lessThan">
      <formula>0</formula>
    </cfRule>
  </conditionalFormatting>
  <conditionalFormatting sqref="E116">
    <cfRule type="cellIs" dxfId="3" priority="12" operator="greaterThanOrEqual">
      <formula>0</formula>
    </cfRule>
    <cfRule type="cellIs" dxfId="4" priority="11" operator="lessThan">
      <formula>0</formula>
    </cfRule>
  </conditionalFormatting>
  <conditionalFormatting sqref="E136">
    <cfRule type="cellIs" dxfId="3" priority="43" operator="greaterThanOrEqual">
      <formula>0</formula>
    </cfRule>
    <cfRule type="cellIs" dxfId="4" priority="42" operator="lessThan">
      <formula>0</formula>
    </cfRule>
  </conditionalFormatting>
  <conditionalFormatting sqref="E143">
    <cfRule type="cellIs" dxfId="3" priority="30" operator="greaterThanOrEqual">
      <formula>0</formula>
    </cfRule>
    <cfRule type="cellIs" dxfId="4" priority="29" operator="lessThan">
      <formula>0</formula>
    </cfRule>
  </conditionalFormatting>
  <conditionalFormatting sqref="E163">
    <cfRule type="cellIs" dxfId="3" priority="32" operator="greaterThanOrEqual">
      <formula>0</formula>
    </cfRule>
    <cfRule type="cellIs" dxfId="4" priority="31" operator="lessThan">
      <formula>0</formula>
    </cfRule>
  </conditionalFormatting>
  <conditionalFormatting sqref="E170">
    <cfRule type="cellIs" dxfId="3" priority="24" operator="greaterThanOrEqual">
      <formula>0</formula>
    </cfRule>
    <cfRule type="cellIs" dxfId="4" priority="23" operator="lessThan">
      <formula>0</formula>
    </cfRule>
  </conditionalFormatting>
  <conditionalFormatting sqref="E190">
    <cfRule type="cellIs" dxfId="3" priority="26" operator="greaterThanOrEqual">
      <formula>0</formula>
    </cfRule>
    <cfRule type="cellIs" dxfId="4" priority="25" operator="lessThan">
      <formula>0</formula>
    </cfRule>
  </conditionalFormatting>
  <conditionalFormatting sqref="C57:C66">
    <cfRule type="cellIs" dxfId="0" priority="55" operator="equal">
      <formula>0</formula>
    </cfRule>
    <cfRule type="cellIs" dxfId="1" priority="54" operator="greaterThan">
      <formula>0</formula>
    </cfRule>
  </conditionalFormatting>
  <conditionalFormatting sqref="C68:C69">
    <cfRule type="cellIs" dxfId="0" priority="53" operator="equal">
      <formula>0</formula>
    </cfRule>
    <cfRule type="cellIs" dxfId="1" priority="52" operator="greaterThan">
      <formula>0</formula>
    </cfRule>
  </conditionalFormatting>
  <conditionalFormatting sqref="C70:C74">
    <cfRule type="cellIs" dxfId="0" priority="41" operator="equal">
      <formula>0</formula>
    </cfRule>
    <cfRule type="cellIs" dxfId="1" priority="40" operator="greaterThan">
      <formula>0</formula>
    </cfRule>
  </conditionalFormatting>
  <conditionalFormatting sqref="C78:C79">
    <cfRule type="cellIs" dxfId="0" priority="10" operator="equal">
      <formula>0</formula>
    </cfRule>
    <cfRule type="cellIs" dxfId="1" priority="9" operator="greaterThan">
      <formula>0</formula>
    </cfRule>
  </conditionalFormatting>
  <conditionalFormatting sqref="C80:C84">
    <cfRule type="cellIs" dxfId="0" priority="39" operator="equal">
      <formula>0</formula>
    </cfRule>
    <cfRule type="cellIs" dxfId="1" priority="38" operator="greaterThan">
      <formula>0</formula>
    </cfRule>
  </conditionalFormatting>
  <conditionalFormatting sqref="C87:C89">
    <cfRule type="cellIs" dxfId="0" priority="47" operator="equal">
      <formula>0</formula>
    </cfRule>
    <cfRule type="cellIs" dxfId="1" priority="46" operator="greaterThan">
      <formula>0</formula>
    </cfRule>
  </conditionalFormatting>
  <conditionalFormatting sqref="C90:C91">
    <cfRule type="cellIs" dxfId="0" priority="8" operator="equal">
      <formula>0</formula>
    </cfRule>
    <cfRule type="cellIs" dxfId="1" priority="7" operator="greaterThan">
      <formula>0</formula>
    </cfRule>
  </conditionalFormatting>
  <conditionalFormatting sqref="C92:C94">
    <cfRule type="cellIs" dxfId="0" priority="37" operator="equal">
      <formula>0</formula>
    </cfRule>
    <cfRule type="cellIs" dxfId="1" priority="36" operator="greaterThan">
      <formula>0</formula>
    </cfRule>
  </conditionalFormatting>
  <conditionalFormatting sqref="C98:C107">
    <cfRule type="cellIs" dxfId="1" priority="20" operator="lessThan">
      <formula>0</formula>
    </cfRule>
    <cfRule type="cellIs" dxfId="2" priority="19" operator="greaterThanOrEqual">
      <formula>0</formula>
    </cfRule>
  </conditionalFormatting>
  <conditionalFormatting sqref="E118:E127">
    <cfRule type="cellIs" dxfId="0" priority="18" operator="equal">
      <formula>0</formula>
    </cfRule>
    <cfRule type="cellIs" dxfId="1" priority="17" operator="greaterThan">
      <formula>0</formula>
    </cfRule>
  </conditionalFormatting>
  <conditionalFormatting sqref="E145:E154">
    <cfRule type="cellIs" dxfId="0" priority="16" operator="equal">
      <formula>0</formula>
    </cfRule>
    <cfRule type="cellIs" dxfId="1" priority="15" operator="greaterThan">
      <formula>0</formula>
    </cfRule>
  </conditionalFormatting>
  <conditionalFormatting sqref="E172:E181">
    <cfRule type="cellIs" dxfId="0" priority="14" operator="equal">
      <formula>0</formula>
    </cfRule>
    <cfRule type="cellIs" dxfId="1" priority="13" operator="greaterThan">
      <formula>0</formula>
    </cfRule>
  </conditionalFormatting>
  <conditionalFormatting sqref="C47:C55 C85 C95:C96">
    <cfRule type="cellIs" dxfId="0" priority="57" operator="equal">
      <formula>0</formula>
    </cfRule>
  </conditionalFormatting>
  <conditionalFormatting sqref="C47:C55 C85 C95:C96 E144 E155:E162">
    <cfRule type="cellIs" dxfId="1" priority="56" operator="greaterThan">
      <formula>0</formula>
    </cfRule>
  </conditionalFormatting>
  <conditionalFormatting sqref="E117 E128:E135">
    <cfRule type="cellIs" dxfId="0" priority="45" operator="equal">
      <formula>0</formula>
    </cfRule>
    <cfRule type="cellIs" dxfId="1" priority="44" operator="greaterThan">
      <formula>0</formula>
    </cfRule>
  </conditionalFormatting>
  <conditionalFormatting sqref="E144 E155:E162">
    <cfRule type="cellIs" dxfId="2" priority="33" operator="equal">
      <formula>0</formula>
    </cfRule>
  </conditionalFormatting>
  <conditionalFormatting sqref="E171 E182:E189">
    <cfRule type="cellIs" dxfId="2" priority="28" operator="equal">
      <formula>0</formula>
    </cfRule>
    <cfRule type="cellIs" dxfId="1" priority="27" operator="greaterThan">
      <formula>0</formula>
    </cfRule>
  </conditionalFormatting>
  <pageMargins left="0.7" right="0.7" top="0.75" bottom="0.75" header="0.3" footer="0.3"/>
  <headerFooter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93"/>
  <sheetViews>
    <sheetView topLeftCell="A60" workbookViewId="0">
      <selection activeCell="D7" sqref="D7"/>
    </sheetView>
  </sheetViews>
  <sheetFormatPr defaultColWidth="9" defaultRowHeight="17.6"/>
  <cols>
    <col min="1" max="7" width="25.6111111111111" customWidth="1"/>
    <col min="8" max="8" width="20.625" customWidth="1"/>
  </cols>
  <sheetData>
    <row r="1" s="1" customFormat="1" ht="35" customHeight="1" spans="1:9">
      <c r="A1" s="2" t="str">
        <f>"Forecasts For the Year "&amp;IF(Main!B2,TEXT(EDATE(Main!B3,30),"mmmm yyyy"),TEXT(Main!B3+((Main!B5-Main!B3)*30+30),"mmmm yyyy"))&amp;" to "&amp;IF(Main!B2,TEXT(EDATE(Main!B3,33)-1,"mmmm yyyy"),TEXT(Main!B3+((Main!B5-Main!B3)*33+32),"mmmm yyyy"))</f>
        <v>Forecasts For the Year November 2027 to January 2028</v>
      </c>
      <c r="B1" s="2"/>
      <c r="C1" s="2"/>
      <c r="D1" s="2"/>
      <c r="E1" s="2"/>
      <c r="F1" s="2"/>
      <c r="G1" s="2"/>
      <c r="H1" s="38"/>
      <c r="I1" s="38"/>
    </row>
    <row r="2" s="1" customFormat="1" ht="35" customHeight="1" spans="1:9">
      <c r="A2" s="3" t="s">
        <v>33</v>
      </c>
      <c r="B2" s="4" t="s">
        <v>62</v>
      </c>
      <c r="C2" s="5" cm="1">
        <f ca="1" t="array" ref="C2">INDIRECT("'"&amp;Main!B9&amp;"'!$C$16")</f>
        <v>0</v>
      </c>
      <c r="D2" s="5"/>
      <c r="E2" s="5"/>
      <c r="F2" s="5"/>
      <c r="G2" s="5"/>
      <c r="H2" s="38"/>
      <c r="I2" s="38"/>
    </row>
    <row r="3" s="1" customFormat="1" ht="35" customHeight="1" spans="1:9">
      <c r="A3" s="6"/>
      <c r="B3" s="7" t="s">
        <v>63</v>
      </c>
      <c r="C3" s="8">
        <f ca="1">E190</f>
        <v>0</v>
      </c>
      <c r="D3" s="8"/>
      <c r="E3" s="8"/>
      <c r="F3" s="8"/>
      <c r="G3" s="8"/>
      <c r="H3" s="38"/>
      <c r="I3" s="38"/>
    </row>
    <row r="4" s="1" customFormat="1" ht="35" customHeight="1" spans="1:9">
      <c r="A4" s="9" t="s">
        <v>42</v>
      </c>
      <c r="B4" s="10"/>
      <c r="C4" s="11">
        <f ca="1">SUM(C2:G3)</f>
        <v>0</v>
      </c>
      <c r="D4" s="11"/>
      <c r="E4" s="11"/>
      <c r="F4" s="11"/>
      <c r="G4" s="11"/>
      <c r="H4" s="15"/>
      <c r="I4" s="45"/>
    </row>
    <row r="5" s="1" customFormat="1" ht="35" customHeight="1" spans="1:9">
      <c r="A5" s="12" t="s">
        <v>64</v>
      </c>
      <c r="B5" s="12"/>
      <c r="C5" s="13">
        <f ca="1">C108</f>
        <v>0</v>
      </c>
      <c r="D5" s="14"/>
      <c r="E5" s="14"/>
      <c r="F5" s="14"/>
      <c r="G5" s="14"/>
      <c r="H5" s="15"/>
      <c r="I5" s="45"/>
    </row>
    <row r="6" s="1" customFormat="1" ht="35" customHeight="1" spans="1:9">
      <c r="A6" s="15"/>
      <c r="B6" s="15"/>
      <c r="C6" s="15"/>
      <c r="D6" s="15"/>
      <c r="E6" s="15"/>
      <c r="F6" s="15"/>
      <c r="G6" s="15"/>
      <c r="H6" s="15"/>
      <c r="I6" s="45"/>
    </row>
    <row r="7" s="1" customFormat="1" ht="35" customHeight="1" spans="1:9">
      <c r="A7" s="15"/>
      <c r="B7" s="15"/>
      <c r="C7" s="15"/>
      <c r="D7" s="15"/>
      <c r="E7" s="15"/>
      <c r="F7" s="15"/>
      <c r="G7" s="15"/>
      <c r="H7" s="15"/>
      <c r="I7" s="45"/>
    </row>
    <row r="8" s="1" customFormat="1" ht="35" customHeight="1" spans="1:9">
      <c r="A8" s="16" t="str">
        <f>IF(Main!B2,TEXT(EDATE(Main!B3,30),"dd mmmm yyyy"),TEXT(Main!B3+((Main!B5-Main!B3)*30+30),"dd mmmm yyyy"))&amp;" - "&amp;IF(Main!B2,TEXT(EDATE(Main!B3,31)-1,"dd mmmm yyyy"),TEXT(Main!B3+((Main!B5-Main!B3)*31+30),"dd mmmm yyyy"))&amp;" / "&amp;" (Revenue / Deferred Debts Or Expenses)"</f>
        <v>01 November 2027 - 30 November 2027 /  (Revenue / Deferred Debts Or Expenses)</v>
      </c>
      <c r="B8" s="17"/>
      <c r="C8" s="17"/>
      <c r="D8" s="17"/>
      <c r="E8" s="17"/>
      <c r="F8" s="17"/>
      <c r="G8" s="17"/>
      <c r="H8" s="15"/>
      <c r="I8" s="45"/>
    </row>
    <row r="9" s="1" customFormat="1" ht="35" customHeight="1" spans="1:9">
      <c r="A9" s="18" t="s">
        <v>29</v>
      </c>
      <c r="B9" s="18" t="s">
        <v>43</v>
      </c>
      <c r="C9" s="18"/>
      <c r="D9" s="18" t="s">
        <v>44</v>
      </c>
      <c r="E9" s="18"/>
      <c r="F9" s="18" t="s">
        <v>45</v>
      </c>
      <c r="G9" s="18"/>
      <c r="H9" s="15"/>
      <c r="I9" s="45"/>
    </row>
    <row r="10" s="1" customFormat="1" ht="35" customHeight="1" spans="1:9">
      <c r="A10" s="19"/>
      <c r="B10" s="20"/>
      <c r="C10" s="20"/>
      <c r="D10" s="20"/>
      <c r="E10" s="20"/>
      <c r="F10" s="39">
        <v>0</v>
      </c>
      <c r="G10" s="40"/>
      <c r="H10" s="15"/>
      <c r="I10" s="45"/>
    </row>
    <row r="11" s="1" customFormat="1" ht="35" customHeight="1" spans="1:9">
      <c r="A11" s="19"/>
      <c r="B11" s="21"/>
      <c r="C11" s="22"/>
      <c r="D11" s="23"/>
      <c r="E11" s="41"/>
      <c r="F11" s="39">
        <v>0</v>
      </c>
      <c r="G11" s="40"/>
      <c r="H11" s="15"/>
      <c r="I11" s="45"/>
    </row>
    <row r="12" s="1" customFormat="1" ht="35" customHeight="1" spans="1:9">
      <c r="A12" s="19"/>
      <c r="B12" s="21"/>
      <c r="C12" s="22"/>
      <c r="D12" s="23"/>
      <c r="E12" s="41"/>
      <c r="F12" s="39">
        <v>0</v>
      </c>
      <c r="G12" s="40"/>
      <c r="H12" s="15"/>
      <c r="I12" s="45"/>
    </row>
    <row r="13" s="1" customFormat="1" ht="35" customHeight="1" spans="1:9">
      <c r="A13" s="19"/>
      <c r="B13" s="21"/>
      <c r="C13" s="22"/>
      <c r="D13" s="23"/>
      <c r="E13" s="41"/>
      <c r="F13" s="39">
        <v>0</v>
      </c>
      <c r="G13" s="40"/>
      <c r="H13" s="15"/>
      <c r="I13" s="45"/>
    </row>
    <row r="14" s="1" customFormat="1" ht="35" customHeight="1" spans="1:9">
      <c r="A14" s="19"/>
      <c r="B14" s="21"/>
      <c r="C14" s="22"/>
      <c r="D14" s="23"/>
      <c r="E14" s="41"/>
      <c r="F14" s="39">
        <v>0</v>
      </c>
      <c r="G14" s="40"/>
      <c r="H14" s="15"/>
      <c r="I14" s="45"/>
    </row>
    <row r="15" s="1" customFormat="1" ht="35" customHeight="1" spans="1:9">
      <c r="A15" s="19"/>
      <c r="B15" s="21"/>
      <c r="C15" s="22"/>
      <c r="D15" s="23"/>
      <c r="E15" s="41"/>
      <c r="F15" s="39">
        <v>0</v>
      </c>
      <c r="G15" s="40"/>
      <c r="H15" s="15"/>
      <c r="I15" s="45"/>
    </row>
    <row r="16" s="1" customFormat="1" ht="35" customHeight="1" spans="1:9">
      <c r="A16" s="24"/>
      <c r="B16" s="25"/>
      <c r="C16" s="26"/>
      <c r="D16" s="27" t="s">
        <v>46</v>
      </c>
      <c r="E16" s="42"/>
      <c r="F16" s="43">
        <f>SUM(F10:G15)</f>
        <v>0</v>
      </c>
      <c r="G16" s="44"/>
      <c r="H16" s="15"/>
      <c r="I16" s="45"/>
    </row>
    <row r="17" s="1" customFormat="1" ht="35" customHeight="1" spans="1:9">
      <c r="A17" s="15"/>
      <c r="B17" s="15"/>
      <c r="C17" s="15"/>
      <c r="D17" s="15"/>
      <c r="E17" s="15"/>
      <c r="F17" s="15"/>
      <c r="G17" s="15"/>
      <c r="H17" s="15"/>
      <c r="I17" s="45"/>
    </row>
    <row r="18" s="1" customFormat="1" ht="35" customHeight="1" spans="1:9">
      <c r="A18" s="15"/>
      <c r="B18" s="15"/>
      <c r="C18" s="15"/>
      <c r="D18" s="15"/>
      <c r="E18" s="15"/>
      <c r="F18" s="15"/>
      <c r="G18" s="15"/>
      <c r="H18" s="15"/>
      <c r="I18" s="45"/>
    </row>
    <row r="19" s="1" customFormat="1" ht="35" customHeight="1" spans="1:9">
      <c r="A19" s="15"/>
      <c r="B19" s="15"/>
      <c r="C19" s="15"/>
      <c r="D19" s="15"/>
      <c r="E19" s="15"/>
      <c r="F19" s="15"/>
      <c r="G19" s="15"/>
      <c r="H19" s="15"/>
      <c r="I19" s="45"/>
    </row>
    <row r="20" s="1" customFormat="1" ht="35" customHeight="1" spans="1:9">
      <c r="A20" s="16" t="str">
        <f>IF(Main!B2,TEXT(EDATE(Main!B3,31),"dd mmmm yyyy"),TEXT(Main!B3+((Main!B5-Main!B3)*31+31),"dd mmmm yyyy"))&amp;" - "&amp;IF(Main!B2,TEXT(EDATE(Main!B3,32)-1,"dd mmmm yyyy"),TEXT(Main!B3+((Main!B5-Main!B3)*32+31),"dd mmmm yyyy"))&amp;" / "&amp;" (Revenue / Deferred Debts Or Expenses)"</f>
        <v>01 December 2027 - 31 December 2027 /  (Revenue / Deferred Debts Or Expenses)</v>
      </c>
      <c r="B20" s="17"/>
      <c r="C20" s="17"/>
      <c r="D20" s="17"/>
      <c r="E20" s="17"/>
      <c r="F20" s="17"/>
      <c r="G20" s="17"/>
      <c r="H20" s="15"/>
      <c r="I20" s="45"/>
    </row>
    <row r="21" s="1" customFormat="1" ht="35" customHeight="1" spans="1:9">
      <c r="A21" s="18" t="s">
        <v>29</v>
      </c>
      <c r="B21" s="18" t="s">
        <v>43</v>
      </c>
      <c r="C21" s="18"/>
      <c r="D21" s="18" t="s">
        <v>44</v>
      </c>
      <c r="E21" s="18"/>
      <c r="F21" s="18" t="s">
        <v>45</v>
      </c>
      <c r="G21" s="18"/>
      <c r="H21" s="15"/>
      <c r="I21" s="45"/>
    </row>
    <row r="22" s="1" customFormat="1" ht="35" customHeight="1" spans="1:9">
      <c r="A22" s="19"/>
      <c r="B22" s="20"/>
      <c r="C22" s="20"/>
      <c r="D22" s="20"/>
      <c r="E22" s="20"/>
      <c r="F22" s="39">
        <v>0</v>
      </c>
      <c r="G22" s="40"/>
      <c r="H22" s="15"/>
      <c r="I22" s="45"/>
    </row>
    <row r="23" s="1" customFormat="1" ht="35" customHeight="1" spans="1:9">
      <c r="A23" s="19"/>
      <c r="B23" s="21"/>
      <c r="C23" s="22"/>
      <c r="D23" s="23"/>
      <c r="E23" s="41"/>
      <c r="F23" s="39">
        <v>0</v>
      </c>
      <c r="G23" s="40"/>
      <c r="H23" s="15"/>
      <c r="I23" s="45"/>
    </row>
    <row r="24" s="1" customFormat="1" ht="35" customHeight="1" spans="1:9">
      <c r="A24" s="19"/>
      <c r="B24" s="21"/>
      <c r="C24" s="22"/>
      <c r="D24" s="23"/>
      <c r="E24" s="41"/>
      <c r="F24" s="39">
        <v>0</v>
      </c>
      <c r="G24" s="40"/>
      <c r="H24" s="15"/>
      <c r="I24" s="45"/>
    </row>
    <row r="25" s="1" customFormat="1" ht="35" customHeight="1" spans="1:9">
      <c r="A25" s="19"/>
      <c r="B25" s="21"/>
      <c r="C25" s="22"/>
      <c r="D25" s="23"/>
      <c r="E25" s="41"/>
      <c r="F25" s="39">
        <v>0</v>
      </c>
      <c r="G25" s="40"/>
      <c r="H25" s="15"/>
      <c r="I25" s="45"/>
    </row>
    <row r="26" s="1" customFormat="1" ht="35" customHeight="1" spans="1:9">
      <c r="A26" s="19"/>
      <c r="B26" s="21"/>
      <c r="C26" s="22"/>
      <c r="D26" s="23"/>
      <c r="E26" s="41"/>
      <c r="F26" s="39">
        <v>0</v>
      </c>
      <c r="G26" s="40"/>
      <c r="H26" s="15"/>
      <c r="I26" s="45"/>
    </row>
    <row r="27" s="1" customFormat="1" ht="35" customHeight="1" spans="1:9">
      <c r="A27" s="19"/>
      <c r="B27" s="21"/>
      <c r="C27" s="22"/>
      <c r="D27" s="23"/>
      <c r="E27" s="41"/>
      <c r="F27" s="39">
        <v>0</v>
      </c>
      <c r="G27" s="40"/>
      <c r="H27" s="15"/>
      <c r="I27" s="45"/>
    </row>
    <row r="28" s="1" customFormat="1" ht="35" customHeight="1" spans="1:9">
      <c r="A28" s="24"/>
      <c r="B28" s="25"/>
      <c r="C28" s="26"/>
      <c r="D28" s="27" t="s">
        <v>46</v>
      </c>
      <c r="E28" s="42"/>
      <c r="F28" s="43">
        <f>SUM(F22:G27)</f>
        <v>0</v>
      </c>
      <c r="G28" s="44"/>
      <c r="H28" s="15"/>
      <c r="I28" s="45"/>
    </row>
    <row r="29" s="1" customFormat="1" ht="35" customHeight="1" spans="1:9">
      <c r="A29" s="15"/>
      <c r="B29" s="15"/>
      <c r="C29" s="15"/>
      <c r="D29" s="15"/>
      <c r="E29" s="15"/>
      <c r="F29" s="15"/>
      <c r="G29" s="15"/>
      <c r="H29" s="15"/>
      <c r="I29" s="45"/>
    </row>
    <row r="30" s="1" customFormat="1" ht="35" customHeight="1" spans="1:9">
      <c r="A30" s="15"/>
      <c r="B30" s="15"/>
      <c r="C30" s="15"/>
      <c r="D30" s="15"/>
      <c r="E30" s="15"/>
      <c r="F30" s="15"/>
      <c r="G30" s="15"/>
      <c r="H30" s="15"/>
      <c r="I30" s="45"/>
    </row>
    <row r="31" s="1" customFormat="1" ht="35" customHeight="1" spans="1:9">
      <c r="A31" s="15"/>
      <c r="B31" s="15"/>
      <c r="C31" s="15"/>
      <c r="D31" s="15"/>
      <c r="E31" s="15"/>
      <c r="F31" s="15"/>
      <c r="G31" s="15"/>
      <c r="H31" s="15"/>
      <c r="I31" s="45"/>
    </row>
    <row r="32" s="1" customFormat="1" ht="35" customHeight="1" spans="1:9">
      <c r="A32" s="16" t="str">
        <f>IF(Main!B2,TEXT(EDATE(Main!B3,32),"dd mmmm yyyy"),TEXT(Main!B3+((Main!B5-Main!B3)*32+32),"dd mmmm yyyy"))&amp;" - "&amp;IF(Main!B2,TEXT(EDATE(Main!B3,33)-1,"dd mmmm yyyy"),TEXT(Main!B3+((Main!B5-Main!B3)*33+32),"dd mmmm yyyy"))&amp;" / "&amp;" (Revenue / Deferred Debts Or Expenses)"</f>
        <v>01 January 2028 - 31 January 2028 /  (Revenue / Deferred Debts Or Expenses)</v>
      </c>
      <c r="B32" s="17"/>
      <c r="C32" s="17"/>
      <c r="D32" s="17"/>
      <c r="E32" s="17"/>
      <c r="F32" s="17"/>
      <c r="G32" s="17"/>
      <c r="H32" s="15"/>
      <c r="I32" s="45"/>
    </row>
    <row r="33" s="1" customFormat="1" ht="35" customHeight="1" spans="1:9">
      <c r="A33" s="18" t="s">
        <v>29</v>
      </c>
      <c r="B33" s="18" t="s">
        <v>43</v>
      </c>
      <c r="C33" s="18"/>
      <c r="D33" s="18" t="s">
        <v>44</v>
      </c>
      <c r="E33" s="18"/>
      <c r="F33" s="18" t="s">
        <v>45</v>
      </c>
      <c r="G33" s="18"/>
      <c r="H33" s="15"/>
      <c r="I33" s="45"/>
    </row>
    <row r="34" s="1" customFormat="1" ht="35" customHeight="1" spans="1:9">
      <c r="A34" s="19"/>
      <c r="B34" s="20"/>
      <c r="C34" s="20"/>
      <c r="D34" s="20"/>
      <c r="E34" s="20"/>
      <c r="F34" s="39">
        <v>0</v>
      </c>
      <c r="G34" s="40"/>
      <c r="H34" s="15"/>
      <c r="I34" s="45"/>
    </row>
    <row r="35" s="1" customFormat="1" ht="35" customHeight="1" spans="1:9">
      <c r="A35" s="19"/>
      <c r="B35" s="21"/>
      <c r="C35" s="22"/>
      <c r="D35" s="23"/>
      <c r="E35" s="41"/>
      <c r="F35" s="39">
        <v>0</v>
      </c>
      <c r="G35" s="40"/>
      <c r="H35" s="15"/>
      <c r="I35" s="45"/>
    </row>
    <row r="36" s="1" customFormat="1" ht="35" customHeight="1" spans="1:9">
      <c r="A36" s="19"/>
      <c r="B36" s="21"/>
      <c r="C36" s="22"/>
      <c r="D36" s="23"/>
      <c r="E36" s="41"/>
      <c r="F36" s="39">
        <v>0</v>
      </c>
      <c r="G36" s="40"/>
      <c r="H36" s="15"/>
      <c r="I36" s="45"/>
    </row>
    <row r="37" s="1" customFormat="1" ht="35" customHeight="1" spans="1:9">
      <c r="A37" s="19"/>
      <c r="B37" s="21"/>
      <c r="C37" s="22"/>
      <c r="D37" s="23"/>
      <c r="E37" s="41"/>
      <c r="F37" s="39">
        <v>0</v>
      </c>
      <c r="G37" s="40"/>
      <c r="H37" s="15"/>
      <c r="I37" s="45"/>
    </row>
    <row r="38" s="1" customFormat="1" ht="35" customHeight="1" spans="1:9">
      <c r="A38" s="19"/>
      <c r="B38" s="21"/>
      <c r="C38" s="22"/>
      <c r="D38" s="23"/>
      <c r="E38" s="41"/>
      <c r="F38" s="39">
        <v>0</v>
      </c>
      <c r="G38" s="40"/>
      <c r="H38" s="15"/>
      <c r="I38" s="45"/>
    </row>
    <row r="39" s="1" customFormat="1" ht="35" customHeight="1" spans="1:9">
      <c r="A39" s="19"/>
      <c r="B39" s="21"/>
      <c r="C39" s="22"/>
      <c r="D39" s="23"/>
      <c r="E39" s="41"/>
      <c r="F39" s="39">
        <v>0</v>
      </c>
      <c r="G39" s="40"/>
      <c r="H39" s="15"/>
      <c r="I39" s="45"/>
    </row>
    <row r="40" s="1" customFormat="1" ht="35" customHeight="1" spans="1:9">
      <c r="A40" s="24"/>
      <c r="B40" s="25"/>
      <c r="C40" s="26"/>
      <c r="D40" s="27" t="s">
        <v>46</v>
      </c>
      <c r="E40" s="42"/>
      <c r="F40" s="43">
        <f>SUM(F34:G39)</f>
        <v>0</v>
      </c>
      <c r="G40" s="44"/>
      <c r="H40" s="15"/>
      <c r="I40" s="45"/>
    </row>
    <row r="41" s="1" customFormat="1" ht="35" customHeight="1" spans="1:9">
      <c r="A41" s="15"/>
      <c r="B41" s="15"/>
      <c r="C41" s="15"/>
      <c r="D41" s="15"/>
      <c r="E41" s="15"/>
      <c r="F41" s="15"/>
      <c r="G41" s="15"/>
      <c r="H41" s="15"/>
      <c r="I41" s="45"/>
    </row>
    <row r="42" s="1" customFormat="1" ht="35" customHeight="1" spans="1:9">
      <c r="A42" s="15"/>
      <c r="B42" s="15"/>
      <c r="C42" s="15"/>
      <c r="D42" s="15"/>
      <c r="E42" s="15"/>
      <c r="F42" s="15"/>
      <c r="G42" s="15"/>
      <c r="H42" s="15"/>
      <c r="I42" s="45"/>
    </row>
    <row r="43" s="1" customFormat="1" ht="35" customHeight="1" spans="1:9">
      <c r="A43" s="15"/>
      <c r="B43" s="15"/>
      <c r="C43" s="15"/>
      <c r="D43" s="15"/>
      <c r="E43" s="15"/>
      <c r="F43" s="15"/>
      <c r="G43" s="15"/>
      <c r="H43" s="15"/>
      <c r="I43" s="45"/>
    </row>
    <row r="44" s="1" customFormat="1" ht="35" customHeight="1" spans="1:9">
      <c r="A44" s="28" t="str">
        <f>"Fixed Expense For the Year "&amp;IF(Main!B2,TEXT(EDATE(Main!B3,30),"mmmm yyyy"),TEXT(Main!B3+((Main!B5-Main!B3)*30+30),"mmmm yyyy"))&amp;" to "&amp;IF(Main!B2,TEXT(EDATE(Main!B3,33)-1,"mmmm yyyy"),TEXT(Main!B3+((Main!B5-Main!B3)*33+32),"mmmm yyyy"))</f>
        <v>Fixed Expense For the Year November 2027 to January 2028</v>
      </c>
      <c r="B44" s="29"/>
      <c r="C44" s="30"/>
      <c r="D44" s="15"/>
      <c r="E44" s="15"/>
      <c r="F44" s="15"/>
      <c r="G44" s="15"/>
      <c r="H44" s="15"/>
      <c r="I44" s="45"/>
    </row>
    <row r="45" s="1" customFormat="1" ht="35" customHeight="1" spans="1:9">
      <c r="A45" s="2" t="s">
        <v>43</v>
      </c>
      <c r="B45" s="2" t="s">
        <v>44</v>
      </c>
      <c r="C45" s="2" t="s">
        <v>45</v>
      </c>
      <c r="D45" s="15"/>
      <c r="E45" s="15"/>
      <c r="F45" s="15"/>
      <c r="G45" s="15"/>
      <c r="H45" s="15"/>
      <c r="I45" s="45"/>
    </row>
    <row r="46" s="1" customFormat="1" ht="35" customHeight="1" spans="1:9">
      <c r="A46" s="31" t="s">
        <v>47</v>
      </c>
      <c r="B46" s="32"/>
      <c r="C46" s="33"/>
      <c r="D46" s="15"/>
      <c r="E46" s="15"/>
      <c r="F46" s="15"/>
      <c r="G46" s="15"/>
      <c r="H46" s="15"/>
      <c r="I46" s="45"/>
    </row>
    <row r="47" s="1" customFormat="1" ht="35" customHeight="1" spans="1:9">
      <c r="A47" s="34" t="str" cm="1">
        <f ca="1" t="array" ref="A47">IF((INDIRECT("'"&amp;INDIRECT("Main!B9")&amp;"'!A61"))=0,"",(INDIRECT("'"&amp;INDIRECT("Main!B9")&amp;"'!A61")))</f>
        <v/>
      </c>
      <c r="B47" s="34" t="str" cm="1">
        <f ca="1" t="array" ref="B47">IF((INDIRECT("'"&amp;INDIRECT("Main!B9")&amp;"'!B61"))=0,"",(INDIRECT("'"&amp;INDIRECT("Main!B9")&amp;"'!B61")))</f>
        <v/>
      </c>
      <c r="C47" s="35">
        <v>0</v>
      </c>
      <c r="D47" s="15"/>
      <c r="E47" s="15"/>
      <c r="F47" s="15"/>
      <c r="G47" s="15"/>
      <c r="H47" s="15"/>
      <c r="I47" s="45"/>
    </row>
    <row r="48" s="1" customFormat="1" ht="35" customHeight="1" spans="1:9">
      <c r="A48" s="34" t="str" cm="1">
        <f ca="1" t="array" ref="A48">IF((INDIRECT("'"&amp;INDIRECT("Main!B9")&amp;"'!A62"))=0,"",(INDIRECT("'"&amp;INDIRECT("Main!B9")&amp;"'!A62")))</f>
        <v/>
      </c>
      <c r="B48" s="34" t="str" cm="1">
        <f ca="1" t="array" ref="B48">IF((INDIRECT("'"&amp;INDIRECT("Main!B9")&amp;"'!B62"))=0,"",(INDIRECT("'"&amp;INDIRECT("Main!B9")&amp;"'!B62")))</f>
        <v/>
      </c>
      <c r="C48" s="35">
        <v>0</v>
      </c>
      <c r="D48" s="15"/>
      <c r="E48" s="15"/>
      <c r="F48" s="15"/>
      <c r="G48" s="15"/>
      <c r="H48" s="15"/>
      <c r="I48" s="45"/>
    </row>
    <row r="49" s="1" customFormat="1" ht="35" customHeight="1" spans="1:9">
      <c r="A49" s="34" t="str" cm="1">
        <f ca="1" t="array" ref="A49">IF((INDIRECT("'"&amp;INDIRECT("Main!B9")&amp;"'!A63"))=0,"",(INDIRECT("'"&amp;INDIRECT("Main!B9")&amp;"'!A63")))</f>
        <v/>
      </c>
      <c r="B49" s="34" t="str" cm="1">
        <f ca="1" t="array" ref="B49">IF((INDIRECT("'"&amp;INDIRECT("Main!B9")&amp;"'!B63"))=0,"",(INDIRECT("'"&amp;INDIRECT("Main!B9")&amp;"'!B63")))</f>
        <v/>
      </c>
      <c r="C49" s="35">
        <v>0</v>
      </c>
      <c r="D49" s="15"/>
      <c r="E49" s="15"/>
      <c r="F49" s="15"/>
      <c r="G49" s="15"/>
      <c r="H49" s="15"/>
      <c r="I49" s="45"/>
    </row>
    <row r="50" s="1" customFormat="1" ht="35" customHeight="1" spans="1:9">
      <c r="A50" s="34" t="str" cm="1">
        <f ca="1" t="array" ref="A50">IF((INDIRECT("'"&amp;INDIRECT("Main!B9")&amp;"'!A64"))=0,"",(INDIRECT("'"&amp;INDIRECT("Main!B9")&amp;"'!A64")))</f>
        <v/>
      </c>
      <c r="B50" s="34" t="str" cm="1">
        <f ca="1" t="array" ref="B50">IF((INDIRECT("'"&amp;INDIRECT("Main!B9")&amp;"'!B64"))=0,"",(INDIRECT("'"&amp;INDIRECT("Main!B9")&amp;"'!B64")))</f>
        <v/>
      </c>
      <c r="C50" s="35">
        <v>0</v>
      </c>
      <c r="D50" s="15"/>
      <c r="E50" s="15"/>
      <c r="F50" s="15"/>
      <c r="G50" s="15"/>
      <c r="H50" s="15"/>
      <c r="I50" s="45"/>
    </row>
    <row r="51" s="1" customFormat="1" ht="35" customHeight="1" spans="1:9">
      <c r="A51" s="34" t="str" cm="1">
        <f ca="1" t="array" ref="A51">IF((INDIRECT("'"&amp;INDIRECT("Main!B9")&amp;"'!A65"))=0,"",(INDIRECT("'"&amp;INDIRECT("Main!B9")&amp;"'!A65")))</f>
        <v/>
      </c>
      <c r="B51" s="34" t="str" cm="1">
        <f ca="1" t="array" ref="B51">IF((INDIRECT("'"&amp;INDIRECT("Main!B9")&amp;"'!B65"))=0,"",(INDIRECT("'"&amp;INDIRECT("Main!B9")&amp;"'!B65")))</f>
        <v/>
      </c>
      <c r="C51" s="35">
        <v>0</v>
      </c>
      <c r="D51" s="15"/>
      <c r="E51" s="15"/>
      <c r="F51" s="15"/>
      <c r="G51" s="15"/>
      <c r="H51" s="15"/>
      <c r="I51" s="45"/>
    </row>
    <row r="52" s="1" customFormat="1" ht="35" customHeight="1" spans="1:9">
      <c r="A52" s="34" t="str" cm="1">
        <f ca="1" t="array" ref="A52">IF((INDIRECT("'"&amp;INDIRECT("Main!B9")&amp;"'!A66"))=0,"",(INDIRECT("'"&amp;INDIRECT("Main!B9")&amp;"'!A66")))</f>
        <v/>
      </c>
      <c r="B52" s="34" t="str" cm="1">
        <f ca="1" t="array" ref="B52">IF((INDIRECT("'"&amp;INDIRECT("Main!B9")&amp;"'!B66"))=0,"",(INDIRECT("'"&amp;INDIRECT("Main!B9")&amp;"'!B66")))</f>
        <v/>
      </c>
      <c r="C52" s="35">
        <v>0</v>
      </c>
      <c r="D52" s="15"/>
      <c r="E52" s="15"/>
      <c r="F52" s="15"/>
      <c r="G52" s="15"/>
      <c r="H52" s="15"/>
      <c r="I52" s="45"/>
    </row>
    <row r="53" s="1" customFormat="1" ht="35" customHeight="1" spans="1:9">
      <c r="A53" s="34" t="str" cm="1">
        <f ca="1" t="array" ref="A53">IF((INDIRECT("'"&amp;INDIRECT("Main!B9")&amp;"'!A67"))=0,"",(INDIRECT("'"&amp;INDIRECT("Main!B9")&amp;"'!A67")))</f>
        <v/>
      </c>
      <c r="B53" s="34" t="str" cm="1">
        <f ca="1" t="array" ref="B53">IF((INDIRECT("'"&amp;INDIRECT("Main!B9")&amp;"'!B67"))=0,"",(INDIRECT("'"&amp;INDIRECT("Main!B9")&amp;"'!B67")))</f>
        <v/>
      </c>
      <c r="C53" s="35">
        <v>0</v>
      </c>
      <c r="D53" s="15"/>
      <c r="E53" s="15"/>
      <c r="F53" s="15"/>
      <c r="G53" s="15"/>
      <c r="H53" s="15"/>
      <c r="I53" s="45"/>
    </row>
    <row r="54" s="1" customFormat="1" ht="35" customHeight="1" spans="1:9">
      <c r="A54" s="34" t="str" cm="1">
        <f ca="1" t="array" ref="A54">IF((INDIRECT("'"&amp;INDIRECT("Main!B9")&amp;"'!A68"))=0,"",(INDIRECT("'"&amp;INDIRECT("Main!B9")&amp;"'!A68")))</f>
        <v/>
      </c>
      <c r="B54" s="34" t="str" cm="1">
        <f ca="1" t="array" ref="B54">IF((INDIRECT("'"&amp;INDIRECT("Main!B9")&amp;"'!B68"))=0,"",(INDIRECT("'"&amp;INDIRECT("Main!B9")&amp;"'!B68")))</f>
        <v/>
      </c>
      <c r="C54" s="35">
        <v>0</v>
      </c>
      <c r="D54" s="15"/>
      <c r="E54" s="15"/>
      <c r="F54" s="15"/>
      <c r="G54" s="15"/>
      <c r="H54" s="15"/>
      <c r="I54" s="45"/>
    </row>
    <row r="55" s="1" customFormat="1" ht="35" customHeight="1" spans="1:9">
      <c r="A55" s="36"/>
      <c r="B55" s="37" t="s">
        <v>48</v>
      </c>
      <c r="C55" s="35">
        <f>SUM(C47:C54)</f>
        <v>0</v>
      </c>
      <c r="D55" s="15"/>
      <c r="E55" s="15"/>
      <c r="F55" s="15"/>
      <c r="G55" s="15"/>
      <c r="H55" s="15"/>
      <c r="I55" s="45"/>
    </row>
    <row r="56" s="1" customFormat="1" ht="35" customHeight="1" spans="1:9">
      <c r="A56" s="83" t="s">
        <v>49</v>
      </c>
      <c r="B56" s="84"/>
      <c r="C56" s="85"/>
      <c r="D56" s="15"/>
      <c r="E56" s="15"/>
      <c r="F56" s="15"/>
      <c r="G56" s="15"/>
      <c r="H56" s="15"/>
      <c r="I56" s="45"/>
    </row>
    <row r="57" s="1" customFormat="1" ht="35" customHeight="1" spans="1:9">
      <c r="A57" s="34" t="str" cm="1">
        <f ca="1" t="array" ref="A57">IF((INDIRECT("'"&amp;INDIRECT("Main!B9")&amp;"'!A71"))=0,"",(INDIRECT("'"&amp;INDIRECT("Main!B9")&amp;"'!A71")))</f>
        <v/>
      </c>
      <c r="B57" s="34" t="str" cm="1">
        <f ca="1" t="array" ref="B57">IF((INDIRECT("'"&amp;INDIRECT("Main!B9")&amp;"'!B71"))=0,"",(INDIRECT("'"&amp;INDIRECT("Main!B9")&amp;"'!B71")))</f>
        <v/>
      </c>
      <c r="C57" s="35">
        <v>0</v>
      </c>
      <c r="D57" s="15"/>
      <c r="E57" s="15"/>
      <c r="F57" s="15"/>
      <c r="G57" s="15"/>
      <c r="H57" s="15"/>
      <c r="I57" s="45"/>
    </row>
    <row r="58" s="1" customFormat="1" ht="35" customHeight="1" spans="1:9">
      <c r="A58" s="34" t="str" cm="1">
        <f ca="1" t="array" ref="A58">IF((INDIRECT("'"&amp;INDIRECT("Main!B9")&amp;"'!A72"))=0,"",(INDIRECT("'"&amp;INDIRECT("Main!B9")&amp;"'!A72")))</f>
        <v/>
      </c>
      <c r="B58" s="34" t="str" cm="1">
        <f ca="1" t="array" ref="B58">IF((INDIRECT("'"&amp;INDIRECT("Main!B9")&amp;"'!B72"))=0,"",(INDIRECT("'"&amp;INDIRECT("Main!B9")&amp;"'!B72")))</f>
        <v/>
      </c>
      <c r="C58" s="35">
        <v>0</v>
      </c>
      <c r="D58" s="15"/>
      <c r="E58" s="15"/>
      <c r="F58" s="15"/>
      <c r="G58" s="15"/>
      <c r="H58" s="15"/>
      <c r="I58" s="45"/>
    </row>
    <row r="59" s="1" customFormat="1" ht="35" customHeight="1" spans="1:9">
      <c r="A59" s="34" t="str" cm="1">
        <f ca="1" t="array" ref="A59">IF((INDIRECT("'"&amp;INDIRECT("Main!B9")&amp;"'!A73"))=0,"",(INDIRECT("'"&amp;INDIRECT("Main!B9")&amp;"'!A73")))</f>
        <v/>
      </c>
      <c r="B59" s="34" t="str" cm="1">
        <f ca="1" t="array" ref="B59">IF((INDIRECT("'"&amp;INDIRECT("Main!B9")&amp;"'!B73"))=0,"",(INDIRECT("'"&amp;INDIRECT("Main!B9")&amp;"'!B73")))</f>
        <v/>
      </c>
      <c r="C59" s="35">
        <v>0</v>
      </c>
      <c r="D59" s="15"/>
      <c r="E59" s="15"/>
      <c r="F59" s="15"/>
      <c r="G59" s="15"/>
      <c r="H59" s="15"/>
      <c r="I59" s="45"/>
    </row>
    <row r="60" s="1" customFormat="1" ht="35" customHeight="1" spans="1:9">
      <c r="A60" s="34" t="str" cm="1">
        <f ca="1" t="array" ref="A60">IF((INDIRECT("'"&amp;INDIRECT("Main!B9")&amp;"'!A74"))=0,"",(INDIRECT("'"&amp;INDIRECT("Main!B9")&amp;"'!A74")))</f>
        <v/>
      </c>
      <c r="B60" s="34" t="str" cm="1">
        <f ca="1" t="array" ref="B60">IF((INDIRECT("'"&amp;INDIRECT("Main!B9")&amp;"'!B74"))=0,"",(INDIRECT("'"&amp;INDIRECT("Main!B9")&amp;"'!B74")))</f>
        <v/>
      </c>
      <c r="C60" s="35">
        <v>0</v>
      </c>
      <c r="D60" s="15"/>
      <c r="E60" s="15"/>
      <c r="F60" s="15"/>
      <c r="G60" s="15"/>
      <c r="H60" s="15"/>
      <c r="I60" s="45"/>
    </row>
    <row r="61" s="1" customFormat="1" ht="35" customHeight="1" spans="1:9">
      <c r="A61" s="34" t="str" cm="1">
        <f ca="1" t="array" ref="A61">IF((INDIRECT("'"&amp;INDIRECT("Main!B9")&amp;"'!A75"))=0,"",(INDIRECT("'"&amp;INDIRECT("Main!B9")&amp;"'!A75")))</f>
        <v/>
      </c>
      <c r="B61" s="34" t="str" cm="1">
        <f ca="1" t="array" ref="B61">IF((INDIRECT("'"&amp;INDIRECT("Main!B9")&amp;"'!B75"))=0,"",(INDIRECT("'"&amp;INDIRECT("Main!B9")&amp;"'!B75")))</f>
        <v/>
      </c>
      <c r="C61" s="35">
        <v>0</v>
      </c>
      <c r="D61" s="15"/>
      <c r="E61" s="15"/>
      <c r="F61" s="15"/>
      <c r="G61" s="15"/>
      <c r="H61" s="15"/>
      <c r="I61" s="45"/>
    </row>
    <row r="62" s="1" customFormat="1" ht="35" customHeight="1" spans="1:9">
      <c r="A62" s="34" t="str" cm="1">
        <f ca="1" t="array" ref="A62">IF((INDIRECT("'"&amp;INDIRECT("Main!B9")&amp;"'!A76"))=0,"",(INDIRECT("'"&amp;INDIRECT("Main!B9")&amp;"'!A76")))</f>
        <v/>
      </c>
      <c r="B62" s="34" t="str" cm="1">
        <f ca="1" t="array" ref="B62">IF((INDIRECT("'"&amp;INDIRECT("Main!B9")&amp;"'!B76"))=0,"",(INDIRECT("'"&amp;INDIRECT("Main!B9")&amp;"'!B76")))</f>
        <v/>
      </c>
      <c r="C62" s="35">
        <v>0</v>
      </c>
      <c r="D62" s="15"/>
      <c r="E62" s="15"/>
      <c r="F62" s="15"/>
      <c r="G62" s="15"/>
      <c r="H62" s="15"/>
      <c r="I62" s="45"/>
    </row>
    <row r="63" s="1" customFormat="1" ht="35" customHeight="1" spans="1:9">
      <c r="A63" s="34" t="str" cm="1">
        <f ca="1" t="array" ref="A63">IF((INDIRECT("'"&amp;INDIRECT("Main!B9")&amp;"'!A77"))=0,"",(INDIRECT("'"&amp;INDIRECT("Main!B9")&amp;"'!A77")))</f>
        <v/>
      </c>
      <c r="B63" s="34" t="str" cm="1">
        <f ca="1" t="array" ref="B63">IF((INDIRECT("'"&amp;INDIRECT("Main!B9")&amp;"'!B77"))=0,"",(INDIRECT("'"&amp;INDIRECT("Main!B9")&amp;"'!B77")))</f>
        <v/>
      </c>
      <c r="C63" s="35">
        <v>0</v>
      </c>
      <c r="D63" s="15"/>
      <c r="E63" s="15"/>
      <c r="F63" s="15"/>
      <c r="G63" s="15"/>
      <c r="H63" s="15"/>
      <c r="I63" s="45"/>
    </row>
    <row r="64" s="1" customFormat="1" ht="35" customHeight="1" spans="1:9">
      <c r="A64" s="34" t="str" cm="1">
        <f ca="1" t="array" ref="A64">IF((INDIRECT("'"&amp;INDIRECT("Main!B9")&amp;"'!A78"))=0,"",(INDIRECT("'"&amp;INDIRECT("Main!B9")&amp;"'!A78")))</f>
        <v/>
      </c>
      <c r="B64" s="34" t="str" cm="1">
        <f ca="1" t="array" ref="B64">IF((INDIRECT("'"&amp;INDIRECT("Main!B9")&amp;"'!B78"))=0,"",(INDIRECT("'"&amp;INDIRECT("Main!B9")&amp;"'!B78")))</f>
        <v/>
      </c>
      <c r="C64" s="35">
        <v>0</v>
      </c>
      <c r="D64" s="15"/>
      <c r="E64" s="15"/>
      <c r="F64" s="15"/>
      <c r="G64" s="15"/>
      <c r="H64" s="15"/>
      <c r="I64" s="45"/>
    </row>
    <row r="65" s="1" customFormat="1" ht="35" customHeight="1" spans="1:9">
      <c r="A65" s="34" t="str" cm="1">
        <f ca="1" t="array" ref="A65">IF((INDIRECT("'"&amp;INDIRECT("Main!B9")&amp;"'!A79"))=0,"",(INDIRECT("'"&amp;INDIRECT("Main!B9")&amp;"'!A79")))</f>
        <v/>
      </c>
      <c r="B65" s="34" t="str" cm="1">
        <f ca="1" t="array" ref="B65">IF((INDIRECT("'"&amp;INDIRECT("Main!B9")&amp;"'!B79"))=0,"",(INDIRECT("'"&amp;INDIRECT("Main!B9")&amp;"'!B79")))</f>
        <v/>
      </c>
      <c r="C65" s="35">
        <v>0</v>
      </c>
      <c r="D65" s="15"/>
      <c r="E65" s="15"/>
      <c r="F65" s="15"/>
      <c r="G65" s="15"/>
      <c r="H65" s="15"/>
      <c r="I65" s="45"/>
    </row>
    <row r="66" s="1" customFormat="1" ht="35" customHeight="1" spans="1:9">
      <c r="A66" s="46"/>
      <c r="B66" s="37" t="s">
        <v>48</v>
      </c>
      <c r="C66" s="35">
        <f>SUM(C57:C65)</f>
        <v>0</v>
      </c>
      <c r="D66" s="15"/>
      <c r="E66" s="15"/>
      <c r="F66" s="15"/>
      <c r="G66" s="15"/>
      <c r="H66" s="15"/>
      <c r="I66" s="45"/>
    </row>
    <row r="67" s="1" customFormat="1" ht="35" customHeight="1" spans="1:9">
      <c r="A67" s="83" t="s">
        <v>50</v>
      </c>
      <c r="B67" s="84"/>
      <c r="C67" s="85"/>
      <c r="D67" s="15"/>
      <c r="E67" s="15"/>
      <c r="F67" s="15"/>
      <c r="G67" s="15"/>
      <c r="H67" s="15"/>
      <c r="I67" s="45"/>
    </row>
    <row r="68" s="1" customFormat="1" ht="35" customHeight="1" spans="1:9">
      <c r="A68" s="47" t="str" cm="1">
        <f ca="1" t="array" ref="A68">IF((INDIRECT("'"&amp;INDIRECT("Main!B9")&amp;"'!A82"))=0,"",(INDIRECT("'"&amp;INDIRECT("Main!B9")&amp;"'!A82")))</f>
        <v/>
      </c>
      <c r="B68" s="47" t="str" cm="1">
        <f ca="1" t="array" ref="B68">IF((INDIRECT("'"&amp;INDIRECT("Main!B9")&amp;"'!B82"))=0,"",(INDIRECT("'"&amp;INDIRECT("Main!B9")&amp;"'!B82")))</f>
        <v/>
      </c>
      <c r="C68" s="35">
        <v>0</v>
      </c>
      <c r="D68" s="15"/>
      <c r="E68" s="15"/>
      <c r="F68" s="15"/>
      <c r="G68" s="15"/>
      <c r="H68" s="15"/>
      <c r="I68" s="45"/>
    </row>
    <row r="69" s="1" customFormat="1" ht="35" customHeight="1" spans="1:9">
      <c r="A69" s="47" t="str" cm="1">
        <f ca="1" t="array" ref="A69">IF((INDIRECT("'"&amp;INDIRECT("Main!B9")&amp;"'!A83"))=0,"",(INDIRECT("'"&amp;INDIRECT("Main!B9")&amp;"'!A83")))</f>
        <v/>
      </c>
      <c r="B69" s="47" t="str" cm="1">
        <f ca="1" t="array" ref="B69">IF((INDIRECT("'"&amp;INDIRECT("Main!B9")&amp;"'!B83"))=0,"",(INDIRECT("'"&amp;INDIRECT("Main!B9")&amp;"'!B83")))</f>
        <v/>
      </c>
      <c r="C69" s="35">
        <v>0</v>
      </c>
      <c r="D69" s="15"/>
      <c r="E69" s="15"/>
      <c r="F69" s="15"/>
      <c r="G69" s="15"/>
      <c r="H69" s="15"/>
      <c r="I69" s="45"/>
    </row>
    <row r="70" s="1" customFormat="1" ht="35" customHeight="1" spans="1:9">
      <c r="A70" s="47" t="str" cm="1">
        <f ca="1" t="array" ref="A70">IF((INDIRECT("'"&amp;INDIRECT("Main!B9")&amp;"'!A84"))=0,"",(INDIRECT("'"&amp;INDIRECT("Main!B9")&amp;"'!A84")))</f>
        <v/>
      </c>
      <c r="B70" s="47" t="str" cm="1">
        <f ca="1" t="array" ref="B70">IF((INDIRECT("'"&amp;INDIRECT("Main!B9")&amp;"'!B84"))=0,"",(INDIRECT("'"&amp;INDIRECT("Main!B9")&amp;"'!B84")))</f>
        <v/>
      </c>
      <c r="C70" s="35">
        <v>0</v>
      </c>
      <c r="D70" s="15"/>
      <c r="E70" s="15"/>
      <c r="F70" s="15"/>
      <c r="G70" s="15"/>
      <c r="H70" s="15"/>
      <c r="I70" s="45"/>
    </row>
    <row r="71" s="1" customFormat="1" ht="35" customHeight="1" spans="1:9">
      <c r="A71" s="47" t="str" cm="1">
        <f ca="1" t="array" ref="A71">IF((INDIRECT("'"&amp;INDIRECT("Main!B9")&amp;"'!A85"))=0,"",(INDIRECT("'"&amp;INDIRECT("Main!B9")&amp;"'!A85")))</f>
        <v/>
      </c>
      <c r="B71" s="47" t="str" cm="1">
        <f ca="1" t="array" ref="B71">IF((INDIRECT("'"&amp;INDIRECT("Main!B9")&amp;"'!B85"))=0,"",(INDIRECT("'"&amp;INDIRECT("Main!B9")&amp;"'!B85")))</f>
        <v/>
      </c>
      <c r="C71" s="35">
        <v>0</v>
      </c>
      <c r="D71" s="15"/>
      <c r="E71" s="15"/>
      <c r="F71" s="15"/>
      <c r="G71" s="15"/>
      <c r="H71" s="15"/>
      <c r="I71" s="45"/>
    </row>
    <row r="72" s="1" customFormat="1" ht="35" customHeight="1" spans="1:9">
      <c r="A72" s="47" t="str" cm="1">
        <f ca="1" t="array" ref="A72">IF((INDIRECT("'"&amp;INDIRECT("Main!B9")&amp;"'!A86"))=0,"",(INDIRECT("'"&amp;INDIRECT("Main!B9")&amp;"'!A86")))</f>
        <v/>
      </c>
      <c r="B72" s="47" t="str" cm="1">
        <f ca="1" t="array" ref="B72">IF((INDIRECT("'"&amp;INDIRECT("Main!B9")&amp;"'!B86"))=0,"",(INDIRECT("'"&amp;INDIRECT("Main!B9")&amp;"'!B86")))</f>
        <v/>
      </c>
      <c r="C72" s="35">
        <v>0</v>
      </c>
      <c r="D72" s="15"/>
      <c r="E72" s="15"/>
      <c r="F72" s="15"/>
      <c r="G72" s="15"/>
      <c r="H72" s="15"/>
      <c r="I72" s="45"/>
    </row>
    <row r="73" s="1" customFormat="1" ht="35" customHeight="1" spans="1:9">
      <c r="A73" s="47" t="str" cm="1">
        <f ca="1" t="array" ref="A73">IF((INDIRECT("'"&amp;INDIRECT("Main!B9")&amp;"'!A87"))=0,"",(INDIRECT("'"&amp;INDIRECT("Main!B9")&amp;"'!A87")))</f>
        <v/>
      </c>
      <c r="B73" s="47" t="str" cm="1">
        <f ca="1" t="array" ref="B73">IF((INDIRECT("'"&amp;INDIRECT("Main!B9")&amp;"'!B87"))=0,"",(INDIRECT("'"&amp;INDIRECT("Main!B9")&amp;"'!B87")))</f>
        <v/>
      </c>
      <c r="C73" s="35">
        <v>0</v>
      </c>
      <c r="D73" s="15"/>
      <c r="E73" s="15"/>
      <c r="F73" s="15"/>
      <c r="G73" s="15"/>
      <c r="H73" s="15"/>
      <c r="I73" s="45"/>
    </row>
    <row r="74" s="1" customFormat="1" ht="35" customHeight="1" spans="1:9">
      <c r="A74" s="47" t="str" cm="1">
        <f ca="1" t="array" ref="A74">IF((INDIRECT("'"&amp;INDIRECT("Main!B9")&amp;"'!A88"))=0,"",(INDIRECT("'"&amp;INDIRECT("Main!B9")&amp;"'!A88")))</f>
        <v/>
      </c>
      <c r="B74" s="47" t="str" cm="1">
        <f ca="1" t="array" ref="B74">IF((INDIRECT("'"&amp;INDIRECT("Main!B9")&amp;"'!B88"))=0,"",(INDIRECT("'"&amp;INDIRECT("Main!B9")&amp;"'!B88")))</f>
        <v/>
      </c>
      <c r="C74" s="35">
        <v>0</v>
      </c>
      <c r="D74" s="15"/>
      <c r="E74" s="15"/>
      <c r="F74" s="15"/>
      <c r="G74" s="15"/>
      <c r="H74" s="15"/>
      <c r="I74" s="45"/>
    </row>
    <row r="75" s="1" customFormat="1" ht="35" customHeight="1" spans="1:9">
      <c r="A75" s="46"/>
      <c r="B75" s="37" t="s">
        <v>48</v>
      </c>
      <c r="C75" s="35">
        <f>SUM(C68:C74)</f>
        <v>0</v>
      </c>
      <c r="D75" s="15"/>
      <c r="E75" s="15"/>
      <c r="F75" s="15"/>
      <c r="G75" s="15"/>
      <c r="H75" s="15"/>
      <c r="I75" s="45"/>
    </row>
    <row r="76" s="1" customFormat="1" ht="35" customHeight="1" spans="1:9">
      <c r="A76" s="83" t="s">
        <v>51</v>
      </c>
      <c r="B76" s="84"/>
      <c r="C76" s="85"/>
      <c r="D76" s="15"/>
      <c r="E76" s="15"/>
      <c r="F76" s="15"/>
      <c r="G76" s="15"/>
      <c r="H76" s="15"/>
      <c r="I76" s="45"/>
    </row>
    <row r="77" s="1" customFormat="1" ht="35" customHeight="1" spans="1:9">
      <c r="A77" s="34" t="str" cm="1">
        <f ca="1" t="array" ref="A77">IF((INDIRECT("'"&amp;INDIRECT("Main!B9")&amp;"'!A91"))=0,"",(INDIRECT("'"&amp;INDIRECT("Main!B9")&amp;"'!A91")))</f>
        <v/>
      </c>
      <c r="B77" s="34" t="str" cm="1">
        <f ca="1" t="array" ref="B77">IF((INDIRECT("'"&amp;INDIRECT("Main!B9")&amp;"'!B91"))=0,"",(INDIRECT("'"&amp;INDIRECT("Main!B9")&amp;"'!B91")))</f>
        <v/>
      </c>
      <c r="C77" s="35">
        <v>0</v>
      </c>
      <c r="D77" s="15"/>
      <c r="E77" s="15"/>
      <c r="F77" s="15"/>
      <c r="G77" s="15"/>
      <c r="H77" s="15"/>
      <c r="I77" s="45"/>
    </row>
    <row r="78" s="1" customFormat="1" ht="35" customHeight="1" spans="1:9">
      <c r="A78" s="34" t="str" cm="1">
        <f ca="1" t="array" ref="A78">IF((INDIRECT("'"&amp;INDIRECT("Main!B9")&amp;"'!A92"))=0,"",(INDIRECT("'"&amp;INDIRECT("Main!B9")&amp;"'!A92")))</f>
        <v/>
      </c>
      <c r="B78" s="34" t="str" cm="1">
        <f ca="1" t="array" ref="B78">IF((INDIRECT("'"&amp;INDIRECT("Main!B9")&amp;"'!B92"))=0,"",(INDIRECT("'"&amp;INDIRECT("Main!B9")&amp;"'!B92")))</f>
        <v/>
      </c>
      <c r="C78" s="35">
        <v>0</v>
      </c>
      <c r="D78" s="15"/>
      <c r="E78" s="15"/>
      <c r="F78" s="15"/>
      <c r="G78" s="15"/>
      <c r="H78" s="15"/>
      <c r="I78" s="45"/>
    </row>
    <row r="79" s="1" customFormat="1" ht="35" customHeight="1" spans="1:9">
      <c r="A79" s="34" t="str" cm="1">
        <f ca="1" t="array" ref="A79">IF((INDIRECT("'"&amp;INDIRECT("Main!B9")&amp;"'!A93"))=0,"",(INDIRECT("'"&amp;INDIRECT("Main!B9")&amp;"'!A93")))</f>
        <v/>
      </c>
      <c r="B79" s="34" t="str" cm="1">
        <f ca="1" t="array" ref="B79">IF((INDIRECT("'"&amp;INDIRECT("Main!B9")&amp;"'!B93"))=0,"",(INDIRECT("'"&amp;INDIRECT("Main!B9")&amp;"'!B93")))</f>
        <v/>
      </c>
      <c r="C79" s="35">
        <v>0</v>
      </c>
      <c r="D79" s="15"/>
      <c r="E79" s="15"/>
      <c r="F79" s="15"/>
      <c r="G79" s="15"/>
      <c r="H79" s="15"/>
      <c r="I79" s="45"/>
    </row>
    <row r="80" s="1" customFormat="1" ht="35" customHeight="1" spans="1:9">
      <c r="A80" s="34" t="str" cm="1">
        <f ca="1" t="array" ref="A80">IF((INDIRECT("'"&amp;INDIRECT("Main!B9")&amp;"'!A94"))=0,"",(INDIRECT("'"&amp;INDIRECT("Main!B9")&amp;"'!A94")))</f>
        <v/>
      </c>
      <c r="B80" s="34" t="str" cm="1">
        <f ca="1" t="array" ref="B80">IF((INDIRECT("'"&amp;INDIRECT("Main!B9")&amp;"'!B94"))=0,"",(INDIRECT("'"&amp;INDIRECT("Main!B9")&amp;"'!B94")))</f>
        <v/>
      </c>
      <c r="C80" s="35">
        <v>0</v>
      </c>
      <c r="D80" s="15"/>
      <c r="E80" s="15"/>
      <c r="F80" s="15"/>
      <c r="G80" s="15"/>
      <c r="H80" s="15"/>
      <c r="I80" s="45"/>
    </row>
    <row r="81" s="1" customFormat="1" ht="35" customHeight="1" spans="1:9">
      <c r="A81" s="34" t="str" cm="1">
        <f ca="1" t="array" ref="A81">IF((INDIRECT("'"&amp;INDIRECT("Main!B9")&amp;"'!A95"))=0,"",(INDIRECT("'"&amp;INDIRECT("Main!B9")&amp;"'!A95")))</f>
        <v/>
      </c>
      <c r="B81" s="34" t="str" cm="1">
        <f ca="1" t="array" ref="B81">IF((INDIRECT("'"&amp;INDIRECT("Main!B9")&amp;"'!B95"))=0,"",(INDIRECT("'"&amp;INDIRECT("Main!B9")&amp;"'!B95")))</f>
        <v/>
      </c>
      <c r="C81" s="35">
        <v>0</v>
      </c>
      <c r="D81" s="15"/>
      <c r="E81" s="15"/>
      <c r="F81" s="15"/>
      <c r="G81" s="15"/>
      <c r="H81" s="15"/>
      <c r="I81" s="45"/>
    </row>
    <row r="82" s="1" customFormat="1" ht="35" customHeight="1" spans="1:9">
      <c r="A82" s="34" t="str" cm="1">
        <f ca="1" t="array" ref="A82">IF((INDIRECT("'"&amp;INDIRECT("Main!B9")&amp;"'!A96"))=0,"",(INDIRECT("'"&amp;INDIRECT("Main!B9")&amp;"'!A96")))</f>
        <v/>
      </c>
      <c r="B82" s="34" t="str" cm="1">
        <f ca="1" t="array" ref="B82">IF((INDIRECT("'"&amp;INDIRECT("Main!B9")&amp;"'!B96"))=0,"",(INDIRECT("'"&amp;INDIRECT("Main!B9")&amp;"'!B96")))</f>
        <v/>
      </c>
      <c r="C82" s="35">
        <v>0</v>
      </c>
      <c r="D82" s="15"/>
      <c r="E82" s="15"/>
      <c r="F82" s="15"/>
      <c r="G82" s="15"/>
      <c r="H82" s="15"/>
      <c r="I82" s="45"/>
    </row>
    <row r="83" s="1" customFormat="1" ht="35" customHeight="1" spans="1:9">
      <c r="A83" s="34" t="str" cm="1">
        <f ca="1" t="array" ref="A83">IF((INDIRECT("'"&amp;INDIRECT("Main!B9")&amp;"'!A97"))=0,"",(INDIRECT("'"&amp;INDIRECT("Main!B9")&amp;"'!A97")))</f>
        <v/>
      </c>
      <c r="B83" s="34" t="str" cm="1">
        <f ca="1" t="array" ref="B83">IF((INDIRECT("'"&amp;INDIRECT("Main!B9")&amp;"'!B97"))=0,"",(INDIRECT("'"&amp;INDIRECT("Main!B9")&amp;"'!B97")))</f>
        <v/>
      </c>
      <c r="C83" s="35">
        <v>0</v>
      </c>
      <c r="D83" s="15"/>
      <c r="E83" s="15"/>
      <c r="F83" s="15"/>
      <c r="G83" s="15"/>
      <c r="H83" s="15"/>
      <c r="I83" s="45"/>
    </row>
    <row r="84" s="1" customFormat="1" ht="35" customHeight="1" spans="1:9">
      <c r="A84" s="34" t="str" cm="1">
        <f ca="1" t="array" ref="A84">IF((INDIRECT("'"&amp;INDIRECT("Main!B9")&amp;"'!A98"))=0,"",(INDIRECT("'"&amp;INDIRECT("Main!B9")&amp;"'!A98")))</f>
        <v/>
      </c>
      <c r="B84" s="34" t="str" cm="1">
        <f ca="1" t="array" ref="B84">IF((INDIRECT("'"&amp;INDIRECT("Main!B9")&amp;"'!B98"))=0,"",(INDIRECT("'"&amp;INDIRECT("Main!B9")&amp;"'!B98")))</f>
        <v/>
      </c>
      <c r="C84" s="35">
        <v>0</v>
      </c>
      <c r="D84" s="15"/>
      <c r="E84" s="15"/>
      <c r="F84" s="15"/>
      <c r="G84" s="15"/>
      <c r="H84" s="15"/>
      <c r="I84" s="45"/>
    </row>
    <row r="85" s="1" customFormat="1" ht="35" customHeight="1" spans="1:9">
      <c r="A85" s="46"/>
      <c r="B85" s="37" t="s">
        <v>48</v>
      </c>
      <c r="C85" s="35">
        <f>SUM(C77:C84)</f>
        <v>0</v>
      </c>
      <c r="D85" s="15"/>
      <c r="E85" s="15"/>
      <c r="F85" s="15"/>
      <c r="G85" s="15"/>
      <c r="H85" s="15"/>
      <c r="I85" s="45"/>
    </row>
    <row r="86" s="1" customFormat="1" ht="35" customHeight="1" spans="1:9">
      <c r="A86" s="83" t="s">
        <v>52</v>
      </c>
      <c r="B86" s="84"/>
      <c r="C86" s="85"/>
      <c r="D86" s="15"/>
      <c r="E86" s="15"/>
      <c r="F86" s="15"/>
      <c r="G86" s="15"/>
      <c r="H86" s="15"/>
      <c r="I86" s="45"/>
    </row>
    <row r="87" s="1" customFormat="1" ht="35" customHeight="1" spans="1:9">
      <c r="A87" s="34" t="str" cm="1">
        <f ca="1" t="array" ref="A87">IF((INDIRECT("'"&amp;INDIRECT("Main!B9")&amp;"'!A101"))=0,"",(INDIRECT("'"&amp;INDIRECT("Main!B9")&amp;"'!A101")))</f>
        <v/>
      </c>
      <c r="B87" s="34" t="str" cm="1">
        <f ca="1" t="array" ref="B87">IF((INDIRECT("'"&amp;INDIRECT("Main!B9")&amp;"'!B101"))=0,"",(INDIRECT("'"&amp;INDIRECT("Main!B9")&amp;"'!B101")))</f>
        <v/>
      </c>
      <c r="C87" s="35">
        <v>0</v>
      </c>
      <c r="D87" s="15"/>
      <c r="E87" s="15"/>
      <c r="F87" s="15"/>
      <c r="G87" s="15"/>
      <c r="H87" s="15"/>
      <c r="I87" s="45"/>
    </row>
    <row r="88" s="1" customFormat="1" ht="35" customHeight="1" spans="1:9">
      <c r="A88" s="34" t="str" cm="1">
        <f ca="1" t="array" ref="A88">IF((INDIRECT("'"&amp;INDIRECT("Main!B9")&amp;"'!A102"))=0,"",(INDIRECT("'"&amp;INDIRECT("Main!B9")&amp;"'!A102")))</f>
        <v/>
      </c>
      <c r="B88" s="34" t="str" cm="1">
        <f ca="1" t="array" ref="B88">IF((INDIRECT("'"&amp;INDIRECT("Main!B9")&amp;"'!B102"))=0,"",(INDIRECT("'"&amp;INDIRECT("Main!B9")&amp;"'!B102")))</f>
        <v/>
      </c>
      <c r="C88" s="35">
        <v>0</v>
      </c>
      <c r="D88" s="15"/>
      <c r="E88" s="15"/>
      <c r="F88" s="15"/>
      <c r="G88" s="15"/>
      <c r="H88" s="15"/>
      <c r="I88" s="45"/>
    </row>
    <row r="89" s="1" customFormat="1" ht="35" customHeight="1" spans="1:9">
      <c r="A89" s="34" t="str" cm="1">
        <f ca="1" t="array" ref="A89">IF((INDIRECT("'"&amp;INDIRECT("Main!B9")&amp;"'!A103"))=0,"",(INDIRECT("'"&amp;INDIRECT("Main!B9")&amp;"'!A103")))</f>
        <v/>
      </c>
      <c r="B89" s="34" t="str" cm="1">
        <f ca="1" t="array" ref="B89">IF((INDIRECT("'"&amp;INDIRECT("Main!B9")&amp;"'!B103"))=0,"",(INDIRECT("'"&amp;INDIRECT("Main!B9")&amp;"'!B103")))</f>
        <v/>
      </c>
      <c r="C89" s="35">
        <v>0</v>
      </c>
      <c r="D89" s="15"/>
      <c r="E89" s="15"/>
      <c r="F89" s="15"/>
      <c r="G89" s="15"/>
      <c r="H89" s="15"/>
      <c r="I89" s="45"/>
    </row>
    <row r="90" s="1" customFormat="1" ht="35" customHeight="1" spans="1:9">
      <c r="A90" s="34" t="str" cm="1">
        <f ca="1" t="array" ref="A90">IF((INDIRECT("'"&amp;INDIRECT("Main!B9")&amp;"'!A104"))=0,"",(INDIRECT("'"&amp;INDIRECT("Main!B9")&amp;"'!A104")))</f>
        <v/>
      </c>
      <c r="B90" s="34" t="str" cm="1">
        <f ca="1" t="array" ref="B90">IF((INDIRECT("'"&amp;INDIRECT("Main!B9")&amp;"'!B104"))=0,"",(INDIRECT("'"&amp;INDIRECT("Main!B9")&amp;"'!B104")))</f>
        <v/>
      </c>
      <c r="C90" s="35">
        <v>0</v>
      </c>
      <c r="D90" s="15"/>
      <c r="E90" s="62"/>
      <c r="F90" s="15"/>
      <c r="G90" s="15"/>
      <c r="H90" s="15"/>
      <c r="I90" s="45"/>
    </row>
    <row r="91" s="1" customFormat="1" ht="35" customHeight="1" spans="1:9">
      <c r="A91" s="34" t="str" cm="1">
        <f ca="1" t="array" ref="A91">IF((INDIRECT("'"&amp;INDIRECT("Main!B9")&amp;"'!A105"))=0,"",(INDIRECT("'"&amp;INDIRECT("Main!B9")&amp;"'!A105")))</f>
        <v/>
      </c>
      <c r="B91" s="34" t="str" cm="1">
        <f ca="1" t="array" ref="B91">IF((INDIRECT("'"&amp;INDIRECT("Main!B9")&amp;"'!B105"))=0,"",(INDIRECT("'"&amp;INDIRECT("Main!B9")&amp;"'!B105")))</f>
        <v/>
      </c>
      <c r="C91" s="35">
        <v>0</v>
      </c>
      <c r="D91" s="15"/>
      <c r="E91" s="15"/>
      <c r="F91" s="15"/>
      <c r="G91" s="15"/>
      <c r="H91" s="15"/>
      <c r="I91" s="45"/>
    </row>
    <row r="92" s="1" customFormat="1" ht="35" customHeight="1" spans="1:9">
      <c r="A92" s="34" t="str" cm="1">
        <f ca="1" t="array" ref="A92">IF((INDIRECT("'"&amp;INDIRECT("Main!B9")&amp;"'!A106"))=0,"",(INDIRECT("'"&amp;INDIRECT("Main!B9")&amp;"'!A106")))</f>
        <v/>
      </c>
      <c r="B92" s="34" t="str" cm="1">
        <f ca="1" t="array" ref="B92">IF((INDIRECT("'"&amp;INDIRECT("Main!B9")&amp;"'!B106"))=0,"",(INDIRECT("'"&amp;INDIRECT("Main!B9")&amp;"'!B106")))</f>
        <v/>
      </c>
      <c r="C92" s="35">
        <v>0</v>
      </c>
      <c r="D92" s="15"/>
      <c r="E92" s="15"/>
      <c r="F92" s="15"/>
      <c r="G92" s="15"/>
      <c r="H92" s="15"/>
      <c r="I92" s="45"/>
    </row>
    <row r="93" s="1" customFormat="1" ht="35" customHeight="1" spans="1:9">
      <c r="A93" s="34" t="str" cm="1">
        <f ca="1" t="array" ref="A93">IF((INDIRECT("'"&amp;INDIRECT("Main!B9")&amp;"'!A107"))=0,"",(INDIRECT("'"&amp;INDIRECT("Main!B9")&amp;"'!A107")))</f>
        <v/>
      </c>
      <c r="B93" s="34" t="str" cm="1">
        <f ca="1" t="array" ref="B93">IF((INDIRECT("'"&amp;INDIRECT("Main!B9")&amp;"'!B107"))=0,"",(INDIRECT("'"&amp;INDIRECT("Main!B9")&amp;"'!B107")))</f>
        <v/>
      </c>
      <c r="C93" s="35">
        <v>0</v>
      </c>
      <c r="D93" s="15"/>
      <c r="E93" s="15"/>
      <c r="F93" s="15"/>
      <c r="G93" s="15"/>
      <c r="H93" s="15"/>
      <c r="I93" s="45"/>
    </row>
    <row r="94" s="1" customFormat="1" ht="35" customHeight="1" spans="1:9">
      <c r="A94" s="34" t="str" cm="1">
        <f ca="1" t="array" ref="A94">IF((INDIRECT("'"&amp;INDIRECT("Main!B9")&amp;"'!A108"))=0,"",(INDIRECT("'"&amp;INDIRECT("Main!B9")&amp;"'!A108")))</f>
        <v/>
      </c>
      <c r="B94" s="34" t="str" cm="1">
        <f ca="1" t="array" ref="B94">IF((INDIRECT("'"&amp;INDIRECT("Main!B9")&amp;"'!B108"))=0,"",(INDIRECT("'"&amp;INDIRECT("Main!B9")&amp;"'!B108")))</f>
        <v/>
      </c>
      <c r="C94" s="35">
        <v>0</v>
      </c>
      <c r="D94" s="15"/>
      <c r="E94" s="15"/>
      <c r="F94" s="15"/>
      <c r="G94" s="15"/>
      <c r="H94" s="15"/>
      <c r="I94" s="45"/>
    </row>
    <row r="95" s="1" customFormat="1" ht="35" customHeight="1" spans="1:9">
      <c r="A95" s="47"/>
      <c r="B95" s="37" t="s">
        <v>48</v>
      </c>
      <c r="C95" s="35">
        <f>SUM(C87:C94)</f>
        <v>0</v>
      </c>
      <c r="D95" s="15"/>
      <c r="E95" s="15"/>
      <c r="F95" s="15"/>
      <c r="G95" s="15"/>
      <c r="H95" s="15"/>
      <c r="I95" s="45"/>
    </row>
    <row r="96" s="1" customFormat="1" ht="35" customHeight="1" spans="1:9">
      <c r="A96" s="46"/>
      <c r="B96" s="37" t="s">
        <v>53</v>
      </c>
      <c r="C96" s="35">
        <f>C55+C66+C75+C85+C95</f>
        <v>0</v>
      </c>
      <c r="D96" s="15"/>
      <c r="E96" s="15"/>
      <c r="F96" s="15"/>
      <c r="G96" s="15"/>
      <c r="H96" s="15"/>
      <c r="I96" s="45"/>
    </row>
    <row r="97" s="1" customFormat="1" ht="35" customHeight="1" spans="1:9">
      <c r="A97" s="83" t="s">
        <v>54</v>
      </c>
      <c r="B97" s="84"/>
      <c r="C97" s="85"/>
      <c r="D97" s="15"/>
      <c r="E97" s="15"/>
      <c r="F97" s="15"/>
      <c r="G97" s="15"/>
      <c r="H97" s="15"/>
      <c r="I97" s="45"/>
    </row>
    <row r="98" s="1" customFormat="1" ht="35" customHeight="1" spans="1:9">
      <c r="A98" s="34" t="str" cm="1">
        <f ca="1" t="array" ref="A98">IF((INDIRECT("'"&amp;INDIRECT("Main!B9")&amp;"'!A112"))=0,"",(INDIRECT("'"&amp;INDIRECT("Main!B9")&amp;"'!A112")))</f>
        <v/>
      </c>
      <c r="B98" s="34" t="str" cm="1">
        <f ca="1" t="array" ref="B98">IF((INDIRECT("'"&amp;INDIRECT("Main!B9")&amp;"'!B112"))=0,"",(INDIRECT("'"&amp;INDIRECT("Main!B9")&amp;"'!B112")))</f>
        <v/>
      </c>
      <c r="C98" s="35" cm="1">
        <f ca="1" t="array" ref="C98">INDIRECT("'"&amp;INDIRECT("Main!B36")&amp;"'!C98")+SUM(E118+E145+E172)</f>
        <v>0</v>
      </c>
      <c r="D98" s="15"/>
      <c r="E98" s="15"/>
      <c r="F98" s="15"/>
      <c r="G98" s="15"/>
      <c r="H98" s="15"/>
      <c r="I98" s="45"/>
    </row>
    <row r="99" s="1" customFormat="1" ht="35" customHeight="1" spans="1:9">
      <c r="A99" s="34" t="str" cm="1">
        <f ca="1" t="array" ref="A99">IF((INDIRECT("'"&amp;INDIRECT("Main!B9")&amp;"'!A113"))=0,"",(INDIRECT("'"&amp;INDIRECT("Main!B9")&amp;"'!A113")))</f>
        <v/>
      </c>
      <c r="B99" s="34" t="str" cm="1">
        <f ca="1" t="array" ref="B99">IF((INDIRECT("'"&amp;INDIRECT("Main!B9")&amp;"'!B113"))=0,"",(INDIRECT("'"&amp;INDIRECT("Main!B9")&amp;"'!B113")))</f>
        <v/>
      </c>
      <c r="C99" s="35" cm="1">
        <f ca="1" t="array" ref="C99">INDIRECT("'"&amp;INDIRECT("Main!B36")&amp;"'!C99")+SUM(E119+E146+E173)</f>
        <v>0</v>
      </c>
      <c r="D99" s="15"/>
      <c r="E99" s="15"/>
      <c r="F99" s="15"/>
      <c r="G99" s="15"/>
      <c r="H99" s="15"/>
      <c r="I99" s="45"/>
    </row>
    <row r="100" s="1" customFormat="1" ht="35" customHeight="1" spans="1:9">
      <c r="A100" s="34" t="str" cm="1">
        <f ca="1" t="array" ref="A100">IF((INDIRECT("'"&amp;INDIRECT("Main!B9")&amp;"'!A114"))=0,"",(INDIRECT("'"&amp;INDIRECT("Main!B9")&amp;"'!A114")))</f>
        <v/>
      </c>
      <c r="B100" s="34" t="str" cm="1">
        <f ca="1" t="array" ref="B100">IF((INDIRECT("'"&amp;INDIRECT("Main!B9")&amp;"'!B114"))=0,"",(INDIRECT("'"&amp;INDIRECT("Main!B9")&amp;"'!B114")))</f>
        <v/>
      </c>
      <c r="C100" s="35" cm="1">
        <f ca="1" t="array" ref="C100">INDIRECT("'"&amp;INDIRECT("Main!B36")&amp;"'!C100")+SUM(E120+E147+E174)</f>
        <v>0</v>
      </c>
      <c r="D100" s="15"/>
      <c r="E100" s="15"/>
      <c r="F100" s="15"/>
      <c r="G100" s="15"/>
      <c r="H100" s="15"/>
      <c r="I100" s="45"/>
    </row>
    <row r="101" s="1" customFormat="1" ht="35" customHeight="1" spans="1:9">
      <c r="A101" s="34" t="str" cm="1">
        <f ca="1" t="array" ref="A101">IF((INDIRECT("'"&amp;INDIRECT("Main!B9")&amp;"'!A115"))=0,"",(INDIRECT("'"&amp;INDIRECT("Main!B9")&amp;"'!A115")))</f>
        <v/>
      </c>
      <c r="B101" s="34" t="str" cm="1">
        <f ca="1" t="array" ref="B101">IF((INDIRECT("'"&amp;INDIRECT("Main!B9")&amp;"'!B115"))=0,"",(INDIRECT("'"&amp;INDIRECT("Main!B9")&amp;"'!B115")))</f>
        <v/>
      </c>
      <c r="C101" s="35" cm="1">
        <f ca="1" t="array" ref="C101">INDIRECT("'"&amp;INDIRECT("Main!B36")&amp;"'!C101")+SUM(E121+E148+E175)</f>
        <v>0</v>
      </c>
      <c r="D101" s="15"/>
      <c r="E101" s="15"/>
      <c r="F101" s="15"/>
      <c r="G101" s="15"/>
      <c r="H101" s="15"/>
      <c r="I101" s="45"/>
    </row>
    <row r="102" s="1" customFormat="1" ht="35" customHeight="1" spans="1:9">
      <c r="A102" s="34" t="str" cm="1">
        <f ca="1" t="array" ref="A102">IF((INDIRECT("'"&amp;INDIRECT("Main!B9")&amp;"'!A116"))=0,"",(INDIRECT("'"&amp;INDIRECT("Main!B9")&amp;"'!A116")))</f>
        <v/>
      </c>
      <c r="B102" s="34" t="str" cm="1">
        <f ca="1" t="array" ref="B102">IF((INDIRECT("'"&amp;INDIRECT("Main!B9")&amp;"'!B116"))=0,"",(INDIRECT("'"&amp;INDIRECT("Main!B9")&amp;"'!B116")))</f>
        <v/>
      </c>
      <c r="C102" s="35" cm="1">
        <f ca="1" t="array" ref="C102">INDIRECT("'"&amp;INDIRECT("Main!B36")&amp;"'!C102")+SUM(E122+E149+E176)</f>
        <v>0</v>
      </c>
      <c r="D102" s="15"/>
      <c r="E102" s="15"/>
      <c r="F102" s="15"/>
      <c r="G102" s="15"/>
      <c r="H102" s="15"/>
      <c r="I102" s="45"/>
    </row>
    <row r="103" s="1" customFormat="1" ht="35" customHeight="1" spans="1:9">
      <c r="A103" s="34" t="str" cm="1">
        <f ca="1" t="array" ref="A103">IF((INDIRECT("'"&amp;INDIRECT("Main!B9")&amp;"'!A117"))=0,"",(INDIRECT("'"&amp;INDIRECT("Main!B9")&amp;"'!A117")))</f>
        <v/>
      </c>
      <c r="B103" s="34" t="str" cm="1">
        <f ca="1" t="array" ref="B103">IF((INDIRECT("'"&amp;INDIRECT("Main!B9")&amp;"'!B117"))=0,"",(INDIRECT("'"&amp;INDIRECT("Main!B9")&amp;"'!B117")))</f>
        <v/>
      </c>
      <c r="C103" s="35" cm="1">
        <f ca="1" t="array" ref="C103">INDIRECT("'"&amp;INDIRECT("Main!B36")&amp;"'!C103")+SUM(E123+E150+E177)</f>
        <v>0</v>
      </c>
      <c r="D103" s="15"/>
      <c r="E103" s="15"/>
      <c r="F103" s="15"/>
      <c r="G103" s="15"/>
      <c r="H103" s="15"/>
      <c r="I103" s="45"/>
    </row>
    <row r="104" s="1" customFormat="1" ht="35" customHeight="1" spans="1:9">
      <c r="A104" s="34" t="str" cm="1">
        <f ca="1" t="array" ref="A104">IF((INDIRECT("'"&amp;INDIRECT("Main!B9")&amp;"'!A118"))=0,"",(INDIRECT("'"&amp;INDIRECT("Main!B9")&amp;"'!A118")))</f>
        <v/>
      </c>
      <c r="B104" s="34" t="str" cm="1">
        <f ca="1" t="array" ref="B104">IF((INDIRECT("'"&amp;INDIRECT("Main!B9")&amp;"'!B118"))=0,"",(INDIRECT("'"&amp;INDIRECT("Main!B9")&amp;"'!B118")))</f>
        <v/>
      </c>
      <c r="C104" s="35" cm="1">
        <f ca="1" t="array" ref="C104">INDIRECT("'"&amp;INDIRECT("Main!B36")&amp;"'!C104")+SUM(E124+E151+E178)</f>
        <v>0</v>
      </c>
      <c r="D104" s="15"/>
      <c r="E104" s="15"/>
      <c r="F104" s="15"/>
      <c r="G104" s="15"/>
      <c r="H104" s="15"/>
      <c r="I104" s="45"/>
    </row>
    <row r="105" s="1" customFormat="1" ht="35" customHeight="1" spans="1:9">
      <c r="A105" s="34" t="str" cm="1">
        <f ca="1" t="array" ref="A105">IF((INDIRECT("'"&amp;INDIRECT("Main!B9")&amp;"'!A119"))=0,"",(INDIRECT("'"&amp;INDIRECT("Main!B9")&amp;"'!A119")))</f>
        <v/>
      </c>
      <c r="B105" s="34" t="str" cm="1">
        <f ca="1" t="array" ref="B105">IF((INDIRECT("'"&amp;INDIRECT("Main!B9")&amp;"'!B119"))=0,"",(INDIRECT("'"&amp;INDIRECT("Main!B9")&amp;"'!B119")))</f>
        <v/>
      </c>
      <c r="C105" s="35" cm="1">
        <f ca="1" t="array" ref="C105">INDIRECT("'"&amp;INDIRECT("Main!B36")&amp;"'!C105")+SUM(E125+E152+E179)</f>
        <v>0</v>
      </c>
      <c r="D105" s="15"/>
      <c r="E105" s="15"/>
      <c r="F105" s="15"/>
      <c r="G105" s="15"/>
      <c r="H105" s="15"/>
      <c r="I105" s="45"/>
    </row>
    <row r="106" s="1" customFormat="1" ht="35" customHeight="1" spans="1:9">
      <c r="A106" s="34" t="str" cm="1">
        <f ca="1" t="array" ref="A106">IF((INDIRECT("'"&amp;INDIRECT("Main!B9")&amp;"'!A120"))=0,"",(INDIRECT("'"&amp;INDIRECT("Main!B9")&amp;"'!A120")))</f>
        <v/>
      </c>
      <c r="B106" s="34" t="str" cm="1">
        <f ca="1" t="array" ref="B106">IF((INDIRECT("'"&amp;INDIRECT("Main!B9")&amp;"'!B120"))=0,"",(INDIRECT("'"&amp;INDIRECT("Main!B9")&amp;"'!B120")))</f>
        <v/>
      </c>
      <c r="C106" s="35" cm="1">
        <f ca="1" t="array" ref="C106">INDIRECT("'"&amp;INDIRECT("Main!B36")&amp;"'!C106")+SUM(E126+E153+E180)</f>
        <v>0</v>
      </c>
      <c r="D106" s="15"/>
      <c r="E106" s="15"/>
      <c r="F106" s="15"/>
      <c r="G106" s="15"/>
      <c r="H106" s="15"/>
      <c r="I106" s="45"/>
    </row>
    <row r="107" s="1" customFormat="1" ht="35" customHeight="1" spans="1:9">
      <c r="A107" s="34" t="str" cm="1">
        <f ca="1" t="array" ref="A107">IF((INDIRECT("'"&amp;INDIRECT("Main!B9")&amp;"'!A121"))=0,"",(INDIRECT("'"&amp;INDIRECT("Main!B9")&amp;"'!A121")))</f>
        <v/>
      </c>
      <c r="B107" s="34" t="str" cm="1">
        <f ca="1" t="array" ref="B107">IF((INDIRECT("'"&amp;INDIRECT("Main!B9")&amp;"'!B121"))=0,"",(INDIRECT("'"&amp;INDIRECT("Main!B9")&amp;"'!B121")))</f>
        <v/>
      </c>
      <c r="C107" s="35" cm="1">
        <f ca="1" t="array" ref="C107">INDIRECT("'"&amp;INDIRECT("Main!B36")&amp;"'!C107")+SUM(E127+E154+E181)</f>
        <v>0</v>
      </c>
      <c r="D107" s="15"/>
      <c r="E107" s="15"/>
      <c r="F107" s="15"/>
      <c r="G107" s="15"/>
      <c r="H107" s="15"/>
      <c r="I107" s="45"/>
    </row>
    <row r="108" s="1" customFormat="1" ht="35" customHeight="1" spans="1:9">
      <c r="A108" s="46"/>
      <c r="B108" s="37" t="s">
        <v>55</v>
      </c>
      <c r="C108" s="35">
        <f ca="1">SUM(C98:C107)</f>
        <v>0</v>
      </c>
      <c r="D108" s="15"/>
      <c r="E108" s="15"/>
      <c r="F108" s="15"/>
      <c r="G108" s="15"/>
      <c r="H108" s="15"/>
      <c r="I108" s="45"/>
    </row>
    <row r="109" s="1" customFormat="1" ht="35" customHeight="1" spans="1:9">
      <c r="A109" s="46"/>
      <c r="B109" s="37" t="s">
        <v>56</v>
      </c>
      <c r="C109" s="35">
        <f ca="1">C108-C96</f>
        <v>0</v>
      </c>
      <c r="D109" s="15"/>
      <c r="E109" s="15"/>
      <c r="F109" s="15"/>
      <c r="G109" s="15"/>
      <c r="H109" s="15"/>
      <c r="I109" s="45"/>
    </row>
    <row r="110" s="1" customFormat="1" ht="35" customHeight="1" spans="1:9">
      <c r="A110" s="15"/>
      <c r="B110" s="15"/>
      <c r="C110" s="15"/>
      <c r="D110" s="15"/>
      <c r="E110" s="15"/>
      <c r="F110" s="15"/>
      <c r="G110" s="15"/>
      <c r="H110" s="15"/>
      <c r="I110" s="45"/>
    </row>
    <row r="111" s="1" customFormat="1" ht="35" customHeight="1" spans="1:9">
      <c r="A111" s="15"/>
      <c r="B111" s="15"/>
      <c r="C111" s="15"/>
      <c r="D111" s="15"/>
      <c r="E111" s="15"/>
      <c r="F111" s="15"/>
      <c r="G111" s="15"/>
      <c r="H111" s="15"/>
      <c r="I111" s="45"/>
    </row>
    <row r="112" s="1" customFormat="1" ht="35" customHeight="1" spans="1:9">
      <c r="A112" s="15"/>
      <c r="B112" s="15"/>
      <c r="C112" s="15"/>
      <c r="D112" s="15"/>
      <c r="E112" s="15"/>
      <c r="F112" s="15"/>
      <c r="G112" s="15"/>
      <c r="H112" s="15"/>
      <c r="I112" s="45"/>
    </row>
    <row r="113" s="1" customFormat="1" ht="35" customHeight="1" spans="1:9">
      <c r="A113" s="15"/>
      <c r="B113" s="15"/>
      <c r="C113" s="15"/>
      <c r="D113" s="15"/>
      <c r="E113" s="15"/>
      <c r="F113" s="15"/>
      <c r="G113" s="15"/>
      <c r="H113" s="15"/>
      <c r="I113" s="45"/>
    </row>
    <row r="114" s="1" customFormat="1" ht="35" customHeight="1" spans="1:9">
      <c r="A114" s="48" t="str">
        <f>"Debts Or Credits For the Comming "&amp;IF(Main!B2,TEXT(EDATE(Main!B3,30),"mmmm dd yyyy"),TEXT(Main!B3+((Main!B5-Main!B3)*30+30),"mmmm dd yyyy"))&amp;" to "&amp;IF(Main!B2,TEXT(EDATE(Main!B3,31)-1,"mmmm dd yyyy"),TEXT(Main!B3+((Main!B5-Main!B3)*31+30),"mmmm dd yyyy"))</f>
        <v>Debts Or Credits For the Comming November 01 2027 to November 30 2027</v>
      </c>
      <c r="B114" s="49"/>
      <c r="C114" s="49"/>
      <c r="D114" s="49"/>
      <c r="E114" s="50"/>
      <c r="F114" s="15"/>
      <c r="G114" s="15"/>
      <c r="H114" s="15"/>
      <c r="I114" s="45"/>
    </row>
    <row r="115" s="1" customFormat="1" ht="35" customHeight="1" spans="1:9">
      <c r="A115" s="48" t="s">
        <v>57</v>
      </c>
      <c r="B115" s="50"/>
      <c r="C115" s="48" t="s">
        <v>44</v>
      </c>
      <c r="D115" s="50"/>
      <c r="E115" s="64" t="s">
        <v>45</v>
      </c>
      <c r="F115" s="15"/>
      <c r="G115" s="15"/>
      <c r="H115" s="15"/>
      <c r="I115" s="45"/>
    </row>
    <row r="116" s="1" customFormat="1" ht="35" customHeight="1" spans="1:9">
      <c r="A116" s="51" t="str">
        <f>"Balance Brought Forward From "&amp;IF(Main!B2,TEXT(EDATE(Main!B3,30)-1,"mmmm yyyy"),TEXT(Main!B3+((Main!B5-Main!B3)*30+29),"mmmm yyyy"))</f>
        <v>Balance Brought Forward From October 2027</v>
      </c>
      <c r="B116" s="52"/>
      <c r="C116" s="53"/>
      <c r="D116" s="53"/>
      <c r="E116" s="65" cm="1">
        <f ca="1" t="array" ref="E116">INDIRECT("'"&amp;INDIRECT("Main!B36")&amp;"'!E190")</f>
        <v>0</v>
      </c>
      <c r="F116" s="15"/>
      <c r="G116" s="15"/>
      <c r="H116" s="15"/>
      <c r="I116" s="45"/>
    </row>
    <row r="117" s="1" customFormat="1" ht="35" customHeight="1" spans="1:9">
      <c r="A117" s="54" t="s">
        <v>52</v>
      </c>
      <c r="B117" s="55"/>
      <c r="C117" s="56" t="s">
        <v>58</v>
      </c>
      <c r="D117" s="57"/>
      <c r="E117" s="66"/>
      <c r="F117" s="15"/>
      <c r="G117" s="15"/>
      <c r="H117" s="15"/>
      <c r="I117" s="45"/>
    </row>
    <row r="118" s="1" customFormat="1" ht="35" customHeight="1" spans="1:9">
      <c r="A118" s="58"/>
      <c r="B118" s="59"/>
      <c r="C118" s="60"/>
      <c r="D118" s="61"/>
      <c r="E118" s="35">
        <v>0</v>
      </c>
      <c r="F118" s="15"/>
      <c r="G118" s="15"/>
      <c r="H118" s="15"/>
      <c r="I118" s="45"/>
    </row>
    <row r="119" s="1" customFormat="1" ht="35" customHeight="1" spans="1:9">
      <c r="A119" s="58"/>
      <c r="B119" s="59"/>
      <c r="C119" s="60"/>
      <c r="D119" s="61"/>
      <c r="E119" s="35">
        <v>0</v>
      </c>
      <c r="F119" s="15"/>
      <c r="G119" s="15"/>
      <c r="H119" s="15"/>
      <c r="I119" s="45"/>
    </row>
    <row r="120" s="1" customFormat="1" ht="35" customHeight="1" spans="1:9">
      <c r="A120" s="58"/>
      <c r="B120" s="59"/>
      <c r="C120" s="60"/>
      <c r="D120" s="61"/>
      <c r="E120" s="35">
        <v>0</v>
      </c>
      <c r="F120" s="15"/>
      <c r="G120" s="15"/>
      <c r="H120" s="15"/>
      <c r="I120" s="45"/>
    </row>
    <row r="121" s="1" customFormat="1" ht="35" customHeight="1" spans="1:9">
      <c r="A121" s="58"/>
      <c r="B121" s="59"/>
      <c r="C121" s="60"/>
      <c r="D121" s="61"/>
      <c r="E121" s="35">
        <v>0</v>
      </c>
      <c r="F121" s="15"/>
      <c r="G121" s="15"/>
      <c r="H121" s="15"/>
      <c r="I121" s="45"/>
    </row>
    <row r="122" s="1" customFormat="1" ht="35" customHeight="1" spans="1:9">
      <c r="A122" s="58"/>
      <c r="B122" s="59"/>
      <c r="C122" s="60"/>
      <c r="D122" s="61"/>
      <c r="E122" s="35">
        <v>0</v>
      </c>
      <c r="F122" s="15"/>
      <c r="G122" s="15"/>
      <c r="H122" s="15"/>
      <c r="I122" s="45"/>
    </row>
    <row r="123" s="1" customFormat="1" ht="35" customHeight="1" spans="1:9">
      <c r="A123" s="58"/>
      <c r="B123" s="59"/>
      <c r="C123" s="60"/>
      <c r="D123" s="61"/>
      <c r="E123" s="35">
        <v>0</v>
      </c>
      <c r="F123" s="15"/>
      <c r="G123" s="15"/>
      <c r="H123" s="15"/>
      <c r="I123" s="45"/>
    </row>
    <row r="124" s="1" customFormat="1" ht="35" customHeight="1" spans="1:9">
      <c r="A124" s="58"/>
      <c r="B124" s="59"/>
      <c r="C124" s="60"/>
      <c r="D124" s="61"/>
      <c r="E124" s="35">
        <v>0</v>
      </c>
      <c r="F124" s="15"/>
      <c r="G124" s="15"/>
      <c r="H124" s="15"/>
      <c r="I124" s="45"/>
    </row>
    <row r="125" s="1" customFormat="1" ht="35" customHeight="1" spans="1:9">
      <c r="A125" s="58"/>
      <c r="B125" s="59"/>
      <c r="C125" s="60"/>
      <c r="D125" s="61"/>
      <c r="E125" s="35">
        <v>0</v>
      </c>
      <c r="F125" s="15"/>
      <c r="G125" s="15"/>
      <c r="H125" s="15"/>
      <c r="I125" s="45"/>
    </row>
    <row r="126" s="1" customFormat="1" ht="35" customHeight="1" spans="1:9">
      <c r="A126" s="58"/>
      <c r="B126" s="59"/>
      <c r="C126" s="60"/>
      <c r="D126" s="61"/>
      <c r="E126" s="35">
        <v>0</v>
      </c>
      <c r="F126" s="15"/>
      <c r="G126" s="15"/>
      <c r="H126" s="15"/>
      <c r="I126" s="45"/>
    </row>
    <row r="127" s="1" customFormat="1" ht="35" customHeight="1" spans="1:9">
      <c r="A127" s="58"/>
      <c r="B127" s="59"/>
      <c r="C127" s="60"/>
      <c r="D127" s="61"/>
      <c r="E127" s="35">
        <v>0</v>
      </c>
      <c r="F127" s="15"/>
      <c r="G127" s="15"/>
      <c r="H127" s="15"/>
      <c r="I127" s="45"/>
    </row>
    <row r="128" s="1" customFormat="1" ht="35" customHeight="1" spans="1:9">
      <c r="A128" s="58"/>
      <c r="B128" s="59"/>
      <c r="C128" s="56" t="s">
        <v>59</v>
      </c>
      <c r="D128" s="57"/>
      <c r="E128" s="66"/>
      <c r="F128" s="15"/>
      <c r="G128" s="15"/>
      <c r="H128" s="15"/>
      <c r="I128" s="45"/>
    </row>
    <row r="129" s="1" customFormat="1" ht="35" customHeight="1" spans="1:9">
      <c r="A129" s="58"/>
      <c r="B129" s="59"/>
      <c r="C129" s="60"/>
      <c r="D129" s="61"/>
      <c r="E129" s="78">
        <v>0</v>
      </c>
      <c r="F129" s="15"/>
      <c r="G129" s="15"/>
      <c r="H129" s="15"/>
      <c r="I129" s="45"/>
    </row>
    <row r="130" s="1" customFormat="1" ht="35" customHeight="1" spans="1:9">
      <c r="A130" s="58"/>
      <c r="B130" s="59"/>
      <c r="C130" s="60"/>
      <c r="D130" s="61"/>
      <c r="E130" s="78">
        <v>0</v>
      </c>
      <c r="F130" s="15"/>
      <c r="G130" s="15"/>
      <c r="H130" s="15"/>
      <c r="I130" s="45"/>
    </row>
    <row r="131" s="1" customFormat="1" ht="35" customHeight="1" spans="1:9">
      <c r="A131" s="58"/>
      <c r="B131" s="59"/>
      <c r="C131" s="60"/>
      <c r="D131" s="61"/>
      <c r="E131" s="78">
        <v>0</v>
      </c>
      <c r="F131" s="15"/>
      <c r="G131" s="15"/>
      <c r="H131" s="15"/>
      <c r="I131" s="45"/>
    </row>
    <row r="132" s="1" customFormat="1" ht="35" customHeight="1" spans="1:9">
      <c r="A132" s="58"/>
      <c r="B132" s="59"/>
      <c r="C132" s="60"/>
      <c r="D132" s="61"/>
      <c r="E132" s="78">
        <v>0</v>
      </c>
      <c r="F132" s="15"/>
      <c r="G132" s="15"/>
      <c r="H132" s="15"/>
      <c r="I132" s="45"/>
    </row>
    <row r="133" s="1" customFormat="1" ht="35" customHeight="1" spans="1:9">
      <c r="A133" s="58"/>
      <c r="B133" s="59"/>
      <c r="C133" s="60"/>
      <c r="D133" s="61"/>
      <c r="E133" s="78">
        <v>0</v>
      </c>
      <c r="F133" s="15"/>
      <c r="G133" s="15"/>
      <c r="H133" s="15"/>
      <c r="I133" s="45"/>
    </row>
    <row r="134" s="1" customFormat="1" ht="35" customHeight="1" spans="1:9">
      <c r="A134" s="67"/>
      <c r="B134" s="68"/>
      <c r="C134" s="60"/>
      <c r="D134" s="61"/>
      <c r="E134" s="78">
        <v>0</v>
      </c>
      <c r="F134" s="15"/>
      <c r="G134" s="15"/>
      <c r="H134" s="15"/>
      <c r="I134" s="45"/>
    </row>
    <row r="135" s="1" customFormat="1" ht="35" customHeight="1" spans="1:9">
      <c r="A135" s="51" t="s">
        <v>60</v>
      </c>
      <c r="B135" s="69"/>
      <c r="C135" s="70"/>
      <c r="D135" s="71"/>
      <c r="E135" s="78">
        <f>C96</f>
        <v>0</v>
      </c>
      <c r="F135" s="15"/>
      <c r="G135" s="15"/>
      <c r="H135" s="15"/>
      <c r="I135" s="45"/>
    </row>
    <row r="136" s="1" customFormat="1" ht="35" customHeight="1" spans="1:9">
      <c r="A136" s="72"/>
      <c r="B136" s="73"/>
      <c r="C136" s="37" t="s">
        <v>61</v>
      </c>
      <c r="D136" s="37"/>
      <c r="E136" s="79">
        <f ca="1">(F16+E116)-(SUM(E118:E127)+SUM(E129:E135))</f>
        <v>0</v>
      </c>
      <c r="F136" s="15"/>
      <c r="G136" s="15"/>
      <c r="H136" s="15"/>
      <c r="I136" s="45"/>
    </row>
    <row r="137" s="1" customFormat="1" ht="35" customHeight="1" spans="1:9">
      <c r="A137" s="15"/>
      <c r="B137" s="15"/>
      <c r="C137" s="15"/>
      <c r="D137" s="15"/>
      <c r="E137" s="15"/>
      <c r="F137" s="15"/>
      <c r="G137" s="15"/>
      <c r="H137" s="15"/>
      <c r="I137" s="45"/>
    </row>
    <row r="138" s="1" customFormat="1" ht="35" customHeight="1" spans="1:9">
      <c r="A138" s="15"/>
      <c r="B138" s="15"/>
      <c r="C138" s="15"/>
      <c r="D138" s="15"/>
      <c r="E138" s="15"/>
      <c r="F138" s="15"/>
      <c r="G138" s="15"/>
      <c r="H138" s="15"/>
      <c r="I138" s="45"/>
    </row>
    <row r="139" s="1" customFormat="1" ht="35" customHeight="1" spans="1:9">
      <c r="A139" s="15"/>
      <c r="B139" s="15"/>
      <c r="C139" s="15"/>
      <c r="D139" s="15"/>
      <c r="E139" s="15"/>
      <c r="F139" s="15"/>
      <c r="G139" s="15"/>
      <c r="H139" s="15"/>
      <c r="I139" s="45"/>
    </row>
    <row r="140" s="1" customFormat="1" ht="35" customHeight="1" spans="1:9">
      <c r="A140" s="15"/>
      <c r="B140" s="15"/>
      <c r="C140" s="15"/>
      <c r="D140" s="15"/>
      <c r="E140" s="15"/>
      <c r="F140" s="15"/>
      <c r="G140" s="15"/>
      <c r="H140" s="15"/>
      <c r="I140" s="45"/>
    </row>
    <row r="141" s="1" customFormat="1" ht="35" customHeight="1" spans="1:9">
      <c r="A141" s="48" t="str">
        <f>"Debts Or Credits For the Comming "&amp;IF(Main!B2,TEXT(EDATE(Main!B3,31),"mmmm dd yyyy"),TEXT(Main!B3+((Main!B5-Main!B3)*31+31),"dd mmmm yyyy"))&amp;" to "&amp;IF(Main!B2,TEXT(EDATE(Main!B3,32)-1,"mmmm dd yyyy"),TEXT(Main!B3+((Main!B5-Main!B3)*32+31),"mmmm dd yyyy"))</f>
        <v>Debts Or Credits For the Comming December 01 2027 to December 31 2027</v>
      </c>
      <c r="B141" s="49"/>
      <c r="C141" s="49"/>
      <c r="D141" s="49"/>
      <c r="E141" s="50"/>
      <c r="F141" s="15"/>
      <c r="G141" s="15"/>
      <c r="H141" s="15"/>
      <c r="I141" s="45"/>
    </row>
    <row r="142" s="1" customFormat="1" ht="35" customHeight="1" spans="1:9">
      <c r="A142" s="48" t="s">
        <v>57</v>
      </c>
      <c r="B142" s="50"/>
      <c r="C142" s="74" t="s">
        <v>44</v>
      </c>
      <c r="D142" s="75"/>
      <c r="E142" s="80" t="s">
        <v>45</v>
      </c>
      <c r="F142" s="15"/>
      <c r="G142" s="15"/>
      <c r="H142" s="15"/>
      <c r="I142" s="45"/>
    </row>
    <row r="143" s="1" customFormat="1" ht="35" customHeight="1" spans="1:9">
      <c r="A143" s="51" t="str">
        <f>"Balance Brought Forward From "&amp;IF(Main!B2,TEXT(EDATE(Main!B3,31)-1,"mmmm yyyy"),TEXT(Main!B3+((Main!B5-Main!B3)*31+30),"mmmm yyyy"))</f>
        <v>Balance Brought Forward From November 2027</v>
      </c>
      <c r="B143" s="52"/>
      <c r="C143" s="53"/>
      <c r="D143" s="53"/>
      <c r="E143" s="79">
        <f ca="1">E136</f>
        <v>0</v>
      </c>
      <c r="F143" s="15"/>
      <c r="G143" s="15"/>
      <c r="H143" s="15"/>
      <c r="I143" s="45"/>
    </row>
    <row r="144" s="1" customFormat="1" ht="35" customHeight="1" spans="1:9">
      <c r="A144" s="54" t="s">
        <v>52</v>
      </c>
      <c r="B144" s="55"/>
      <c r="C144" s="76" t="s">
        <v>58</v>
      </c>
      <c r="D144" s="77"/>
      <c r="E144" s="81"/>
      <c r="F144" s="15"/>
      <c r="G144" s="15"/>
      <c r="H144" s="15"/>
      <c r="I144" s="45"/>
    </row>
    <row r="145" s="1" customFormat="1" ht="35" customHeight="1" spans="1:9">
      <c r="A145" s="58"/>
      <c r="B145" s="59"/>
      <c r="C145" s="60"/>
      <c r="D145" s="61"/>
      <c r="E145" s="35">
        <v>0</v>
      </c>
      <c r="F145" s="15"/>
      <c r="G145" s="15"/>
      <c r="H145" s="15"/>
      <c r="I145" s="45"/>
    </row>
    <row r="146" s="1" customFormat="1" ht="35" customHeight="1" spans="1:9">
      <c r="A146" s="58"/>
      <c r="B146" s="59"/>
      <c r="C146" s="60"/>
      <c r="D146" s="61"/>
      <c r="E146" s="35">
        <v>0</v>
      </c>
      <c r="F146" s="15"/>
      <c r="G146" s="15"/>
      <c r="H146" s="15"/>
      <c r="I146" s="45"/>
    </row>
    <row r="147" s="1" customFormat="1" ht="35" customHeight="1" spans="1:9">
      <c r="A147" s="58"/>
      <c r="B147" s="59"/>
      <c r="C147" s="60"/>
      <c r="D147" s="61"/>
      <c r="E147" s="35">
        <v>0</v>
      </c>
      <c r="F147" s="15"/>
      <c r="G147" s="15"/>
      <c r="H147" s="15"/>
      <c r="I147" s="45"/>
    </row>
    <row r="148" s="1" customFormat="1" ht="35" customHeight="1" spans="1:9">
      <c r="A148" s="58"/>
      <c r="B148" s="59"/>
      <c r="C148" s="60"/>
      <c r="D148" s="61"/>
      <c r="E148" s="35">
        <v>0</v>
      </c>
      <c r="F148" s="15"/>
      <c r="G148" s="15"/>
      <c r="H148" s="15"/>
      <c r="I148" s="45"/>
    </row>
    <row r="149" s="1" customFormat="1" ht="35" customHeight="1" spans="1:9">
      <c r="A149" s="58"/>
      <c r="B149" s="59"/>
      <c r="C149" s="60"/>
      <c r="D149" s="61"/>
      <c r="E149" s="35">
        <v>0</v>
      </c>
      <c r="F149" s="15"/>
      <c r="G149" s="15"/>
      <c r="H149" s="15"/>
      <c r="I149" s="45"/>
    </row>
    <row r="150" s="1" customFormat="1" ht="35" customHeight="1" spans="1:9">
      <c r="A150" s="58"/>
      <c r="B150" s="59"/>
      <c r="C150" s="60"/>
      <c r="D150" s="61"/>
      <c r="E150" s="35">
        <v>0</v>
      </c>
      <c r="F150" s="15"/>
      <c r="G150" s="15"/>
      <c r="H150" s="15"/>
      <c r="I150" s="45"/>
    </row>
    <row r="151" s="1" customFormat="1" ht="35" customHeight="1" spans="1:9">
      <c r="A151" s="58"/>
      <c r="B151" s="59"/>
      <c r="C151" s="60"/>
      <c r="D151" s="61"/>
      <c r="E151" s="35">
        <v>0</v>
      </c>
      <c r="F151" s="15"/>
      <c r="G151" s="15"/>
      <c r="H151" s="15"/>
      <c r="I151" s="45"/>
    </row>
    <row r="152" s="1" customFormat="1" ht="35" customHeight="1" spans="1:9">
      <c r="A152" s="58"/>
      <c r="B152" s="59"/>
      <c r="C152" s="60"/>
      <c r="D152" s="61"/>
      <c r="E152" s="35">
        <v>0</v>
      </c>
      <c r="F152" s="15"/>
      <c r="G152" s="15"/>
      <c r="H152" s="15"/>
      <c r="I152" s="45"/>
    </row>
    <row r="153" s="1" customFormat="1" ht="35" customHeight="1" spans="1:9">
      <c r="A153" s="58"/>
      <c r="B153" s="59"/>
      <c r="C153" s="60"/>
      <c r="D153" s="61"/>
      <c r="E153" s="35">
        <v>0</v>
      </c>
      <c r="F153" s="15"/>
      <c r="G153" s="15"/>
      <c r="H153" s="15"/>
      <c r="I153" s="45"/>
    </row>
    <row r="154" s="1" customFormat="1" ht="35" customHeight="1" spans="1:9">
      <c r="A154" s="58"/>
      <c r="B154" s="59"/>
      <c r="C154" s="60"/>
      <c r="D154" s="61"/>
      <c r="E154" s="35">
        <v>0</v>
      </c>
      <c r="F154" s="15"/>
      <c r="G154" s="15"/>
      <c r="H154" s="15"/>
      <c r="I154" s="45"/>
    </row>
    <row r="155" s="1" customFormat="1" ht="35" customHeight="1" spans="1:9">
      <c r="A155" s="58"/>
      <c r="B155" s="59"/>
      <c r="C155" s="56" t="s">
        <v>59</v>
      </c>
      <c r="D155" s="57"/>
      <c r="E155" s="66"/>
      <c r="F155" s="15"/>
      <c r="G155" s="15"/>
      <c r="H155" s="15"/>
      <c r="I155" s="45"/>
    </row>
    <row r="156" s="1" customFormat="1" ht="35" customHeight="1" spans="1:9">
      <c r="A156" s="58"/>
      <c r="B156" s="59"/>
      <c r="C156" s="60"/>
      <c r="D156" s="61"/>
      <c r="E156" s="78">
        <v>0</v>
      </c>
      <c r="F156" s="15"/>
      <c r="G156" s="15"/>
      <c r="H156" s="15"/>
      <c r="I156" s="45"/>
    </row>
    <row r="157" s="1" customFormat="1" ht="35" customHeight="1" spans="1:9">
      <c r="A157" s="58"/>
      <c r="B157" s="59"/>
      <c r="C157" s="60"/>
      <c r="D157" s="61"/>
      <c r="E157" s="78">
        <v>0</v>
      </c>
      <c r="F157" s="15"/>
      <c r="G157" s="15"/>
      <c r="H157" s="15"/>
      <c r="I157" s="45"/>
    </row>
    <row r="158" s="1" customFormat="1" ht="35" customHeight="1" spans="1:9">
      <c r="A158" s="58"/>
      <c r="B158" s="59"/>
      <c r="C158" s="60"/>
      <c r="D158" s="61"/>
      <c r="E158" s="78">
        <v>0</v>
      </c>
      <c r="F158" s="15"/>
      <c r="G158" s="15"/>
      <c r="H158" s="15"/>
      <c r="I158" s="45"/>
    </row>
    <row r="159" s="1" customFormat="1" ht="35" customHeight="1" spans="1:9">
      <c r="A159" s="58"/>
      <c r="B159" s="59"/>
      <c r="C159" s="60"/>
      <c r="D159" s="61"/>
      <c r="E159" s="78">
        <v>0</v>
      </c>
      <c r="F159" s="15"/>
      <c r="G159" s="15"/>
      <c r="H159" s="15"/>
      <c r="I159" s="45"/>
    </row>
    <row r="160" s="1" customFormat="1" ht="35" customHeight="1" spans="1:9">
      <c r="A160" s="58"/>
      <c r="B160" s="59"/>
      <c r="C160" s="60"/>
      <c r="D160" s="61"/>
      <c r="E160" s="78">
        <v>0</v>
      </c>
      <c r="F160" s="15"/>
      <c r="G160" s="15"/>
      <c r="H160" s="15"/>
      <c r="I160" s="45"/>
    </row>
    <row r="161" s="1" customFormat="1" ht="35" customHeight="1" spans="1:9">
      <c r="A161" s="67"/>
      <c r="B161" s="68"/>
      <c r="C161" s="60"/>
      <c r="D161" s="61"/>
      <c r="E161" s="78">
        <v>0</v>
      </c>
      <c r="F161" s="15"/>
      <c r="G161" s="15"/>
      <c r="H161" s="15"/>
      <c r="I161" s="45"/>
    </row>
    <row r="162" s="1" customFormat="1" ht="35" customHeight="1" spans="1:9">
      <c r="A162" s="51" t="s">
        <v>60</v>
      </c>
      <c r="B162" s="69"/>
      <c r="C162" s="70"/>
      <c r="D162" s="71"/>
      <c r="E162" s="78">
        <f>C96</f>
        <v>0</v>
      </c>
      <c r="F162" s="15"/>
      <c r="G162" s="15"/>
      <c r="H162" s="15"/>
      <c r="I162" s="45"/>
    </row>
    <row r="163" s="1" customFormat="1" ht="35" customHeight="1" spans="1:9">
      <c r="A163" s="72"/>
      <c r="B163" s="73"/>
      <c r="C163" s="37" t="s">
        <v>61</v>
      </c>
      <c r="D163" s="37"/>
      <c r="E163" s="65">
        <f ca="1">(F28+E143)-(SUM(E145:E154)+SUM(E156:E162))</f>
        <v>0</v>
      </c>
      <c r="F163" s="15"/>
      <c r="G163" s="15"/>
      <c r="H163" s="15"/>
      <c r="I163" s="45"/>
    </row>
    <row r="164" s="1" customFormat="1" ht="35" customHeight="1" spans="1:9">
      <c r="A164" s="15"/>
      <c r="B164" s="15"/>
      <c r="C164" s="15"/>
      <c r="D164" s="15"/>
      <c r="E164" s="15"/>
      <c r="F164" s="15"/>
      <c r="G164" s="15"/>
      <c r="H164" s="15"/>
      <c r="I164" s="45"/>
    </row>
    <row r="165" s="1" customFormat="1" ht="35" customHeight="1" spans="1:9">
      <c r="A165" s="15"/>
      <c r="B165" s="15"/>
      <c r="C165" s="15"/>
      <c r="D165" s="15"/>
      <c r="E165" s="15"/>
      <c r="F165" s="15"/>
      <c r="G165" s="15"/>
      <c r="H165" s="15"/>
      <c r="I165" s="45"/>
    </row>
    <row r="166" s="1" customFormat="1" ht="35" customHeight="1" spans="1:9">
      <c r="A166" s="15"/>
      <c r="B166" s="15"/>
      <c r="C166" s="15"/>
      <c r="D166" s="15"/>
      <c r="E166" s="15"/>
      <c r="F166" s="15"/>
      <c r="G166" s="15"/>
      <c r="H166" s="15"/>
      <c r="I166" s="45"/>
    </row>
    <row r="167" s="1" customFormat="1" ht="35" customHeight="1" spans="1:9">
      <c r="A167" s="15"/>
      <c r="B167" s="15"/>
      <c r="C167" s="15"/>
      <c r="D167" s="15"/>
      <c r="E167" s="15"/>
      <c r="F167" s="15"/>
      <c r="G167" s="15"/>
      <c r="H167" s="15"/>
      <c r="I167" s="45"/>
    </row>
    <row r="168" s="1" customFormat="1" ht="35" customHeight="1" spans="1:9">
      <c r="A168" s="48" t="str">
        <f>"Debts Or Credits For the Comming "&amp;IF(Main!B2,TEXT(EDATE(Main!B3,32),"mmmm dd yyyy"),TEXT(Main!B3+((Main!B5-Main!B3)*32+32),"mmmm dd yyyy"))&amp;" to "&amp;IF(Main!B2,TEXT(EDATE(Main!B3,33)-1,"mmmm dd yyyy"),TEXT(Main!B3+((Main!B5-Main!B3)*33+32),"mmmm dd yyyy"))</f>
        <v>Debts Or Credits For the Comming January 01 2028 to January 31 2028</v>
      </c>
      <c r="B168" s="49"/>
      <c r="C168" s="49"/>
      <c r="D168" s="49"/>
      <c r="E168" s="50"/>
      <c r="F168" s="15"/>
      <c r="G168" s="15"/>
      <c r="H168" s="15"/>
      <c r="I168" s="45"/>
    </row>
    <row r="169" s="1" customFormat="1" ht="35" customHeight="1" spans="1:9">
      <c r="A169" s="48" t="s">
        <v>57</v>
      </c>
      <c r="B169" s="50"/>
      <c r="C169" s="74" t="s">
        <v>44</v>
      </c>
      <c r="D169" s="75"/>
      <c r="E169" s="80" t="s">
        <v>45</v>
      </c>
      <c r="F169" s="15"/>
      <c r="G169" s="15"/>
      <c r="H169" s="15"/>
      <c r="I169" s="45"/>
    </row>
    <row r="170" s="1" customFormat="1" ht="35" customHeight="1" spans="1:9">
      <c r="A170" s="51" t="str">
        <f>"Balance Brought Forward From "&amp;IF(Main!B2,TEXT(EDATE(Main!B3,32)-1,"mmmm yyyy"),TEXT(Main!B3+((Main!B5-Main!B3)*32+31),"mmmm yyyy"))</f>
        <v>Balance Brought Forward From December 2027</v>
      </c>
      <c r="B170" s="52"/>
      <c r="C170" s="53"/>
      <c r="D170" s="53"/>
      <c r="E170" s="65">
        <f ca="1">E163</f>
        <v>0</v>
      </c>
      <c r="F170" s="15"/>
      <c r="G170" s="15"/>
      <c r="H170" s="15"/>
      <c r="I170" s="45"/>
    </row>
    <row r="171" s="1" customFormat="1" ht="35" customHeight="1" spans="1:9">
      <c r="A171" s="54" t="s">
        <v>52</v>
      </c>
      <c r="B171" s="55"/>
      <c r="C171" s="76" t="s">
        <v>58</v>
      </c>
      <c r="D171" s="77"/>
      <c r="E171" s="81"/>
      <c r="F171" s="15"/>
      <c r="G171" s="15"/>
      <c r="H171" s="15"/>
      <c r="I171" s="45"/>
    </row>
    <row r="172" s="1" customFormat="1" ht="35" customHeight="1" spans="1:9">
      <c r="A172" s="58"/>
      <c r="B172" s="59"/>
      <c r="C172" s="60"/>
      <c r="D172" s="61"/>
      <c r="E172" s="35">
        <v>0</v>
      </c>
      <c r="F172" s="15"/>
      <c r="G172" s="15"/>
      <c r="H172" s="15"/>
      <c r="I172" s="45"/>
    </row>
    <row r="173" s="1" customFormat="1" ht="35" customHeight="1" spans="1:9">
      <c r="A173" s="58"/>
      <c r="B173" s="59"/>
      <c r="C173" s="60"/>
      <c r="D173" s="61"/>
      <c r="E173" s="35">
        <v>0</v>
      </c>
      <c r="F173" s="15"/>
      <c r="G173" s="15"/>
      <c r="H173" s="15"/>
      <c r="I173" s="45"/>
    </row>
    <row r="174" s="1" customFormat="1" ht="35" customHeight="1" spans="1:9">
      <c r="A174" s="58"/>
      <c r="B174" s="59"/>
      <c r="C174" s="60"/>
      <c r="D174" s="61"/>
      <c r="E174" s="35">
        <v>0</v>
      </c>
      <c r="F174" s="15"/>
      <c r="G174" s="15"/>
      <c r="H174" s="15"/>
      <c r="I174" s="45"/>
    </row>
    <row r="175" s="1" customFormat="1" ht="35" customHeight="1" spans="1:9">
      <c r="A175" s="58"/>
      <c r="B175" s="59"/>
      <c r="C175" s="60"/>
      <c r="D175" s="61"/>
      <c r="E175" s="35">
        <v>0</v>
      </c>
      <c r="F175" s="15"/>
      <c r="G175" s="15"/>
      <c r="H175" s="15"/>
      <c r="I175" s="45"/>
    </row>
    <row r="176" s="1" customFormat="1" ht="35" customHeight="1" spans="1:9">
      <c r="A176" s="58"/>
      <c r="B176" s="59"/>
      <c r="C176" s="60"/>
      <c r="D176" s="61"/>
      <c r="E176" s="35">
        <v>0</v>
      </c>
      <c r="F176" s="15"/>
      <c r="G176" s="15"/>
      <c r="H176" s="15"/>
      <c r="I176" s="45"/>
    </row>
    <row r="177" s="1" customFormat="1" ht="35" customHeight="1" spans="1:9">
      <c r="A177" s="58"/>
      <c r="B177" s="59"/>
      <c r="C177" s="60"/>
      <c r="D177" s="61"/>
      <c r="E177" s="35">
        <v>0</v>
      </c>
      <c r="F177" s="15"/>
      <c r="G177" s="15"/>
      <c r="H177" s="15"/>
      <c r="I177" s="45"/>
    </row>
    <row r="178" s="1" customFormat="1" ht="35" customHeight="1" spans="1:9">
      <c r="A178" s="58"/>
      <c r="B178" s="59"/>
      <c r="C178" s="60"/>
      <c r="D178" s="61"/>
      <c r="E178" s="35">
        <v>0</v>
      </c>
      <c r="F178" s="15"/>
      <c r="G178" s="15"/>
      <c r="H178" s="15"/>
      <c r="I178" s="45"/>
    </row>
    <row r="179" s="1" customFormat="1" ht="35" customHeight="1" spans="1:9">
      <c r="A179" s="58"/>
      <c r="B179" s="59"/>
      <c r="C179" s="60"/>
      <c r="D179" s="61"/>
      <c r="E179" s="35">
        <v>0</v>
      </c>
      <c r="F179" s="15"/>
      <c r="G179" s="15"/>
      <c r="H179" s="15"/>
      <c r="I179" s="45"/>
    </row>
    <row r="180" s="1" customFormat="1" ht="35" customHeight="1" spans="1:9">
      <c r="A180" s="58"/>
      <c r="B180" s="59"/>
      <c r="C180" s="60"/>
      <c r="D180" s="61"/>
      <c r="E180" s="35">
        <v>0</v>
      </c>
      <c r="F180" s="15"/>
      <c r="G180" s="15"/>
      <c r="H180" s="15"/>
      <c r="I180" s="45"/>
    </row>
    <row r="181" s="1" customFormat="1" ht="35" customHeight="1" spans="1:9">
      <c r="A181" s="58"/>
      <c r="B181" s="59"/>
      <c r="C181" s="60"/>
      <c r="D181" s="61"/>
      <c r="E181" s="35">
        <v>0</v>
      </c>
      <c r="F181" s="15"/>
      <c r="G181" s="15"/>
      <c r="H181" s="15"/>
      <c r="I181" s="45"/>
    </row>
    <row r="182" s="1" customFormat="1" ht="35" customHeight="1" spans="1:9">
      <c r="A182" s="58"/>
      <c r="B182" s="59"/>
      <c r="C182" s="56" t="s">
        <v>59</v>
      </c>
      <c r="D182" s="57"/>
      <c r="E182" s="66"/>
      <c r="F182" s="15"/>
      <c r="G182" s="15"/>
      <c r="H182" s="15"/>
      <c r="I182" s="45"/>
    </row>
    <row r="183" s="1" customFormat="1" ht="35" customHeight="1" spans="1:9">
      <c r="A183" s="58"/>
      <c r="B183" s="59"/>
      <c r="C183" s="60"/>
      <c r="D183" s="61"/>
      <c r="E183" s="78">
        <v>0</v>
      </c>
      <c r="F183" s="15"/>
      <c r="G183" s="15"/>
      <c r="H183" s="15"/>
      <c r="I183" s="45"/>
    </row>
    <row r="184" s="1" customFormat="1" ht="35" customHeight="1" spans="1:9">
      <c r="A184" s="58"/>
      <c r="B184" s="59"/>
      <c r="C184" s="60"/>
      <c r="D184" s="61"/>
      <c r="E184" s="78">
        <v>0</v>
      </c>
      <c r="F184" s="15"/>
      <c r="G184" s="15"/>
      <c r="H184" s="15"/>
      <c r="I184" s="45"/>
    </row>
    <row r="185" s="1" customFormat="1" ht="35" customHeight="1" spans="1:9">
      <c r="A185" s="58"/>
      <c r="B185" s="59"/>
      <c r="C185" s="60"/>
      <c r="D185" s="61"/>
      <c r="E185" s="78">
        <v>0</v>
      </c>
      <c r="F185" s="15"/>
      <c r="G185" s="15"/>
      <c r="H185" s="15"/>
      <c r="I185" s="45"/>
    </row>
    <row r="186" s="1" customFormat="1" ht="35" customHeight="1" spans="1:9">
      <c r="A186" s="58"/>
      <c r="B186" s="59"/>
      <c r="C186" s="60"/>
      <c r="D186" s="61"/>
      <c r="E186" s="78">
        <v>0</v>
      </c>
      <c r="F186" s="15"/>
      <c r="G186" s="15"/>
      <c r="H186" s="15"/>
      <c r="I186" s="45"/>
    </row>
    <row r="187" s="1" customFormat="1" ht="35" customHeight="1" spans="1:9">
      <c r="A187" s="58"/>
      <c r="B187" s="59"/>
      <c r="C187" s="60"/>
      <c r="D187" s="61"/>
      <c r="E187" s="78">
        <v>0</v>
      </c>
      <c r="F187" s="15"/>
      <c r="G187" s="15"/>
      <c r="H187" s="15"/>
      <c r="I187" s="45"/>
    </row>
    <row r="188" s="1" customFormat="1" ht="35" customHeight="1" spans="1:9">
      <c r="A188" s="67"/>
      <c r="B188" s="68"/>
      <c r="C188" s="60"/>
      <c r="D188" s="61"/>
      <c r="E188" s="78">
        <v>0</v>
      </c>
      <c r="F188" s="15"/>
      <c r="G188" s="15"/>
      <c r="H188" s="15"/>
      <c r="I188" s="45"/>
    </row>
    <row r="189" s="1" customFormat="1" ht="35" customHeight="1" spans="1:9">
      <c r="A189" s="51" t="s">
        <v>60</v>
      </c>
      <c r="B189" s="69"/>
      <c r="C189" s="70"/>
      <c r="D189" s="71"/>
      <c r="E189" s="78">
        <f>C96</f>
        <v>0</v>
      </c>
      <c r="F189" s="15"/>
      <c r="G189" s="15"/>
      <c r="H189" s="15"/>
      <c r="I189" s="45"/>
    </row>
    <row r="190" s="1" customFormat="1" ht="35" customHeight="1" spans="1:9">
      <c r="A190" s="72"/>
      <c r="B190" s="73"/>
      <c r="C190" s="37" t="s">
        <v>61</v>
      </c>
      <c r="D190" s="37"/>
      <c r="E190" s="65">
        <f ca="1">(F40+E170)-(SUM(E172:E181)+SUM(E183:E189))</f>
        <v>0</v>
      </c>
      <c r="F190" s="15"/>
      <c r="G190" s="15"/>
      <c r="H190" s="15"/>
      <c r="I190" s="45"/>
    </row>
    <row r="191" s="1" customFormat="1" ht="35" customHeight="1" spans="1:9">
      <c r="A191" s="15"/>
      <c r="B191" s="15"/>
      <c r="C191" s="15"/>
      <c r="D191" s="15"/>
      <c r="E191" s="15"/>
      <c r="F191" s="15"/>
      <c r="G191" s="15"/>
      <c r="H191" s="15"/>
      <c r="I191" s="45"/>
    </row>
    <row r="192" s="1" customFormat="1" ht="35" customHeight="1" spans="1:9">
      <c r="A192" s="38"/>
      <c r="B192" s="38"/>
      <c r="C192" s="38"/>
      <c r="D192" s="38"/>
      <c r="E192" s="38"/>
      <c r="F192" s="38"/>
      <c r="G192" s="38"/>
      <c r="H192" s="38"/>
      <c r="I192" s="38"/>
    </row>
    <row r="193" spans="1:9">
      <c r="A193" s="82"/>
      <c r="B193" s="82"/>
      <c r="C193" s="82"/>
      <c r="D193" s="82"/>
      <c r="E193" s="82"/>
      <c r="F193" s="82"/>
      <c r="G193" s="82"/>
      <c r="H193" s="82"/>
      <c r="I193" s="82"/>
    </row>
  </sheetData>
  <sheetProtection sheet="1" formatCells="0" formatColumns="0" formatRows="0" objects="1"/>
  <protectedRanges>
    <protectedRange sqref="A10:G15" name="R1"/>
    <protectedRange sqref="A22:G27" name="R2"/>
    <protectedRange sqref="A34:G39" name="R3"/>
    <protectedRange sqref="A46:C46 C47:C54" name="F1"/>
    <protectedRange sqref="C56:C65" name="F2"/>
    <protectedRange sqref="C67:C74" name="F3"/>
    <protectedRange sqref="C76:C84" name="F4"/>
    <protectedRange sqref="C86:C94" name="F5"/>
    <protectedRange sqref="C117:E134" name="E1"/>
    <protectedRange sqref="C144:E161" name="E2"/>
    <protectedRange sqref="C171:E188" name="E3"/>
    <protectedRange sqref="A56:B56" name="F2_1"/>
    <protectedRange sqref="A67:B67" name="F3_1"/>
    <protectedRange sqref="A76:B76" name="F4_1"/>
    <protectedRange sqref="A86:B86" name="F5_1"/>
  </protectedRanges>
  <mergeCells count="174">
    <mergeCell ref="A1:G1"/>
    <mergeCell ref="C2:G2"/>
    <mergeCell ref="C3:G3"/>
    <mergeCell ref="A4:B4"/>
    <mergeCell ref="C4:G4"/>
    <mergeCell ref="A5:B5"/>
    <mergeCell ref="C5:G5"/>
    <mergeCell ref="A8:G8"/>
    <mergeCell ref="B9:C9"/>
    <mergeCell ref="D9:E9"/>
    <mergeCell ref="F9:G9"/>
    <mergeCell ref="B10:C10"/>
    <mergeCell ref="D10:E10"/>
    <mergeCell ref="F10:G10"/>
    <mergeCell ref="B11:C11"/>
    <mergeCell ref="D11:E11"/>
    <mergeCell ref="F11:G11"/>
    <mergeCell ref="B12:C12"/>
    <mergeCell ref="D12:E12"/>
    <mergeCell ref="F12:G12"/>
    <mergeCell ref="B13:C13"/>
    <mergeCell ref="D13:E13"/>
    <mergeCell ref="F13:G13"/>
    <mergeCell ref="B14:C14"/>
    <mergeCell ref="D14:E14"/>
    <mergeCell ref="F14:G14"/>
    <mergeCell ref="B15:C15"/>
    <mergeCell ref="D15:E15"/>
    <mergeCell ref="F15:G15"/>
    <mergeCell ref="B16:C16"/>
    <mergeCell ref="D16:E16"/>
    <mergeCell ref="F16:G16"/>
    <mergeCell ref="A20:G20"/>
    <mergeCell ref="B21:C21"/>
    <mergeCell ref="D21:E21"/>
    <mergeCell ref="F21:G21"/>
    <mergeCell ref="B22:C22"/>
    <mergeCell ref="D22:E22"/>
    <mergeCell ref="F22:G22"/>
    <mergeCell ref="B23:C23"/>
    <mergeCell ref="D23:E23"/>
    <mergeCell ref="F23:G23"/>
    <mergeCell ref="B24:C24"/>
    <mergeCell ref="D24:E24"/>
    <mergeCell ref="F24:G24"/>
    <mergeCell ref="B25:C25"/>
    <mergeCell ref="D25:E25"/>
    <mergeCell ref="F25:G25"/>
    <mergeCell ref="B26:C26"/>
    <mergeCell ref="D26:E26"/>
    <mergeCell ref="F26:G26"/>
    <mergeCell ref="B27:C27"/>
    <mergeCell ref="D27:E27"/>
    <mergeCell ref="F27:G27"/>
    <mergeCell ref="B28:C28"/>
    <mergeCell ref="D28:E28"/>
    <mergeCell ref="F28:G28"/>
    <mergeCell ref="A32:G32"/>
    <mergeCell ref="B33:C33"/>
    <mergeCell ref="D33:E33"/>
    <mergeCell ref="F33:G33"/>
    <mergeCell ref="B34:C34"/>
    <mergeCell ref="D34:E34"/>
    <mergeCell ref="F34:G34"/>
    <mergeCell ref="B35:C35"/>
    <mergeCell ref="D35:E35"/>
    <mergeCell ref="F35:G35"/>
    <mergeCell ref="B36:C36"/>
    <mergeCell ref="D36:E36"/>
    <mergeCell ref="F36:G36"/>
    <mergeCell ref="B37:C37"/>
    <mergeCell ref="D37:E37"/>
    <mergeCell ref="F37:G37"/>
    <mergeCell ref="B38:C38"/>
    <mergeCell ref="D38:E38"/>
    <mergeCell ref="F38:G38"/>
    <mergeCell ref="B39:C39"/>
    <mergeCell ref="D39:E39"/>
    <mergeCell ref="F39:G39"/>
    <mergeCell ref="B40:C40"/>
    <mergeCell ref="D40:E40"/>
    <mergeCell ref="F40:G40"/>
    <mergeCell ref="A44:C44"/>
    <mergeCell ref="A46:C46"/>
    <mergeCell ref="A56:C56"/>
    <mergeCell ref="A67:C67"/>
    <mergeCell ref="A76:C76"/>
    <mergeCell ref="A86:C86"/>
    <mergeCell ref="A97:C97"/>
    <mergeCell ref="A114:E114"/>
    <mergeCell ref="A115:B115"/>
    <mergeCell ref="C115:D115"/>
    <mergeCell ref="A116:B116"/>
    <mergeCell ref="C116:D116"/>
    <mergeCell ref="C117:D117"/>
    <mergeCell ref="C118:D118"/>
    <mergeCell ref="C119:D119"/>
    <mergeCell ref="C120:D120"/>
    <mergeCell ref="C121:D121"/>
    <mergeCell ref="C122:D122"/>
    <mergeCell ref="C123:D123"/>
    <mergeCell ref="C124:D124"/>
    <mergeCell ref="C125:D125"/>
    <mergeCell ref="C126:D126"/>
    <mergeCell ref="C127:D127"/>
    <mergeCell ref="C128:D128"/>
    <mergeCell ref="C129:D129"/>
    <mergeCell ref="C130:D130"/>
    <mergeCell ref="C131:D131"/>
    <mergeCell ref="C132:D132"/>
    <mergeCell ref="C133:D133"/>
    <mergeCell ref="C134:D134"/>
    <mergeCell ref="A135:B135"/>
    <mergeCell ref="C135:D135"/>
    <mergeCell ref="A136:B136"/>
    <mergeCell ref="C136:D136"/>
    <mergeCell ref="A141:E141"/>
    <mergeCell ref="A142:B142"/>
    <mergeCell ref="C142:D142"/>
    <mergeCell ref="A143:B143"/>
    <mergeCell ref="C143:D143"/>
    <mergeCell ref="C144:D144"/>
    <mergeCell ref="C145:D145"/>
    <mergeCell ref="C146:D146"/>
    <mergeCell ref="C147:D147"/>
    <mergeCell ref="C148:D148"/>
    <mergeCell ref="C149:D149"/>
    <mergeCell ref="C150:D150"/>
    <mergeCell ref="C151:D151"/>
    <mergeCell ref="C152:D152"/>
    <mergeCell ref="C153:D153"/>
    <mergeCell ref="C154:D154"/>
    <mergeCell ref="C155:D155"/>
    <mergeCell ref="C156:D156"/>
    <mergeCell ref="C157:D157"/>
    <mergeCell ref="C158:D158"/>
    <mergeCell ref="C159:D159"/>
    <mergeCell ref="C160:D160"/>
    <mergeCell ref="C161:D161"/>
    <mergeCell ref="A162:B162"/>
    <mergeCell ref="C162:D162"/>
    <mergeCell ref="A163:B163"/>
    <mergeCell ref="C163:D163"/>
    <mergeCell ref="A168:E168"/>
    <mergeCell ref="A169:B169"/>
    <mergeCell ref="C169:D169"/>
    <mergeCell ref="A170:B170"/>
    <mergeCell ref="C170:D170"/>
    <mergeCell ref="C171:D171"/>
    <mergeCell ref="C172:D172"/>
    <mergeCell ref="C173:D173"/>
    <mergeCell ref="C174:D174"/>
    <mergeCell ref="C175:D175"/>
    <mergeCell ref="C176:D176"/>
    <mergeCell ref="C177:D177"/>
    <mergeCell ref="C178:D178"/>
    <mergeCell ref="C179:D179"/>
    <mergeCell ref="C180:D180"/>
    <mergeCell ref="C181:D181"/>
    <mergeCell ref="C182:D182"/>
    <mergeCell ref="C183:D183"/>
    <mergeCell ref="C184:D184"/>
    <mergeCell ref="C185:D185"/>
    <mergeCell ref="C186:D186"/>
    <mergeCell ref="C187:D187"/>
    <mergeCell ref="C188:D188"/>
    <mergeCell ref="A189:B189"/>
    <mergeCell ref="C189:D189"/>
    <mergeCell ref="A190:B190"/>
    <mergeCell ref="C190:D190"/>
    <mergeCell ref="A2:A3"/>
    <mergeCell ref="A117:B134"/>
    <mergeCell ref="A144:B161"/>
    <mergeCell ref="A171:B188"/>
  </mergeCells>
  <conditionalFormatting sqref="C5">
    <cfRule type="cellIs" dxfId="0" priority="6" operator="equal">
      <formula>0</formula>
    </cfRule>
    <cfRule type="cellIs" dxfId="1" priority="5" operator="greaterThan">
      <formula>0</formula>
    </cfRule>
  </conditionalFormatting>
  <conditionalFormatting sqref="C75">
    <cfRule type="cellIs" dxfId="0" priority="51" operator="equal">
      <formula>0</formula>
    </cfRule>
    <cfRule type="cellIs" dxfId="1" priority="50" operator="greaterThan">
      <formula>0</formula>
    </cfRule>
  </conditionalFormatting>
  <conditionalFormatting sqref="C77">
    <cfRule type="cellIs" dxfId="0" priority="49" operator="equal">
      <formula>0</formula>
    </cfRule>
    <cfRule type="cellIs" dxfId="1" priority="48" operator="greaterThan">
      <formula>0</formula>
    </cfRule>
  </conditionalFormatting>
  <conditionalFormatting sqref="C108">
    <cfRule type="cellIs" dxfId="0" priority="4" operator="greaterThanOrEqual">
      <formula>0</formula>
    </cfRule>
    <cfRule type="cellIs" dxfId="1" priority="3" operator="lessThan">
      <formula>0</formula>
    </cfRule>
  </conditionalFormatting>
  <conditionalFormatting sqref="C109">
    <cfRule type="cellIs" dxfId="0" priority="2" operator="greaterThanOrEqual">
      <formula>0</formula>
    </cfRule>
    <cfRule type="cellIs" dxfId="1" priority="1" operator="lessThan">
      <formula>0</formula>
    </cfRule>
  </conditionalFormatting>
  <conditionalFormatting sqref="E116">
    <cfRule type="cellIs" dxfId="3" priority="12" operator="greaterThanOrEqual">
      <formula>0</formula>
    </cfRule>
    <cfRule type="cellIs" dxfId="4" priority="11" operator="lessThan">
      <formula>0</formula>
    </cfRule>
  </conditionalFormatting>
  <conditionalFormatting sqref="E136">
    <cfRule type="cellIs" dxfId="3" priority="43" operator="greaterThanOrEqual">
      <formula>0</formula>
    </cfRule>
    <cfRule type="cellIs" dxfId="4" priority="42" operator="lessThan">
      <formula>0</formula>
    </cfRule>
  </conditionalFormatting>
  <conditionalFormatting sqref="E143">
    <cfRule type="cellIs" dxfId="3" priority="30" operator="greaterThanOrEqual">
      <formula>0</formula>
    </cfRule>
    <cfRule type="cellIs" dxfId="4" priority="29" operator="lessThan">
      <formula>0</formula>
    </cfRule>
  </conditionalFormatting>
  <conditionalFormatting sqref="E163">
    <cfRule type="cellIs" dxfId="3" priority="32" operator="greaterThanOrEqual">
      <formula>0</formula>
    </cfRule>
    <cfRule type="cellIs" dxfId="4" priority="31" operator="lessThan">
      <formula>0</formula>
    </cfRule>
  </conditionalFormatting>
  <conditionalFormatting sqref="E170">
    <cfRule type="cellIs" dxfId="3" priority="24" operator="greaterThanOrEqual">
      <formula>0</formula>
    </cfRule>
    <cfRule type="cellIs" dxfId="4" priority="23" operator="lessThan">
      <formula>0</formula>
    </cfRule>
  </conditionalFormatting>
  <conditionalFormatting sqref="E190">
    <cfRule type="cellIs" dxfId="3" priority="26" operator="greaterThanOrEqual">
      <formula>0</formula>
    </cfRule>
    <cfRule type="cellIs" dxfId="4" priority="25" operator="lessThan">
      <formula>0</formula>
    </cfRule>
  </conditionalFormatting>
  <conditionalFormatting sqref="C57:C66">
    <cfRule type="cellIs" dxfId="0" priority="55" operator="equal">
      <formula>0</formula>
    </cfRule>
    <cfRule type="cellIs" dxfId="1" priority="54" operator="greaterThan">
      <formula>0</formula>
    </cfRule>
  </conditionalFormatting>
  <conditionalFormatting sqref="C68:C69">
    <cfRule type="cellIs" dxfId="0" priority="53" operator="equal">
      <formula>0</formula>
    </cfRule>
    <cfRule type="cellIs" dxfId="1" priority="52" operator="greaterThan">
      <formula>0</formula>
    </cfRule>
  </conditionalFormatting>
  <conditionalFormatting sqref="C70:C74">
    <cfRule type="cellIs" dxfId="0" priority="41" operator="equal">
      <formula>0</formula>
    </cfRule>
    <cfRule type="cellIs" dxfId="1" priority="40" operator="greaterThan">
      <formula>0</formula>
    </cfRule>
  </conditionalFormatting>
  <conditionalFormatting sqref="C78:C79">
    <cfRule type="cellIs" dxfId="0" priority="10" operator="equal">
      <formula>0</formula>
    </cfRule>
    <cfRule type="cellIs" dxfId="1" priority="9" operator="greaterThan">
      <formula>0</formula>
    </cfRule>
  </conditionalFormatting>
  <conditionalFormatting sqref="C80:C84">
    <cfRule type="cellIs" dxfId="0" priority="39" operator="equal">
      <formula>0</formula>
    </cfRule>
    <cfRule type="cellIs" dxfId="1" priority="38" operator="greaterThan">
      <formula>0</formula>
    </cfRule>
  </conditionalFormatting>
  <conditionalFormatting sqref="C87:C89">
    <cfRule type="cellIs" dxfId="0" priority="47" operator="equal">
      <formula>0</formula>
    </cfRule>
    <cfRule type="cellIs" dxfId="1" priority="46" operator="greaterThan">
      <formula>0</formula>
    </cfRule>
  </conditionalFormatting>
  <conditionalFormatting sqref="C90:C91">
    <cfRule type="cellIs" dxfId="0" priority="8" operator="equal">
      <formula>0</formula>
    </cfRule>
    <cfRule type="cellIs" dxfId="1" priority="7" operator="greaterThan">
      <formula>0</formula>
    </cfRule>
  </conditionalFormatting>
  <conditionalFormatting sqref="C92:C94">
    <cfRule type="cellIs" dxfId="0" priority="37" operator="equal">
      <formula>0</formula>
    </cfRule>
    <cfRule type="cellIs" dxfId="1" priority="36" operator="greaterThan">
      <formula>0</formula>
    </cfRule>
  </conditionalFormatting>
  <conditionalFormatting sqref="C98:C107">
    <cfRule type="cellIs" dxfId="1" priority="20" operator="lessThan">
      <formula>0</formula>
    </cfRule>
    <cfRule type="cellIs" dxfId="2" priority="19" operator="greaterThanOrEqual">
      <formula>0</formula>
    </cfRule>
  </conditionalFormatting>
  <conditionalFormatting sqref="E118:E127">
    <cfRule type="cellIs" dxfId="0" priority="18" operator="equal">
      <formula>0</formula>
    </cfRule>
    <cfRule type="cellIs" dxfId="1" priority="17" operator="greaterThan">
      <formula>0</formula>
    </cfRule>
  </conditionalFormatting>
  <conditionalFormatting sqref="E145:E154">
    <cfRule type="cellIs" dxfId="0" priority="16" operator="equal">
      <formula>0</formula>
    </cfRule>
    <cfRule type="cellIs" dxfId="1" priority="15" operator="greaterThan">
      <formula>0</formula>
    </cfRule>
  </conditionalFormatting>
  <conditionalFormatting sqref="E172:E181">
    <cfRule type="cellIs" dxfId="0" priority="14" operator="equal">
      <formula>0</formula>
    </cfRule>
    <cfRule type="cellIs" dxfId="1" priority="13" operator="greaterThan">
      <formula>0</formula>
    </cfRule>
  </conditionalFormatting>
  <conditionalFormatting sqref="C47:C55 C85 C95:C96">
    <cfRule type="cellIs" dxfId="0" priority="57" operator="equal">
      <formula>0</formula>
    </cfRule>
  </conditionalFormatting>
  <conditionalFormatting sqref="C47:C55 C85 C95:C96 E144 E155:E162">
    <cfRule type="cellIs" dxfId="1" priority="56" operator="greaterThan">
      <formula>0</formula>
    </cfRule>
  </conditionalFormatting>
  <conditionalFormatting sqref="E117 E128:E135">
    <cfRule type="cellIs" dxfId="0" priority="45" operator="equal">
      <formula>0</formula>
    </cfRule>
    <cfRule type="cellIs" dxfId="1" priority="44" operator="greaterThan">
      <formula>0</formula>
    </cfRule>
  </conditionalFormatting>
  <conditionalFormatting sqref="E144 E155:E162">
    <cfRule type="cellIs" dxfId="2" priority="33" operator="equal">
      <formula>0</formula>
    </cfRule>
  </conditionalFormatting>
  <conditionalFormatting sqref="E171 E182:E189">
    <cfRule type="cellIs" dxfId="2" priority="28" operator="equal">
      <formula>0</formula>
    </cfRule>
    <cfRule type="cellIs" dxfId="1" priority="27" operator="greaterThan">
      <formula>0</formula>
    </cfRule>
  </conditionalFormatting>
  <pageMargins left="0.7" right="0.7" top="0.75" bottom="0.75" header="0.3" footer="0.3"/>
  <headerFooter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93"/>
  <sheetViews>
    <sheetView topLeftCell="A182" workbookViewId="0">
      <selection activeCell="E205" sqref="E205"/>
    </sheetView>
  </sheetViews>
  <sheetFormatPr defaultColWidth="9" defaultRowHeight="17.6"/>
  <cols>
    <col min="1" max="7" width="25.6111111111111" customWidth="1"/>
    <col min="9" max="10" width="20.625" customWidth="1"/>
  </cols>
  <sheetData>
    <row r="1" s="1" customFormat="1" ht="35" customHeight="1" spans="1:9">
      <c r="A1" s="2" t="str">
        <f>"Forecasts For the Year "&amp;IF(Main!B2,TEXT(EDATE(Main!B3,33),"mmmm yyyy"),TEXT(Main!B3+((Main!B5-Main!B3)*33+33),"mmmm yyyy"))&amp;" to "&amp;IF(Main!B2,TEXT(EDATE(Main!B3,36)-1,"mmmm yyyy"),TEXT(Main!B3+((Main!B5-Main!B3)*36+35),"mmmm yyyy"))</f>
        <v>Forecasts For the Year February 2028 to April 2028</v>
      </c>
      <c r="B1" s="2"/>
      <c r="C1" s="2"/>
      <c r="D1" s="2"/>
      <c r="E1" s="2"/>
      <c r="F1" s="2"/>
      <c r="G1" s="2"/>
      <c r="H1" s="38"/>
      <c r="I1" s="38"/>
    </row>
    <row r="2" s="1" customFormat="1" ht="35" customHeight="1" spans="1:9">
      <c r="A2" s="3" t="s">
        <v>33</v>
      </c>
      <c r="B2" s="4" t="s">
        <v>62</v>
      </c>
      <c r="C2" s="5" cm="1">
        <f ca="1" t="array" ref="C2">INDIRECT("'"&amp;Main!B9&amp;"'!$C$16")</f>
        <v>0</v>
      </c>
      <c r="D2" s="5"/>
      <c r="E2" s="5"/>
      <c r="F2" s="5"/>
      <c r="G2" s="5"/>
      <c r="H2" s="38"/>
      <c r="I2" s="38"/>
    </row>
    <row r="3" s="1" customFormat="1" ht="35" customHeight="1" spans="1:9">
      <c r="A3" s="6"/>
      <c r="B3" s="7" t="s">
        <v>63</v>
      </c>
      <c r="C3" s="8">
        <f ca="1">E190</f>
        <v>0</v>
      </c>
      <c r="D3" s="8"/>
      <c r="E3" s="8"/>
      <c r="F3" s="8"/>
      <c r="G3" s="8"/>
      <c r="H3" s="38"/>
      <c r="I3" s="38"/>
    </row>
    <row r="4" s="1" customFormat="1" ht="35" customHeight="1" spans="1:9">
      <c r="A4" s="9" t="s">
        <v>42</v>
      </c>
      <c r="B4" s="10"/>
      <c r="C4" s="11">
        <f ca="1">SUM(C2:G3)</f>
        <v>0</v>
      </c>
      <c r="D4" s="11"/>
      <c r="E4" s="11"/>
      <c r="F4" s="11"/>
      <c r="G4" s="11"/>
      <c r="H4" s="15"/>
      <c r="I4" s="45"/>
    </row>
    <row r="5" s="1" customFormat="1" ht="35" customHeight="1" spans="1:9">
      <c r="A5" s="12" t="s">
        <v>64</v>
      </c>
      <c r="B5" s="12"/>
      <c r="C5" s="13">
        <f ca="1">C108</f>
        <v>0</v>
      </c>
      <c r="D5" s="14"/>
      <c r="E5" s="14"/>
      <c r="F5" s="14"/>
      <c r="G5" s="14"/>
      <c r="H5" s="15"/>
      <c r="I5" s="45"/>
    </row>
    <row r="6" s="1" customFormat="1" ht="35" customHeight="1" spans="1:9">
      <c r="A6" s="15"/>
      <c r="B6" s="15"/>
      <c r="C6" s="15"/>
      <c r="D6" s="15"/>
      <c r="E6" s="15"/>
      <c r="F6" s="15"/>
      <c r="G6" s="15"/>
      <c r="H6" s="15"/>
      <c r="I6" s="45"/>
    </row>
    <row r="7" s="1" customFormat="1" ht="35" customHeight="1" spans="1:9">
      <c r="A7" s="15"/>
      <c r="B7" s="15"/>
      <c r="C7" s="15"/>
      <c r="D7" s="15"/>
      <c r="E7" s="15"/>
      <c r="F7" s="15"/>
      <c r="G7" s="15"/>
      <c r="H7" s="15"/>
      <c r="I7" s="45"/>
    </row>
    <row r="8" s="1" customFormat="1" ht="35" customHeight="1" spans="1:9">
      <c r="A8" s="16" t="str">
        <f>IF(Main!B2,TEXT(EDATE(Main!B3,33),"dd mmmm yyyy"),TEXT(Main!B3+((Main!B5-Main!B3)*33+33),"dd mmmm yyyy"))&amp;" - "&amp;IF(Main!B2,TEXT(EDATE(Main!B3,34)-1,"dd mmmm yyyy"),TEXT(Main!B3+((Main!B5-Main!B3)*34+33),"dd mmmm yyyy"))&amp;" / "&amp;" (Revenue / Deferred Debts Or Expenses)"</f>
        <v>01 February 2028 - 29 February 2028 /  (Revenue / Deferred Debts Or Expenses)</v>
      </c>
      <c r="B8" s="17"/>
      <c r="C8" s="17"/>
      <c r="D8" s="17"/>
      <c r="E8" s="17"/>
      <c r="F8" s="17"/>
      <c r="G8" s="17"/>
      <c r="H8" s="15"/>
      <c r="I8" s="45"/>
    </row>
    <row r="9" s="1" customFormat="1" ht="35" customHeight="1" spans="1:9">
      <c r="A9" s="18" t="s">
        <v>29</v>
      </c>
      <c r="B9" s="18" t="s">
        <v>43</v>
      </c>
      <c r="C9" s="18"/>
      <c r="D9" s="18" t="s">
        <v>44</v>
      </c>
      <c r="E9" s="18"/>
      <c r="F9" s="18" t="s">
        <v>45</v>
      </c>
      <c r="G9" s="18"/>
      <c r="H9" s="15"/>
      <c r="I9" s="45"/>
    </row>
    <row r="10" s="1" customFormat="1" ht="35" customHeight="1" spans="1:9">
      <c r="A10" s="19"/>
      <c r="B10" s="20"/>
      <c r="C10" s="20"/>
      <c r="D10" s="20"/>
      <c r="E10" s="20"/>
      <c r="F10" s="39">
        <v>0</v>
      </c>
      <c r="G10" s="40"/>
      <c r="H10" s="15"/>
      <c r="I10" s="45"/>
    </row>
    <row r="11" s="1" customFormat="1" ht="35" customHeight="1" spans="1:9">
      <c r="A11" s="19"/>
      <c r="B11" s="21"/>
      <c r="C11" s="22"/>
      <c r="D11" s="23"/>
      <c r="E11" s="41"/>
      <c r="F11" s="39">
        <v>0</v>
      </c>
      <c r="G11" s="40"/>
      <c r="H11" s="15"/>
      <c r="I11" s="45"/>
    </row>
    <row r="12" s="1" customFormat="1" ht="35" customHeight="1" spans="1:9">
      <c r="A12" s="19"/>
      <c r="B12" s="21"/>
      <c r="C12" s="22"/>
      <c r="D12" s="23"/>
      <c r="E12" s="41"/>
      <c r="F12" s="39">
        <v>0</v>
      </c>
      <c r="G12" s="40"/>
      <c r="H12" s="15"/>
      <c r="I12" s="45"/>
    </row>
    <row r="13" s="1" customFormat="1" ht="35" customHeight="1" spans="1:9">
      <c r="A13" s="19"/>
      <c r="B13" s="21"/>
      <c r="C13" s="22"/>
      <c r="D13" s="23"/>
      <c r="E13" s="41"/>
      <c r="F13" s="39">
        <v>0</v>
      </c>
      <c r="G13" s="40"/>
      <c r="H13" s="15"/>
      <c r="I13" s="45"/>
    </row>
    <row r="14" s="1" customFormat="1" ht="35" customHeight="1" spans="1:9">
      <c r="A14" s="19"/>
      <c r="B14" s="21"/>
      <c r="C14" s="22"/>
      <c r="D14" s="23"/>
      <c r="E14" s="41"/>
      <c r="F14" s="39">
        <v>0</v>
      </c>
      <c r="G14" s="40"/>
      <c r="H14" s="15"/>
      <c r="I14" s="45"/>
    </row>
    <row r="15" s="1" customFormat="1" ht="35" customHeight="1" spans="1:9">
      <c r="A15" s="19"/>
      <c r="B15" s="21"/>
      <c r="C15" s="22"/>
      <c r="D15" s="23"/>
      <c r="E15" s="41"/>
      <c r="F15" s="39">
        <v>0</v>
      </c>
      <c r="G15" s="40"/>
      <c r="H15" s="15"/>
      <c r="I15" s="45"/>
    </row>
    <row r="16" s="1" customFormat="1" ht="35" customHeight="1" spans="1:9">
      <c r="A16" s="24"/>
      <c r="B16" s="25"/>
      <c r="C16" s="26"/>
      <c r="D16" s="27" t="s">
        <v>46</v>
      </c>
      <c r="E16" s="42"/>
      <c r="F16" s="43">
        <f>SUM(F10:G15)</f>
        <v>0</v>
      </c>
      <c r="G16" s="44"/>
      <c r="H16" s="15"/>
      <c r="I16" s="45"/>
    </row>
    <row r="17" s="1" customFormat="1" ht="35" customHeight="1" spans="1:9">
      <c r="A17" s="15"/>
      <c r="B17" s="15"/>
      <c r="C17" s="15"/>
      <c r="D17" s="15"/>
      <c r="E17" s="15"/>
      <c r="F17" s="15"/>
      <c r="G17" s="15"/>
      <c r="H17" s="15"/>
      <c r="I17" s="45"/>
    </row>
    <row r="18" s="1" customFormat="1" ht="35" customHeight="1" spans="1:9">
      <c r="A18" s="15"/>
      <c r="B18" s="15"/>
      <c r="C18" s="15"/>
      <c r="D18" s="15"/>
      <c r="E18" s="15"/>
      <c r="F18" s="15"/>
      <c r="G18" s="15"/>
      <c r="H18" s="15"/>
      <c r="I18" s="45"/>
    </row>
    <row r="19" s="1" customFormat="1" ht="35" customHeight="1" spans="1:9">
      <c r="A19" s="15"/>
      <c r="B19" s="15"/>
      <c r="C19" s="15"/>
      <c r="D19" s="15"/>
      <c r="E19" s="15"/>
      <c r="F19" s="15"/>
      <c r="G19" s="15"/>
      <c r="H19" s="15"/>
      <c r="I19" s="45"/>
    </row>
    <row r="20" s="1" customFormat="1" ht="35" customHeight="1" spans="1:9">
      <c r="A20" s="16" t="str">
        <f>IF(Main!B2,TEXT(EDATE(Main!B3,34),"dd mmmm yyyy"),TEXT(Main!B3+((Main!B5-Main!B3)*34+34),"dd mmmm yyyy"))&amp;" - "&amp;IF(Main!B2,TEXT(EDATE(Main!B3,35)-1,"dd mmmm yyyy"),TEXT(Main!B3+((Main!B5-Main!B3)*35+34),"dd mmmm yyyy"))&amp;" / "&amp;" (Revenue / Deferred Debts Or Expenses)"</f>
        <v>01 March 2028 - 31 March 2028 /  (Revenue / Deferred Debts Or Expenses)</v>
      </c>
      <c r="B20" s="17"/>
      <c r="C20" s="17"/>
      <c r="D20" s="17"/>
      <c r="E20" s="17"/>
      <c r="F20" s="17"/>
      <c r="G20" s="17"/>
      <c r="H20" s="15"/>
      <c r="I20" s="45"/>
    </row>
    <row r="21" s="1" customFormat="1" ht="35" customHeight="1" spans="1:9">
      <c r="A21" s="18" t="s">
        <v>29</v>
      </c>
      <c r="B21" s="18" t="s">
        <v>43</v>
      </c>
      <c r="C21" s="18"/>
      <c r="D21" s="18" t="s">
        <v>44</v>
      </c>
      <c r="E21" s="18"/>
      <c r="F21" s="18" t="s">
        <v>45</v>
      </c>
      <c r="G21" s="18"/>
      <c r="H21" s="15"/>
      <c r="I21" s="45"/>
    </row>
    <row r="22" s="1" customFormat="1" ht="35" customHeight="1" spans="1:9">
      <c r="A22" s="19"/>
      <c r="B22" s="20"/>
      <c r="C22" s="20"/>
      <c r="D22" s="20"/>
      <c r="E22" s="20"/>
      <c r="F22" s="39">
        <v>0</v>
      </c>
      <c r="G22" s="40"/>
      <c r="H22" s="15"/>
      <c r="I22" s="45"/>
    </row>
    <row r="23" s="1" customFormat="1" ht="35" customHeight="1" spans="1:9">
      <c r="A23" s="19"/>
      <c r="B23" s="21"/>
      <c r="C23" s="22"/>
      <c r="D23" s="23"/>
      <c r="E23" s="41"/>
      <c r="F23" s="39">
        <v>0</v>
      </c>
      <c r="G23" s="40"/>
      <c r="H23" s="15"/>
      <c r="I23" s="45"/>
    </row>
    <row r="24" s="1" customFormat="1" ht="35" customHeight="1" spans="1:9">
      <c r="A24" s="19"/>
      <c r="B24" s="21"/>
      <c r="C24" s="22"/>
      <c r="D24" s="23"/>
      <c r="E24" s="41"/>
      <c r="F24" s="39">
        <v>0</v>
      </c>
      <c r="G24" s="40"/>
      <c r="H24" s="15"/>
      <c r="I24" s="45"/>
    </row>
    <row r="25" s="1" customFormat="1" ht="35" customHeight="1" spans="1:9">
      <c r="A25" s="19"/>
      <c r="B25" s="21"/>
      <c r="C25" s="22"/>
      <c r="D25" s="23"/>
      <c r="E25" s="41"/>
      <c r="F25" s="39">
        <v>0</v>
      </c>
      <c r="G25" s="40"/>
      <c r="H25" s="15"/>
      <c r="I25" s="45"/>
    </row>
    <row r="26" s="1" customFormat="1" ht="35" customHeight="1" spans="1:9">
      <c r="A26" s="19"/>
      <c r="B26" s="21"/>
      <c r="C26" s="22"/>
      <c r="D26" s="23"/>
      <c r="E26" s="41"/>
      <c r="F26" s="39">
        <v>0</v>
      </c>
      <c r="G26" s="40"/>
      <c r="H26" s="15"/>
      <c r="I26" s="45"/>
    </row>
    <row r="27" s="1" customFormat="1" ht="35" customHeight="1" spans="1:9">
      <c r="A27" s="19"/>
      <c r="B27" s="21"/>
      <c r="C27" s="22"/>
      <c r="D27" s="23"/>
      <c r="E27" s="41"/>
      <c r="F27" s="39">
        <v>0</v>
      </c>
      <c r="G27" s="40"/>
      <c r="H27" s="15"/>
      <c r="I27" s="45"/>
    </row>
    <row r="28" s="1" customFormat="1" ht="35" customHeight="1" spans="1:9">
      <c r="A28" s="24"/>
      <c r="B28" s="25"/>
      <c r="C28" s="26"/>
      <c r="D28" s="27" t="s">
        <v>46</v>
      </c>
      <c r="E28" s="42"/>
      <c r="F28" s="43">
        <f>SUM(F22:G27)</f>
        <v>0</v>
      </c>
      <c r="G28" s="44"/>
      <c r="H28" s="15"/>
      <c r="I28" s="45"/>
    </row>
    <row r="29" s="1" customFormat="1" ht="35" customHeight="1" spans="1:9">
      <c r="A29" s="15"/>
      <c r="B29" s="15"/>
      <c r="C29" s="15"/>
      <c r="D29" s="15"/>
      <c r="E29" s="15"/>
      <c r="F29" s="15"/>
      <c r="G29" s="15"/>
      <c r="H29" s="15"/>
      <c r="I29" s="45"/>
    </row>
    <row r="30" s="1" customFormat="1" ht="35" customHeight="1" spans="1:9">
      <c r="A30" s="15"/>
      <c r="B30" s="15"/>
      <c r="C30" s="15"/>
      <c r="D30" s="15"/>
      <c r="E30" s="15"/>
      <c r="F30" s="15"/>
      <c r="G30" s="15"/>
      <c r="H30" s="15"/>
      <c r="I30" s="45"/>
    </row>
    <row r="31" s="1" customFormat="1" ht="35" customHeight="1" spans="1:9">
      <c r="A31" s="15"/>
      <c r="B31" s="15"/>
      <c r="C31" s="15"/>
      <c r="D31" s="15"/>
      <c r="E31" s="15"/>
      <c r="F31" s="15"/>
      <c r="G31" s="15"/>
      <c r="H31" s="15"/>
      <c r="I31" s="45"/>
    </row>
    <row r="32" s="1" customFormat="1" ht="35" customHeight="1" spans="1:9">
      <c r="A32" s="16" t="str">
        <f>IF(Main!B2,TEXT(EDATE(Main!B3,35),"dd mmmm yyyy"),TEXT(Main!B3+((Main!B5-Main!B3)*35+35),"dd mmmm yyyy"))&amp;" - "&amp;IF(Main!B2,TEXT(EDATE(Main!B3,36)-1,"dd mmmm yyyy"),TEXT(Main!B3+((Main!B5-Main!B3)*36+35),"dd mmmm yyyy"))&amp;" / "&amp;" (Revenue / Deferred Debts Or Expenses)"</f>
        <v>01 April 2028 - 30 April 2028 /  (Revenue / Deferred Debts Or Expenses)</v>
      </c>
      <c r="B32" s="17"/>
      <c r="C32" s="17"/>
      <c r="D32" s="17"/>
      <c r="E32" s="17"/>
      <c r="F32" s="17"/>
      <c r="G32" s="17"/>
      <c r="H32" s="15"/>
      <c r="I32" s="45"/>
    </row>
    <row r="33" s="1" customFormat="1" ht="35" customHeight="1" spans="1:9">
      <c r="A33" s="18" t="s">
        <v>29</v>
      </c>
      <c r="B33" s="18" t="s">
        <v>43</v>
      </c>
      <c r="C33" s="18"/>
      <c r="D33" s="18" t="s">
        <v>44</v>
      </c>
      <c r="E33" s="18"/>
      <c r="F33" s="18" t="s">
        <v>45</v>
      </c>
      <c r="G33" s="18"/>
      <c r="H33" s="15"/>
      <c r="I33" s="45"/>
    </row>
    <row r="34" s="1" customFormat="1" ht="35" customHeight="1" spans="1:9">
      <c r="A34" s="19"/>
      <c r="B34" s="20"/>
      <c r="C34" s="20"/>
      <c r="D34" s="20"/>
      <c r="E34" s="20"/>
      <c r="F34" s="39">
        <v>0</v>
      </c>
      <c r="G34" s="40"/>
      <c r="H34" s="15"/>
      <c r="I34" s="45"/>
    </row>
    <row r="35" s="1" customFormat="1" ht="35" customHeight="1" spans="1:9">
      <c r="A35" s="19"/>
      <c r="B35" s="21"/>
      <c r="C35" s="22"/>
      <c r="D35" s="23"/>
      <c r="E35" s="41"/>
      <c r="F35" s="39">
        <v>0</v>
      </c>
      <c r="G35" s="40"/>
      <c r="H35" s="15"/>
      <c r="I35" s="45"/>
    </row>
    <row r="36" s="1" customFormat="1" ht="35" customHeight="1" spans="1:9">
      <c r="A36" s="19"/>
      <c r="B36" s="21"/>
      <c r="C36" s="22"/>
      <c r="D36" s="23"/>
      <c r="E36" s="41"/>
      <c r="F36" s="39">
        <v>0</v>
      </c>
      <c r="G36" s="40"/>
      <c r="H36" s="15"/>
      <c r="I36" s="45"/>
    </row>
    <row r="37" s="1" customFormat="1" ht="35" customHeight="1" spans="1:9">
      <c r="A37" s="19"/>
      <c r="B37" s="21"/>
      <c r="C37" s="22"/>
      <c r="D37" s="23"/>
      <c r="E37" s="41"/>
      <c r="F37" s="39">
        <v>0</v>
      </c>
      <c r="G37" s="40"/>
      <c r="H37" s="15"/>
      <c r="I37" s="45"/>
    </row>
    <row r="38" s="1" customFormat="1" ht="35" customHeight="1" spans="1:9">
      <c r="A38" s="19"/>
      <c r="B38" s="21"/>
      <c r="C38" s="22"/>
      <c r="D38" s="23"/>
      <c r="E38" s="41"/>
      <c r="F38" s="39">
        <v>0</v>
      </c>
      <c r="G38" s="40"/>
      <c r="H38" s="15"/>
      <c r="I38" s="45"/>
    </row>
    <row r="39" s="1" customFormat="1" ht="35" customHeight="1" spans="1:9">
      <c r="A39" s="19"/>
      <c r="B39" s="21"/>
      <c r="C39" s="22"/>
      <c r="D39" s="23"/>
      <c r="E39" s="41"/>
      <c r="F39" s="39">
        <v>0</v>
      </c>
      <c r="G39" s="40"/>
      <c r="H39" s="15"/>
      <c r="I39" s="45"/>
    </row>
    <row r="40" s="1" customFormat="1" ht="35" customHeight="1" spans="1:9">
      <c r="A40" s="24"/>
      <c r="B40" s="25"/>
      <c r="C40" s="26"/>
      <c r="D40" s="27" t="s">
        <v>46</v>
      </c>
      <c r="E40" s="42"/>
      <c r="F40" s="43">
        <f>SUM(F34:G39)</f>
        <v>0</v>
      </c>
      <c r="G40" s="44"/>
      <c r="H40" s="15"/>
      <c r="I40" s="45"/>
    </row>
    <row r="41" s="1" customFormat="1" ht="35" customHeight="1" spans="1:9">
      <c r="A41" s="15"/>
      <c r="B41" s="15"/>
      <c r="C41" s="15"/>
      <c r="D41" s="15"/>
      <c r="E41" s="15"/>
      <c r="F41" s="15"/>
      <c r="G41" s="15"/>
      <c r="H41" s="15"/>
      <c r="I41" s="45"/>
    </row>
    <row r="42" s="1" customFormat="1" ht="35" customHeight="1" spans="1:9">
      <c r="A42" s="15"/>
      <c r="B42" s="15"/>
      <c r="C42" s="15"/>
      <c r="D42" s="15"/>
      <c r="E42" s="15"/>
      <c r="F42" s="15"/>
      <c r="G42" s="15"/>
      <c r="H42" s="15"/>
      <c r="I42" s="45"/>
    </row>
    <row r="43" s="1" customFormat="1" ht="35" customHeight="1" spans="1:9">
      <c r="A43" s="15"/>
      <c r="B43" s="15"/>
      <c r="C43" s="15"/>
      <c r="D43" s="15"/>
      <c r="E43" s="15"/>
      <c r="F43" s="15"/>
      <c r="G43" s="15"/>
      <c r="H43" s="15"/>
      <c r="I43" s="45"/>
    </row>
    <row r="44" s="1" customFormat="1" ht="35" customHeight="1" spans="1:9">
      <c r="A44" s="28" t="str">
        <f>"Fixed Expense For the Year "&amp;IF(Main!B2,TEXT(EDATE(Main!B3,33),"mmmm yyyy"),TEXT(Main!B3+((Main!B5-Main!B3)*33+33),"mmmm yyyy"))&amp;" to "&amp;IF(Main!B2,TEXT(EDATE(Main!B3,36)-1,"mmmm yyyy"),TEXT(Main!B3+((Main!B5-Main!B3)*36+35),"mmmm yyyy"))</f>
        <v>Fixed Expense For the Year February 2028 to April 2028</v>
      </c>
      <c r="B44" s="29"/>
      <c r="C44" s="30"/>
      <c r="D44" s="15"/>
      <c r="E44" s="15"/>
      <c r="F44" s="15"/>
      <c r="G44" s="15"/>
      <c r="H44" s="15"/>
      <c r="I44" s="45"/>
    </row>
    <row r="45" s="1" customFormat="1" ht="35" customHeight="1" spans="1:9">
      <c r="A45" s="2" t="s">
        <v>43</v>
      </c>
      <c r="B45" s="2" t="s">
        <v>44</v>
      </c>
      <c r="C45" s="2" t="s">
        <v>45</v>
      </c>
      <c r="D45" s="15"/>
      <c r="E45" s="15"/>
      <c r="F45" s="15"/>
      <c r="G45" s="15"/>
      <c r="H45" s="15"/>
      <c r="I45" s="45"/>
    </row>
    <row r="46" s="1" customFormat="1" ht="35" customHeight="1" spans="1:9">
      <c r="A46" s="31" t="s">
        <v>47</v>
      </c>
      <c r="B46" s="32"/>
      <c r="C46" s="33"/>
      <c r="D46" s="15"/>
      <c r="E46" s="15"/>
      <c r="F46" s="15"/>
      <c r="G46" s="15"/>
      <c r="H46" s="15"/>
      <c r="I46" s="45"/>
    </row>
    <row r="47" s="1" customFormat="1" ht="35" customHeight="1" spans="1:9">
      <c r="A47" s="34" t="str" cm="1">
        <f ca="1" t="array" ref="A47">IF((INDIRECT("'"&amp;INDIRECT("Main!B9")&amp;"'!A61"))=0,"",(INDIRECT("'"&amp;INDIRECT("Main!B9")&amp;"'!A61")))</f>
        <v/>
      </c>
      <c r="B47" s="34" t="str" cm="1">
        <f ca="1" t="array" ref="B47">IF((INDIRECT("'"&amp;INDIRECT("Main!B9")&amp;"'!B61"))=0,"",(INDIRECT("'"&amp;INDIRECT("Main!B9")&amp;"'!B61")))</f>
        <v/>
      </c>
      <c r="C47" s="35">
        <v>0</v>
      </c>
      <c r="D47" s="15"/>
      <c r="E47" s="15"/>
      <c r="F47" s="15"/>
      <c r="G47" s="15"/>
      <c r="H47" s="15"/>
      <c r="I47" s="45"/>
    </row>
    <row r="48" s="1" customFormat="1" ht="35" customHeight="1" spans="1:9">
      <c r="A48" s="34" t="str" cm="1">
        <f ca="1" t="array" ref="A48">IF((INDIRECT("'"&amp;INDIRECT("Main!B9")&amp;"'!A62"))=0,"",(INDIRECT("'"&amp;INDIRECT("Main!B9")&amp;"'!A62")))</f>
        <v/>
      </c>
      <c r="B48" s="34" t="str" cm="1">
        <f ca="1" t="array" ref="B48">IF((INDIRECT("'"&amp;INDIRECT("Main!B9")&amp;"'!B62"))=0,"",(INDIRECT("'"&amp;INDIRECT("Main!B9")&amp;"'!B62")))</f>
        <v/>
      </c>
      <c r="C48" s="35">
        <v>0</v>
      </c>
      <c r="D48" s="15"/>
      <c r="E48" s="15"/>
      <c r="F48" s="15"/>
      <c r="G48" s="15"/>
      <c r="H48" s="15"/>
      <c r="I48" s="45"/>
    </row>
    <row r="49" s="1" customFormat="1" ht="35" customHeight="1" spans="1:9">
      <c r="A49" s="34" t="str" cm="1">
        <f ca="1" t="array" ref="A49">IF((INDIRECT("'"&amp;INDIRECT("Main!B9")&amp;"'!A63"))=0,"",(INDIRECT("'"&amp;INDIRECT("Main!B9")&amp;"'!A63")))</f>
        <v/>
      </c>
      <c r="B49" s="34" t="str" cm="1">
        <f ca="1" t="array" ref="B49">IF((INDIRECT("'"&amp;INDIRECT("Main!B9")&amp;"'!B63"))=0,"",(INDIRECT("'"&amp;INDIRECT("Main!B9")&amp;"'!B63")))</f>
        <v/>
      </c>
      <c r="C49" s="35">
        <v>0</v>
      </c>
      <c r="D49" s="15"/>
      <c r="E49" s="15"/>
      <c r="F49" s="15"/>
      <c r="G49" s="15"/>
      <c r="H49" s="15"/>
      <c r="I49" s="45"/>
    </row>
    <row r="50" s="1" customFormat="1" ht="35" customHeight="1" spans="1:9">
      <c r="A50" s="34" t="str" cm="1">
        <f ca="1" t="array" ref="A50">IF((INDIRECT("'"&amp;INDIRECT("Main!B9")&amp;"'!A64"))=0,"",(INDIRECT("'"&amp;INDIRECT("Main!B9")&amp;"'!A64")))</f>
        <v/>
      </c>
      <c r="B50" s="34" t="str" cm="1">
        <f ca="1" t="array" ref="B50">IF((INDIRECT("'"&amp;INDIRECT("Main!B9")&amp;"'!B64"))=0,"",(INDIRECT("'"&amp;INDIRECT("Main!B9")&amp;"'!B64")))</f>
        <v/>
      </c>
      <c r="C50" s="35">
        <v>0</v>
      </c>
      <c r="D50" s="15"/>
      <c r="E50" s="15"/>
      <c r="F50" s="15"/>
      <c r="G50" s="15"/>
      <c r="H50" s="15"/>
      <c r="I50" s="45"/>
    </row>
    <row r="51" s="1" customFormat="1" ht="35" customHeight="1" spans="1:9">
      <c r="A51" s="34" t="str" cm="1">
        <f ca="1" t="array" ref="A51">IF((INDIRECT("'"&amp;INDIRECT("Main!B9")&amp;"'!A65"))=0,"",(INDIRECT("'"&amp;INDIRECT("Main!B9")&amp;"'!A65")))</f>
        <v/>
      </c>
      <c r="B51" s="34" t="str" cm="1">
        <f ca="1" t="array" ref="B51">IF((INDIRECT("'"&amp;INDIRECT("Main!B9")&amp;"'!B65"))=0,"",(INDIRECT("'"&amp;INDIRECT("Main!B9")&amp;"'!B65")))</f>
        <v/>
      </c>
      <c r="C51" s="35">
        <v>0</v>
      </c>
      <c r="D51" s="15"/>
      <c r="E51" s="15"/>
      <c r="F51" s="15"/>
      <c r="G51" s="15"/>
      <c r="H51" s="15"/>
      <c r="I51" s="45"/>
    </row>
    <row r="52" s="1" customFormat="1" ht="35" customHeight="1" spans="1:9">
      <c r="A52" s="34" t="str" cm="1">
        <f ca="1" t="array" ref="A52">IF((INDIRECT("'"&amp;INDIRECT("Main!B9")&amp;"'!A66"))=0,"",(INDIRECT("'"&amp;INDIRECT("Main!B9")&amp;"'!A66")))</f>
        <v/>
      </c>
      <c r="B52" s="34" t="str" cm="1">
        <f ca="1" t="array" ref="B52">IF((INDIRECT("'"&amp;INDIRECT("Main!B9")&amp;"'!B66"))=0,"",(INDIRECT("'"&amp;INDIRECT("Main!B9")&amp;"'!B66")))</f>
        <v/>
      </c>
      <c r="C52" s="35">
        <v>0</v>
      </c>
      <c r="D52" s="15"/>
      <c r="E52" s="15"/>
      <c r="F52" s="15"/>
      <c r="G52" s="15"/>
      <c r="H52" s="15"/>
      <c r="I52" s="45"/>
    </row>
    <row r="53" s="1" customFormat="1" ht="35" customHeight="1" spans="1:9">
      <c r="A53" s="34" t="str" cm="1">
        <f ca="1" t="array" ref="A53">IF((INDIRECT("'"&amp;INDIRECT("Main!B9")&amp;"'!A67"))=0,"",(INDIRECT("'"&amp;INDIRECT("Main!B9")&amp;"'!A67")))</f>
        <v/>
      </c>
      <c r="B53" s="34" t="str" cm="1">
        <f ca="1" t="array" ref="B53">IF((INDIRECT("'"&amp;INDIRECT("Main!B9")&amp;"'!B67"))=0,"",(INDIRECT("'"&amp;INDIRECT("Main!B9")&amp;"'!B67")))</f>
        <v/>
      </c>
      <c r="C53" s="35">
        <v>0</v>
      </c>
      <c r="D53" s="15"/>
      <c r="E53" s="15"/>
      <c r="F53" s="15"/>
      <c r="G53" s="15"/>
      <c r="H53" s="15"/>
      <c r="I53" s="45"/>
    </row>
    <row r="54" s="1" customFormat="1" ht="35" customHeight="1" spans="1:9">
      <c r="A54" s="34" t="str" cm="1">
        <f ca="1" t="array" ref="A54">IF((INDIRECT("'"&amp;INDIRECT("Main!B9")&amp;"'!A68"))=0,"",(INDIRECT("'"&amp;INDIRECT("Main!B9")&amp;"'!A68")))</f>
        <v/>
      </c>
      <c r="B54" s="34" t="str" cm="1">
        <f ca="1" t="array" ref="B54">IF((INDIRECT("'"&amp;INDIRECT("Main!B9")&amp;"'!B68"))=0,"",(INDIRECT("'"&amp;INDIRECT("Main!B9")&amp;"'!B68")))</f>
        <v/>
      </c>
      <c r="C54" s="35">
        <v>0</v>
      </c>
      <c r="D54" s="15"/>
      <c r="E54" s="15"/>
      <c r="F54" s="15"/>
      <c r="G54" s="15"/>
      <c r="H54" s="15"/>
      <c r="I54" s="45"/>
    </row>
    <row r="55" s="1" customFormat="1" ht="35" customHeight="1" spans="1:9">
      <c r="A55" s="36"/>
      <c r="B55" s="37" t="s">
        <v>48</v>
      </c>
      <c r="C55" s="35">
        <f>SUM(C47:C54)</f>
        <v>0</v>
      </c>
      <c r="D55" s="15"/>
      <c r="E55" s="15"/>
      <c r="F55" s="15"/>
      <c r="G55" s="15"/>
      <c r="H55" s="15"/>
      <c r="I55" s="45"/>
    </row>
    <row r="56" s="1" customFormat="1" ht="35" customHeight="1" spans="1:9">
      <c r="A56" s="83" t="s">
        <v>49</v>
      </c>
      <c r="B56" s="84"/>
      <c r="C56" s="85"/>
      <c r="D56" s="15"/>
      <c r="E56" s="15"/>
      <c r="F56" s="15"/>
      <c r="G56" s="15"/>
      <c r="H56" s="15"/>
      <c r="I56" s="45"/>
    </row>
    <row r="57" s="1" customFormat="1" ht="35" customHeight="1" spans="1:9">
      <c r="A57" s="34" t="str" cm="1">
        <f ca="1" t="array" ref="A57">IF((INDIRECT("'"&amp;INDIRECT("Main!B9")&amp;"'!A71"))=0,"",(INDIRECT("'"&amp;INDIRECT("Main!B9")&amp;"'!A71")))</f>
        <v/>
      </c>
      <c r="B57" s="34" t="str" cm="1">
        <f ca="1" t="array" ref="B57">IF((INDIRECT("'"&amp;INDIRECT("Main!B9")&amp;"'!B71"))=0,"",(INDIRECT("'"&amp;INDIRECT("Main!B9")&amp;"'!B71")))</f>
        <v/>
      </c>
      <c r="C57" s="35">
        <v>0</v>
      </c>
      <c r="D57" s="15"/>
      <c r="E57" s="15"/>
      <c r="F57" s="15"/>
      <c r="G57" s="15"/>
      <c r="H57" s="15"/>
      <c r="I57" s="45"/>
    </row>
    <row r="58" s="1" customFormat="1" ht="35" customHeight="1" spans="1:9">
      <c r="A58" s="34" t="str" cm="1">
        <f ca="1" t="array" ref="A58">IF((INDIRECT("'"&amp;INDIRECT("Main!B9")&amp;"'!A72"))=0,"",(INDIRECT("'"&amp;INDIRECT("Main!B9")&amp;"'!A72")))</f>
        <v/>
      </c>
      <c r="B58" s="34" t="str" cm="1">
        <f ca="1" t="array" ref="B58">IF((INDIRECT("'"&amp;INDIRECT("Main!B9")&amp;"'!B72"))=0,"",(INDIRECT("'"&amp;INDIRECT("Main!B9")&amp;"'!B72")))</f>
        <v/>
      </c>
      <c r="C58" s="35">
        <v>0</v>
      </c>
      <c r="D58" s="15"/>
      <c r="E58" s="15"/>
      <c r="F58" s="15"/>
      <c r="G58" s="15"/>
      <c r="H58" s="15"/>
      <c r="I58" s="45"/>
    </row>
    <row r="59" s="1" customFormat="1" ht="35" customHeight="1" spans="1:9">
      <c r="A59" s="34" t="str" cm="1">
        <f ca="1" t="array" ref="A59">IF((INDIRECT("'"&amp;INDIRECT("Main!B9")&amp;"'!A73"))=0,"",(INDIRECT("'"&amp;INDIRECT("Main!B9")&amp;"'!A73")))</f>
        <v/>
      </c>
      <c r="B59" s="34" t="str" cm="1">
        <f ca="1" t="array" ref="B59">IF((INDIRECT("'"&amp;INDIRECT("Main!B9")&amp;"'!B73"))=0,"",(INDIRECT("'"&amp;INDIRECT("Main!B9")&amp;"'!B73")))</f>
        <v/>
      </c>
      <c r="C59" s="35">
        <v>0</v>
      </c>
      <c r="D59" s="15"/>
      <c r="E59" s="15"/>
      <c r="F59" s="15"/>
      <c r="G59" s="15"/>
      <c r="H59" s="15"/>
      <c r="I59" s="45"/>
    </row>
    <row r="60" s="1" customFormat="1" ht="35" customHeight="1" spans="1:9">
      <c r="A60" s="34" t="str" cm="1">
        <f ca="1" t="array" ref="A60">IF((INDIRECT("'"&amp;INDIRECT("Main!B9")&amp;"'!A74"))=0,"",(INDIRECT("'"&amp;INDIRECT("Main!B9")&amp;"'!A74")))</f>
        <v/>
      </c>
      <c r="B60" s="34" t="str" cm="1">
        <f ca="1" t="array" ref="B60">IF((INDIRECT("'"&amp;INDIRECT("Main!B9")&amp;"'!B74"))=0,"",(INDIRECT("'"&amp;INDIRECT("Main!B9")&amp;"'!B74")))</f>
        <v/>
      </c>
      <c r="C60" s="35">
        <v>0</v>
      </c>
      <c r="D60" s="15"/>
      <c r="E60" s="15"/>
      <c r="F60" s="15"/>
      <c r="G60" s="15"/>
      <c r="H60" s="15"/>
      <c r="I60" s="45"/>
    </row>
    <row r="61" s="1" customFormat="1" ht="35" customHeight="1" spans="1:9">
      <c r="A61" s="34" t="str" cm="1">
        <f ca="1" t="array" ref="A61">IF((INDIRECT("'"&amp;INDIRECT("Main!B9")&amp;"'!A75"))=0,"",(INDIRECT("'"&amp;INDIRECT("Main!B9")&amp;"'!A75")))</f>
        <v/>
      </c>
      <c r="B61" s="34" t="str" cm="1">
        <f ca="1" t="array" ref="B61">IF((INDIRECT("'"&amp;INDIRECT("Main!B9")&amp;"'!B75"))=0,"",(INDIRECT("'"&amp;INDIRECT("Main!B9")&amp;"'!B75")))</f>
        <v/>
      </c>
      <c r="C61" s="35">
        <v>0</v>
      </c>
      <c r="D61" s="15"/>
      <c r="E61" s="15"/>
      <c r="F61" s="15"/>
      <c r="G61" s="15"/>
      <c r="H61" s="15"/>
      <c r="I61" s="45"/>
    </row>
    <row r="62" s="1" customFormat="1" ht="35" customHeight="1" spans="1:9">
      <c r="A62" s="34" t="str" cm="1">
        <f ca="1" t="array" ref="A62">IF((INDIRECT("'"&amp;INDIRECT("Main!B9")&amp;"'!A76"))=0,"",(INDIRECT("'"&amp;INDIRECT("Main!B9")&amp;"'!A76")))</f>
        <v/>
      </c>
      <c r="B62" s="34" t="str" cm="1">
        <f ca="1" t="array" ref="B62">IF((INDIRECT("'"&amp;INDIRECT("Main!B9")&amp;"'!B76"))=0,"",(INDIRECT("'"&amp;INDIRECT("Main!B9")&amp;"'!B76")))</f>
        <v/>
      </c>
      <c r="C62" s="35">
        <v>0</v>
      </c>
      <c r="D62" s="15"/>
      <c r="E62" s="15"/>
      <c r="F62" s="15"/>
      <c r="G62" s="15"/>
      <c r="H62" s="15"/>
      <c r="I62" s="45"/>
    </row>
    <row r="63" s="1" customFormat="1" ht="35" customHeight="1" spans="1:9">
      <c r="A63" s="34" t="str" cm="1">
        <f ca="1" t="array" ref="A63">IF((INDIRECT("'"&amp;INDIRECT("Main!B9")&amp;"'!A77"))=0,"",(INDIRECT("'"&amp;INDIRECT("Main!B9")&amp;"'!A77")))</f>
        <v/>
      </c>
      <c r="B63" s="34" t="str" cm="1">
        <f ca="1" t="array" ref="B63">IF((INDIRECT("'"&amp;INDIRECT("Main!B9")&amp;"'!B77"))=0,"",(INDIRECT("'"&amp;INDIRECT("Main!B9")&amp;"'!B77")))</f>
        <v/>
      </c>
      <c r="C63" s="35">
        <v>0</v>
      </c>
      <c r="D63" s="15"/>
      <c r="E63" s="15"/>
      <c r="F63" s="15"/>
      <c r="G63" s="15"/>
      <c r="H63" s="15"/>
      <c r="I63" s="45"/>
    </row>
    <row r="64" s="1" customFormat="1" ht="35" customHeight="1" spans="1:9">
      <c r="A64" s="34" t="str" cm="1">
        <f ca="1" t="array" ref="A64">IF((INDIRECT("'"&amp;INDIRECT("Main!B9")&amp;"'!A78"))=0,"",(INDIRECT("'"&amp;INDIRECT("Main!B9")&amp;"'!A78")))</f>
        <v/>
      </c>
      <c r="B64" s="34" t="str" cm="1">
        <f ca="1" t="array" ref="B64">IF((INDIRECT("'"&amp;INDIRECT("Main!B9")&amp;"'!B78"))=0,"",(INDIRECT("'"&amp;INDIRECT("Main!B9")&amp;"'!B78")))</f>
        <v/>
      </c>
      <c r="C64" s="35">
        <v>0</v>
      </c>
      <c r="D64" s="15"/>
      <c r="E64" s="15"/>
      <c r="F64" s="15"/>
      <c r="G64" s="15"/>
      <c r="H64" s="15"/>
      <c r="I64" s="45"/>
    </row>
    <row r="65" s="1" customFormat="1" ht="35" customHeight="1" spans="1:9">
      <c r="A65" s="34" t="str" cm="1">
        <f ca="1" t="array" ref="A65">IF((INDIRECT("'"&amp;INDIRECT("Main!B9")&amp;"'!A79"))=0,"",(INDIRECT("'"&amp;INDIRECT("Main!B9")&amp;"'!A79")))</f>
        <v/>
      </c>
      <c r="B65" s="34" t="str" cm="1">
        <f ca="1" t="array" ref="B65">IF((INDIRECT("'"&amp;INDIRECT("Main!B9")&amp;"'!B79"))=0,"",(INDIRECT("'"&amp;INDIRECT("Main!B9")&amp;"'!B79")))</f>
        <v/>
      </c>
      <c r="C65" s="35">
        <v>0</v>
      </c>
      <c r="D65" s="15"/>
      <c r="E65" s="15"/>
      <c r="F65" s="15"/>
      <c r="G65" s="15"/>
      <c r="H65" s="15"/>
      <c r="I65" s="45"/>
    </row>
    <row r="66" s="1" customFormat="1" ht="35" customHeight="1" spans="1:9">
      <c r="A66" s="46"/>
      <c r="B66" s="37" t="s">
        <v>48</v>
      </c>
      <c r="C66" s="35">
        <f>SUM(C57:C65)</f>
        <v>0</v>
      </c>
      <c r="D66" s="15"/>
      <c r="E66" s="15"/>
      <c r="F66" s="15"/>
      <c r="G66" s="15"/>
      <c r="H66" s="15"/>
      <c r="I66" s="45"/>
    </row>
    <row r="67" s="1" customFormat="1" ht="35" customHeight="1" spans="1:9">
      <c r="A67" s="83" t="s">
        <v>50</v>
      </c>
      <c r="B67" s="84"/>
      <c r="C67" s="85"/>
      <c r="D67" s="15"/>
      <c r="E67" s="15"/>
      <c r="F67" s="15"/>
      <c r="G67" s="15"/>
      <c r="H67" s="15"/>
      <c r="I67" s="45"/>
    </row>
    <row r="68" s="1" customFormat="1" ht="35" customHeight="1" spans="1:9">
      <c r="A68" s="47" t="str" cm="1">
        <f ca="1" t="array" ref="A68">IF((INDIRECT("'"&amp;INDIRECT("Main!B9")&amp;"'!A82"))=0,"",(INDIRECT("'"&amp;INDIRECT("Main!B9")&amp;"'!A82")))</f>
        <v/>
      </c>
      <c r="B68" s="47" t="str" cm="1">
        <f ca="1" t="array" ref="B68">IF((INDIRECT("'"&amp;INDIRECT("Main!B9")&amp;"'!B82"))=0,"",(INDIRECT("'"&amp;INDIRECT("Main!B9")&amp;"'!B82")))</f>
        <v/>
      </c>
      <c r="C68" s="35">
        <v>0</v>
      </c>
      <c r="D68" s="15"/>
      <c r="E68" s="15"/>
      <c r="F68" s="15"/>
      <c r="G68" s="15"/>
      <c r="H68" s="15"/>
      <c r="I68" s="45"/>
    </row>
    <row r="69" s="1" customFormat="1" ht="35" customHeight="1" spans="1:9">
      <c r="A69" s="47" t="str" cm="1">
        <f ca="1" t="array" ref="A69">IF((INDIRECT("'"&amp;INDIRECT("Main!B9")&amp;"'!A83"))=0,"",(INDIRECT("'"&amp;INDIRECT("Main!B9")&amp;"'!A83")))</f>
        <v/>
      </c>
      <c r="B69" s="47" t="str" cm="1">
        <f ca="1" t="array" ref="B69">IF((INDIRECT("'"&amp;INDIRECT("Main!B9")&amp;"'!B83"))=0,"",(INDIRECT("'"&amp;INDIRECT("Main!B9")&amp;"'!B83")))</f>
        <v/>
      </c>
      <c r="C69" s="35">
        <v>0</v>
      </c>
      <c r="D69" s="15"/>
      <c r="E69" s="15"/>
      <c r="F69" s="15"/>
      <c r="G69" s="15"/>
      <c r="H69" s="15"/>
      <c r="I69" s="45"/>
    </row>
    <row r="70" s="1" customFormat="1" ht="35" customHeight="1" spans="1:9">
      <c r="A70" s="47" t="str" cm="1">
        <f ca="1" t="array" ref="A70">IF((INDIRECT("'"&amp;INDIRECT("Main!B9")&amp;"'!A84"))=0,"",(INDIRECT("'"&amp;INDIRECT("Main!B9")&amp;"'!A84")))</f>
        <v/>
      </c>
      <c r="B70" s="47" t="str" cm="1">
        <f ca="1" t="array" ref="B70">IF((INDIRECT("'"&amp;INDIRECT("Main!B9")&amp;"'!B84"))=0,"",(INDIRECT("'"&amp;INDIRECT("Main!B9")&amp;"'!B84")))</f>
        <v/>
      </c>
      <c r="C70" s="35">
        <v>0</v>
      </c>
      <c r="D70" s="15"/>
      <c r="E70" s="15"/>
      <c r="F70" s="15"/>
      <c r="G70" s="15"/>
      <c r="H70" s="15"/>
      <c r="I70" s="45"/>
    </row>
    <row r="71" s="1" customFormat="1" ht="35" customHeight="1" spans="1:9">
      <c r="A71" s="47" t="str" cm="1">
        <f ca="1" t="array" ref="A71">IF((INDIRECT("'"&amp;INDIRECT("Main!B9")&amp;"'!A85"))=0,"",(INDIRECT("'"&amp;INDIRECT("Main!B9")&amp;"'!A85")))</f>
        <v/>
      </c>
      <c r="B71" s="47" t="str" cm="1">
        <f ca="1" t="array" ref="B71">IF((INDIRECT("'"&amp;INDIRECT("Main!B9")&amp;"'!B85"))=0,"",(INDIRECT("'"&amp;INDIRECT("Main!B9")&amp;"'!B85")))</f>
        <v/>
      </c>
      <c r="C71" s="35">
        <v>0</v>
      </c>
      <c r="D71" s="15"/>
      <c r="E71" s="15"/>
      <c r="F71" s="15"/>
      <c r="G71" s="15"/>
      <c r="H71" s="15"/>
      <c r="I71" s="45"/>
    </row>
    <row r="72" s="1" customFormat="1" ht="35" customHeight="1" spans="1:9">
      <c r="A72" s="47" t="str" cm="1">
        <f ca="1" t="array" ref="A72">IF((INDIRECT("'"&amp;INDIRECT("Main!B9")&amp;"'!A86"))=0,"",(INDIRECT("'"&amp;INDIRECT("Main!B9")&amp;"'!A86")))</f>
        <v/>
      </c>
      <c r="B72" s="47" t="str" cm="1">
        <f ca="1" t="array" ref="B72">IF((INDIRECT("'"&amp;INDIRECT("Main!B9")&amp;"'!B86"))=0,"",(INDIRECT("'"&amp;INDIRECT("Main!B9")&amp;"'!B86")))</f>
        <v/>
      </c>
      <c r="C72" s="35">
        <v>0</v>
      </c>
      <c r="D72" s="15"/>
      <c r="E72" s="15"/>
      <c r="F72" s="15"/>
      <c r="G72" s="15"/>
      <c r="H72" s="15"/>
      <c r="I72" s="45"/>
    </row>
    <row r="73" s="1" customFormat="1" ht="35" customHeight="1" spans="1:9">
      <c r="A73" s="47" t="str" cm="1">
        <f ca="1" t="array" ref="A73">IF((INDIRECT("'"&amp;INDIRECT("Main!B9")&amp;"'!A87"))=0,"",(INDIRECT("'"&amp;INDIRECT("Main!B9")&amp;"'!A87")))</f>
        <v/>
      </c>
      <c r="B73" s="47" t="str" cm="1">
        <f ca="1" t="array" ref="B73">IF((INDIRECT("'"&amp;INDIRECT("Main!B9")&amp;"'!B87"))=0,"",(INDIRECT("'"&amp;INDIRECT("Main!B9")&amp;"'!B87")))</f>
        <v/>
      </c>
      <c r="C73" s="35">
        <v>0</v>
      </c>
      <c r="D73" s="15"/>
      <c r="E73" s="15"/>
      <c r="F73" s="15"/>
      <c r="G73" s="15"/>
      <c r="H73" s="15"/>
      <c r="I73" s="45"/>
    </row>
    <row r="74" s="1" customFormat="1" ht="35" customHeight="1" spans="1:9">
      <c r="A74" s="47" t="str" cm="1">
        <f ca="1" t="array" ref="A74">IF((INDIRECT("'"&amp;INDIRECT("Main!B9")&amp;"'!A88"))=0,"",(INDIRECT("'"&amp;INDIRECT("Main!B9")&amp;"'!A88")))</f>
        <v/>
      </c>
      <c r="B74" s="47" t="str" cm="1">
        <f ca="1" t="array" ref="B74">IF((INDIRECT("'"&amp;INDIRECT("Main!B9")&amp;"'!B88"))=0,"",(INDIRECT("'"&amp;INDIRECT("Main!B9")&amp;"'!B88")))</f>
        <v/>
      </c>
      <c r="C74" s="35">
        <v>0</v>
      </c>
      <c r="D74" s="15"/>
      <c r="E74" s="15"/>
      <c r="F74" s="15"/>
      <c r="G74" s="15"/>
      <c r="H74" s="15"/>
      <c r="I74" s="45"/>
    </row>
    <row r="75" s="1" customFormat="1" ht="35" customHeight="1" spans="1:9">
      <c r="A75" s="46"/>
      <c r="B75" s="37" t="s">
        <v>48</v>
      </c>
      <c r="C75" s="35">
        <f>SUM(C68:C74)</f>
        <v>0</v>
      </c>
      <c r="D75" s="15"/>
      <c r="E75" s="15"/>
      <c r="F75" s="15"/>
      <c r="G75" s="15"/>
      <c r="H75" s="15"/>
      <c r="I75" s="45"/>
    </row>
    <row r="76" s="1" customFormat="1" ht="35" customHeight="1" spans="1:9">
      <c r="A76" s="83" t="s">
        <v>51</v>
      </c>
      <c r="B76" s="84"/>
      <c r="C76" s="85"/>
      <c r="D76" s="15"/>
      <c r="E76" s="15"/>
      <c r="F76" s="15"/>
      <c r="G76" s="15"/>
      <c r="H76" s="15"/>
      <c r="I76" s="45"/>
    </row>
    <row r="77" s="1" customFormat="1" ht="35" customHeight="1" spans="1:9">
      <c r="A77" s="34" t="str" cm="1">
        <f ca="1" t="array" ref="A77">IF((INDIRECT("'"&amp;INDIRECT("Main!B9")&amp;"'!A91"))=0,"",(INDIRECT("'"&amp;INDIRECT("Main!B9")&amp;"'!A91")))</f>
        <v/>
      </c>
      <c r="B77" s="34" t="str" cm="1">
        <f ca="1" t="array" ref="B77">IF((INDIRECT("'"&amp;INDIRECT("Main!B9")&amp;"'!B91"))=0,"",(INDIRECT("'"&amp;INDIRECT("Main!B9")&amp;"'!B91")))</f>
        <v/>
      </c>
      <c r="C77" s="35">
        <v>0</v>
      </c>
      <c r="D77" s="15"/>
      <c r="E77" s="15"/>
      <c r="F77" s="15"/>
      <c r="G77" s="15"/>
      <c r="H77" s="15"/>
      <c r="I77" s="45"/>
    </row>
    <row r="78" s="1" customFormat="1" ht="35" customHeight="1" spans="1:9">
      <c r="A78" s="34" t="str" cm="1">
        <f ca="1" t="array" ref="A78">IF((INDIRECT("'"&amp;INDIRECT("Main!B9")&amp;"'!A92"))=0,"",(INDIRECT("'"&amp;INDIRECT("Main!B9")&amp;"'!A92")))</f>
        <v/>
      </c>
      <c r="B78" s="34" t="str" cm="1">
        <f ca="1" t="array" ref="B78">IF((INDIRECT("'"&amp;INDIRECT("Main!B9")&amp;"'!B92"))=0,"",(INDIRECT("'"&amp;INDIRECT("Main!B9")&amp;"'!B92")))</f>
        <v/>
      </c>
      <c r="C78" s="35">
        <v>0</v>
      </c>
      <c r="D78" s="15"/>
      <c r="E78" s="15"/>
      <c r="F78" s="15"/>
      <c r="G78" s="15"/>
      <c r="H78" s="15"/>
      <c r="I78" s="45"/>
    </row>
    <row r="79" s="1" customFormat="1" ht="35" customHeight="1" spans="1:9">
      <c r="A79" s="34" t="str" cm="1">
        <f ca="1" t="array" ref="A79">IF((INDIRECT("'"&amp;INDIRECT("Main!B9")&amp;"'!A93"))=0,"",(INDIRECT("'"&amp;INDIRECT("Main!B9")&amp;"'!A93")))</f>
        <v/>
      </c>
      <c r="B79" s="34" t="str" cm="1">
        <f ca="1" t="array" ref="B79">IF((INDIRECT("'"&amp;INDIRECT("Main!B9")&amp;"'!B93"))=0,"",(INDIRECT("'"&amp;INDIRECT("Main!B9")&amp;"'!B93")))</f>
        <v/>
      </c>
      <c r="C79" s="35">
        <v>0</v>
      </c>
      <c r="D79" s="15"/>
      <c r="E79" s="15"/>
      <c r="F79" s="15"/>
      <c r="G79" s="15"/>
      <c r="H79" s="15"/>
      <c r="I79" s="45"/>
    </row>
    <row r="80" s="1" customFormat="1" ht="35" customHeight="1" spans="1:9">
      <c r="A80" s="34" t="str" cm="1">
        <f ca="1" t="array" ref="A80">IF((INDIRECT("'"&amp;INDIRECT("Main!B9")&amp;"'!A94"))=0,"",(INDIRECT("'"&amp;INDIRECT("Main!B9")&amp;"'!A94")))</f>
        <v/>
      </c>
      <c r="B80" s="34" t="str" cm="1">
        <f ca="1" t="array" ref="B80">IF((INDIRECT("'"&amp;INDIRECT("Main!B9")&amp;"'!B94"))=0,"",(INDIRECT("'"&amp;INDIRECT("Main!B9")&amp;"'!B94")))</f>
        <v/>
      </c>
      <c r="C80" s="35">
        <v>0</v>
      </c>
      <c r="D80" s="15"/>
      <c r="E80" s="15"/>
      <c r="F80" s="15"/>
      <c r="G80" s="15"/>
      <c r="H80" s="15"/>
      <c r="I80" s="45"/>
    </row>
    <row r="81" s="1" customFormat="1" ht="35" customHeight="1" spans="1:9">
      <c r="A81" s="34" t="str" cm="1">
        <f ca="1" t="array" ref="A81">IF((INDIRECT("'"&amp;INDIRECT("Main!B9")&amp;"'!A95"))=0,"",(INDIRECT("'"&amp;INDIRECT("Main!B9")&amp;"'!A95")))</f>
        <v/>
      </c>
      <c r="B81" s="34" t="str" cm="1">
        <f ca="1" t="array" ref="B81">IF((INDIRECT("'"&amp;INDIRECT("Main!B9")&amp;"'!B95"))=0,"",(INDIRECT("'"&amp;INDIRECT("Main!B9")&amp;"'!B95")))</f>
        <v/>
      </c>
      <c r="C81" s="35">
        <v>0</v>
      </c>
      <c r="D81" s="15"/>
      <c r="E81" s="15"/>
      <c r="F81" s="15"/>
      <c r="G81" s="15"/>
      <c r="H81" s="15"/>
      <c r="I81" s="45"/>
    </row>
    <row r="82" s="1" customFormat="1" ht="35" customHeight="1" spans="1:9">
      <c r="A82" s="34" t="str" cm="1">
        <f ca="1" t="array" ref="A82">IF((INDIRECT("'"&amp;INDIRECT("Main!B9")&amp;"'!A96"))=0,"",(INDIRECT("'"&amp;INDIRECT("Main!B9")&amp;"'!A96")))</f>
        <v/>
      </c>
      <c r="B82" s="34" t="str" cm="1">
        <f ca="1" t="array" ref="B82">IF((INDIRECT("'"&amp;INDIRECT("Main!B9")&amp;"'!B96"))=0,"",(INDIRECT("'"&amp;INDIRECT("Main!B9")&amp;"'!B96")))</f>
        <v/>
      </c>
      <c r="C82" s="35">
        <v>0</v>
      </c>
      <c r="D82" s="15"/>
      <c r="E82" s="15"/>
      <c r="F82" s="15"/>
      <c r="G82" s="15"/>
      <c r="H82" s="15"/>
      <c r="I82" s="45"/>
    </row>
    <row r="83" s="1" customFormat="1" ht="35" customHeight="1" spans="1:9">
      <c r="A83" s="34" t="str" cm="1">
        <f ca="1" t="array" ref="A83">IF((INDIRECT("'"&amp;INDIRECT("Main!B9")&amp;"'!A97"))=0,"",(INDIRECT("'"&amp;INDIRECT("Main!B9")&amp;"'!A97")))</f>
        <v/>
      </c>
      <c r="B83" s="34" t="str" cm="1">
        <f ca="1" t="array" ref="B83">IF((INDIRECT("'"&amp;INDIRECT("Main!B9")&amp;"'!B97"))=0,"",(INDIRECT("'"&amp;INDIRECT("Main!B9")&amp;"'!B97")))</f>
        <v/>
      </c>
      <c r="C83" s="35">
        <v>0</v>
      </c>
      <c r="D83" s="15"/>
      <c r="E83" s="15"/>
      <c r="F83" s="15"/>
      <c r="G83" s="15"/>
      <c r="H83" s="15"/>
      <c r="I83" s="45"/>
    </row>
    <row r="84" s="1" customFormat="1" ht="35" customHeight="1" spans="1:9">
      <c r="A84" s="34" t="str" cm="1">
        <f ca="1" t="array" ref="A84">IF((INDIRECT("'"&amp;INDIRECT("Main!B9")&amp;"'!A98"))=0,"",(INDIRECT("'"&amp;INDIRECT("Main!B9")&amp;"'!A98")))</f>
        <v/>
      </c>
      <c r="B84" s="34" t="str" cm="1">
        <f ca="1" t="array" ref="B84">IF((INDIRECT("'"&amp;INDIRECT("Main!B9")&amp;"'!B98"))=0,"",(INDIRECT("'"&amp;INDIRECT("Main!B9")&amp;"'!B98")))</f>
        <v/>
      </c>
      <c r="C84" s="35">
        <v>0</v>
      </c>
      <c r="D84" s="15"/>
      <c r="E84" s="15"/>
      <c r="F84" s="15"/>
      <c r="G84" s="15"/>
      <c r="H84" s="15"/>
      <c r="I84" s="45"/>
    </row>
    <row r="85" s="1" customFormat="1" ht="35" customHeight="1" spans="1:9">
      <c r="A85" s="46"/>
      <c r="B85" s="37" t="s">
        <v>48</v>
      </c>
      <c r="C85" s="35">
        <f>SUM(C77:C84)</f>
        <v>0</v>
      </c>
      <c r="D85" s="15"/>
      <c r="E85" s="15"/>
      <c r="F85" s="15"/>
      <c r="G85" s="15"/>
      <c r="H85" s="15"/>
      <c r="I85" s="45"/>
    </row>
    <row r="86" s="1" customFormat="1" ht="35" customHeight="1" spans="1:9">
      <c r="A86" s="83" t="s">
        <v>52</v>
      </c>
      <c r="B86" s="84"/>
      <c r="C86" s="85"/>
      <c r="D86" s="15"/>
      <c r="E86" s="15"/>
      <c r="F86" s="15"/>
      <c r="G86" s="15"/>
      <c r="H86" s="15"/>
      <c r="I86" s="45"/>
    </row>
    <row r="87" s="1" customFormat="1" ht="35" customHeight="1" spans="1:9">
      <c r="A87" s="34" t="str" cm="1">
        <f ca="1" t="array" ref="A87">IF((INDIRECT("'"&amp;INDIRECT("Main!B9")&amp;"'!A101"))=0,"",(INDIRECT("'"&amp;INDIRECT("Main!B9")&amp;"'!A101")))</f>
        <v/>
      </c>
      <c r="B87" s="34" t="str" cm="1">
        <f ca="1" t="array" ref="B87">IF((INDIRECT("'"&amp;INDIRECT("Main!B9")&amp;"'!B101"))=0,"",(INDIRECT("'"&amp;INDIRECT("Main!B9")&amp;"'!B101")))</f>
        <v/>
      </c>
      <c r="C87" s="35">
        <v>0</v>
      </c>
      <c r="D87" s="15"/>
      <c r="E87" s="15"/>
      <c r="F87" s="15"/>
      <c r="G87" s="15"/>
      <c r="H87" s="15"/>
      <c r="I87" s="45"/>
    </row>
    <row r="88" s="1" customFormat="1" ht="35" customHeight="1" spans="1:9">
      <c r="A88" s="34" t="str" cm="1">
        <f ca="1" t="array" ref="A88">IF((INDIRECT("'"&amp;INDIRECT("Main!B9")&amp;"'!A102"))=0,"",(INDIRECT("'"&amp;INDIRECT("Main!B9")&amp;"'!A102")))</f>
        <v/>
      </c>
      <c r="B88" s="34" t="str" cm="1">
        <f ca="1" t="array" ref="B88">IF((INDIRECT("'"&amp;INDIRECT("Main!B9")&amp;"'!B102"))=0,"",(INDIRECT("'"&amp;INDIRECT("Main!B9")&amp;"'!B102")))</f>
        <v/>
      </c>
      <c r="C88" s="35">
        <v>0</v>
      </c>
      <c r="D88" s="15"/>
      <c r="E88" s="15"/>
      <c r="F88" s="15"/>
      <c r="G88" s="15"/>
      <c r="H88" s="15"/>
      <c r="I88" s="45"/>
    </row>
    <row r="89" s="1" customFormat="1" ht="35" customHeight="1" spans="1:9">
      <c r="A89" s="34" t="str" cm="1">
        <f ca="1" t="array" ref="A89">IF((INDIRECT("'"&amp;INDIRECT("Main!B9")&amp;"'!A103"))=0,"",(INDIRECT("'"&amp;INDIRECT("Main!B9")&amp;"'!A103")))</f>
        <v/>
      </c>
      <c r="B89" s="34" t="str" cm="1">
        <f ca="1" t="array" ref="B89">IF((INDIRECT("'"&amp;INDIRECT("Main!B9")&amp;"'!B103"))=0,"",(INDIRECT("'"&amp;INDIRECT("Main!B9")&amp;"'!B103")))</f>
        <v/>
      </c>
      <c r="C89" s="35">
        <v>0</v>
      </c>
      <c r="D89" s="15"/>
      <c r="E89" s="15"/>
      <c r="F89" s="15"/>
      <c r="G89" s="15"/>
      <c r="H89" s="15"/>
      <c r="I89" s="45"/>
    </row>
    <row r="90" s="1" customFormat="1" ht="35" customHeight="1" spans="1:9">
      <c r="A90" s="34" t="str" cm="1">
        <f ca="1" t="array" ref="A90">IF((INDIRECT("'"&amp;INDIRECT("Main!B9")&amp;"'!A104"))=0,"",(INDIRECT("'"&amp;INDIRECT("Main!B9")&amp;"'!A104")))</f>
        <v/>
      </c>
      <c r="B90" s="34" t="str" cm="1">
        <f ca="1" t="array" ref="B90">IF((INDIRECT("'"&amp;INDIRECT("Main!B9")&amp;"'!B104"))=0,"",(INDIRECT("'"&amp;INDIRECT("Main!B9")&amp;"'!B104")))</f>
        <v/>
      </c>
      <c r="C90" s="35">
        <v>0</v>
      </c>
      <c r="D90" s="15"/>
      <c r="E90" s="62"/>
      <c r="F90" s="15"/>
      <c r="G90" s="15"/>
      <c r="H90" s="15"/>
      <c r="I90" s="45"/>
    </row>
    <row r="91" s="1" customFormat="1" ht="35" customHeight="1" spans="1:9">
      <c r="A91" s="34" t="str" cm="1">
        <f ca="1" t="array" ref="A91">IF((INDIRECT("'"&amp;INDIRECT("Main!B9")&amp;"'!A105"))=0,"",(INDIRECT("'"&amp;INDIRECT("Main!B9")&amp;"'!A105")))</f>
        <v/>
      </c>
      <c r="B91" s="34" t="str" cm="1">
        <f ca="1" t="array" ref="B91">IF((INDIRECT("'"&amp;INDIRECT("Main!B9")&amp;"'!B105"))=0,"",(INDIRECT("'"&amp;INDIRECT("Main!B9")&amp;"'!B105")))</f>
        <v/>
      </c>
      <c r="C91" s="35">
        <v>0</v>
      </c>
      <c r="D91" s="15"/>
      <c r="E91" s="15"/>
      <c r="F91" s="15"/>
      <c r="G91" s="15"/>
      <c r="H91" s="15"/>
      <c r="I91" s="45"/>
    </row>
    <row r="92" s="1" customFormat="1" ht="35" customHeight="1" spans="1:9">
      <c r="A92" s="34" t="str" cm="1">
        <f ca="1" t="array" ref="A92">IF((INDIRECT("'"&amp;INDIRECT("Main!B9")&amp;"'!A106"))=0,"",(INDIRECT("'"&amp;INDIRECT("Main!B9")&amp;"'!A106")))</f>
        <v/>
      </c>
      <c r="B92" s="34" t="str" cm="1">
        <f ca="1" t="array" ref="B92">IF((INDIRECT("'"&amp;INDIRECT("Main!B9")&amp;"'!B106"))=0,"",(INDIRECT("'"&amp;INDIRECT("Main!B9")&amp;"'!B106")))</f>
        <v/>
      </c>
      <c r="C92" s="35">
        <v>0</v>
      </c>
      <c r="D92" s="15"/>
      <c r="E92" s="15"/>
      <c r="F92" s="15"/>
      <c r="G92" s="15"/>
      <c r="H92" s="15"/>
      <c r="I92" s="45"/>
    </row>
    <row r="93" s="1" customFormat="1" ht="35" customHeight="1" spans="1:9">
      <c r="A93" s="34" t="str" cm="1">
        <f ca="1" t="array" ref="A93">IF((INDIRECT("'"&amp;INDIRECT("Main!B9")&amp;"'!A107"))=0,"",(INDIRECT("'"&amp;INDIRECT("Main!B9")&amp;"'!A107")))</f>
        <v/>
      </c>
      <c r="B93" s="34" t="str" cm="1">
        <f ca="1" t="array" ref="B93">IF((INDIRECT("'"&amp;INDIRECT("Main!B9")&amp;"'!B107"))=0,"",(INDIRECT("'"&amp;INDIRECT("Main!B9")&amp;"'!B107")))</f>
        <v/>
      </c>
      <c r="C93" s="35">
        <v>0</v>
      </c>
      <c r="D93" s="15"/>
      <c r="E93" s="15"/>
      <c r="F93" s="15"/>
      <c r="G93" s="15"/>
      <c r="H93" s="15"/>
      <c r="I93" s="45"/>
    </row>
    <row r="94" s="1" customFormat="1" ht="35" customHeight="1" spans="1:9">
      <c r="A94" s="34" t="str" cm="1">
        <f ca="1" t="array" ref="A94">IF((INDIRECT("'"&amp;INDIRECT("Main!B9")&amp;"'!A108"))=0,"",(INDIRECT("'"&amp;INDIRECT("Main!B9")&amp;"'!A108")))</f>
        <v/>
      </c>
      <c r="B94" s="34" t="str" cm="1">
        <f ca="1" t="array" ref="B94">IF((INDIRECT("'"&amp;INDIRECT("Main!B9")&amp;"'!B108"))=0,"",(INDIRECT("'"&amp;INDIRECT("Main!B9")&amp;"'!B108")))</f>
        <v/>
      </c>
      <c r="C94" s="35">
        <v>0</v>
      </c>
      <c r="D94" s="15"/>
      <c r="E94" s="15"/>
      <c r="F94" s="15"/>
      <c r="G94" s="15"/>
      <c r="H94" s="15"/>
      <c r="I94" s="45"/>
    </row>
    <row r="95" s="1" customFormat="1" ht="35" customHeight="1" spans="1:9">
      <c r="A95" s="47"/>
      <c r="B95" s="37" t="s">
        <v>48</v>
      </c>
      <c r="C95" s="35">
        <f>SUM(C87:C94)</f>
        <v>0</v>
      </c>
      <c r="D95" s="15"/>
      <c r="E95" s="15"/>
      <c r="F95" s="15"/>
      <c r="G95" s="15"/>
      <c r="H95" s="15"/>
      <c r="I95" s="45"/>
    </row>
    <row r="96" s="1" customFormat="1" ht="35" customHeight="1" spans="1:9">
      <c r="A96" s="46"/>
      <c r="B96" s="37" t="s">
        <v>53</v>
      </c>
      <c r="C96" s="35">
        <f>C55+C66+C75+C85+C95</f>
        <v>0</v>
      </c>
      <c r="D96" s="15"/>
      <c r="E96" s="15"/>
      <c r="F96" s="15"/>
      <c r="G96" s="15"/>
      <c r="H96" s="15"/>
      <c r="I96" s="45"/>
    </row>
    <row r="97" s="1" customFormat="1" ht="35" customHeight="1" spans="1:9">
      <c r="A97" s="83" t="s">
        <v>54</v>
      </c>
      <c r="B97" s="84"/>
      <c r="C97" s="85"/>
      <c r="D97" s="15"/>
      <c r="E97" s="15"/>
      <c r="F97" s="15"/>
      <c r="G97" s="15"/>
      <c r="H97" s="15"/>
      <c r="I97" s="45"/>
    </row>
    <row r="98" s="1" customFormat="1" ht="35" customHeight="1" spans="1:9">
      <c r="A98" s="34" t="str" cm="1">
        <f ca="1" t="array" ref="A98">IF((INDIRECT("'"&amp;INDIRECT("Main!B9")&amp;"'!A112"))=0,"",(INDIRECT("'"&amp;INDIRECT("Main!B9")&amp;"'!A112")))</f>
        <v/>
      </c>
      <c r="B98" s="34" t="str" cm="1">
        <f ca="1" t="array" ref="B98">IF((INDIRECT("'"&amp;INDIRECT("Main!B9")&amp;"'!B112"))=0,"",(INDIRECT("'"&amp;INDIRECT("Main!B9")&amp;"'!B112")))</f>
        <v/>
      </c>
      <c r="C98" s="35" cm="1">
        <f ca="1" t="array" ref="C98">INDIRECT("'"&amp;INDIRECT("Main!B39")&amp;"'!C98")+SUM(E118+E145+E172)</f>
        <v>0</v>
      </c>
      <c r="D98" s="15"/>
      <c r="E98" s="15"/>
      <c r="F98" s="15"/>
      <c r="G98" s="15"/>
      <c r="H98" s="15"/>
      <c r="I98" s="45"/>
    </row>
    <row r="99" s="1" customFormat="1" ht="35" customHeight="1" spans="1:9">
      <c r="A99" s="34" t="str" cm="1">
        <f ca="1" t="array" ref="A99">IF((INDIRECT("'"&amp;INDIRECT("Main!B9")&amp;"'!A113"))=0,"",(INDIRECT("'"&amp;INDIRECT("Main!B9")&amp;"'!A113")))</f>
        <v/>
      </c>
      <c r="B99" s="34" t="str" cm="1">
        <f ca="1" t="array" ref="B99">IF((INDIRECT("'"&amp;INDIRECT("Main!B9")&amp;"'!B113"))=0,"",(INDIRECT("'"&amp;INDIRECT("Main!B9")&amp;"'!B113")))</f>
        <v/>
      </c>
      <c r="C99" s="35" cm="1">
        <f ca="1" t="array" ref="C99">INDIRECT("'"&amp;INDIRECT("Main!B39")&amp;"'!C99")+SUM(E119+E146+E173)</f>
        <v>0</v>
      </c>
      <c r="D99" s="15"/>
      <c r="E99" s="15"/>
      <c r="F99" s="15"/>
      <c r="G99" s="15"/>
      <c r="H99" s="15"/>
      <c r="I99" s="45"/>
    </row>
    <row r="100" s="1" customFormat="1" ht="35" customHeight="1" spans="1:9">
      <c r="A100" s="34" t="str" cm="1">
        <f ca="1" t="array" ref="A100">IF((INDIRECT("'"&amp;INDIRECT("Main!B9")&amp;"'!A114"))=0,"",(INDIRECT("'"&amp;INDIRECT("Main!B9")&amp;"'!A114")))</f>
        <v/>
      </c>
      <c r="B100" s="34" t="str" cm="1">
        <f ca="1" t="array" ref="B100">IF((INDIRECT("'"&amp;INDIRECT("Main!B9")&amp;"'!B114"))=0,"",(INDIRECT("'"&amp;INDIRECT("Main!B9")&amp;"'!B114")))</f>
        <v/>
      </c>
      <c r="C100" s="35" cm="1">
        <f ca="1" t="array" ref="C100">INDIRECT("'"&amp;INDIRECT("Main!B39")&amp;"'!C100")+SUM(E120+E147+E174)</f>
        <v>0</v>
      </c>
      <c r="D100" s="15"/>
      <c r="E100" s="15"/>
      <c r="F100" s="15"/>
      <c r="G100" s="15"/>
      <c r="H100" s="15"/>
      <c r="I100" s="45"/>
    </row>
    <row r="101" s="1" customFormat="1" ht="35" customHeight="1" spans="1:9">
      <c r="A101" s="34" t="str" cm="1">
        <f ca="1" t="array" ref="A101">IF((INDIRECT("'"&amp;INDIRECT("Main!B9")&amp;"'!A115"))=0,"",(INDIRECT("'"&amp;INDIRECT("Main!B9")&amp;"'!A115")))</f>
        <v/>
      </c>
      <c r="B101" s="34" t="str" cm="1">
        <f ca="1" t="array" ref="B101">IF((INDIRECT("'"&amp;INDIRECT("Main!B9")&amp;"'!B115"))=0,"",(INDIRECT("'"&amp;INDIRECT("Main!B9")&amp;"'!B115")))</f>
        <v/>
      </c>
      <c r="C101" s="35" cm="1">
        <f ca="1" t="array" ref="C101">INDIRECT("'"&amp;INDIRECT("Main!B39")&amp;"'!C101")+SUM(E121+E148+E175)</f>
        <v>0</v>
      </c>
      <c r="D101" s="15"/>
      <c r="E101" s="15"/>
      <c r="F101" s="15"/>
      <c r="G101" s="15"/>
      <c r="H101" s="15"/>
      <c r="I101" s="45"/>
    </row>
    <row r="102" s="1" customFormat="1" ht="35" customHeight="1" spans="1:9">
      <c r="A102" s="34" t="str" cm="1">
        <f ca="1" t="array" ref="A102">IF((INDIRECT("'"&amp;INDIRECT("Main!B9")&amp;"'!A116"))=0,"",(INDIRECT("'"&amp;INDIRECT("Main!B9")&amp;"'!A116")))</f>
        <v/>
      </c>
      <c r="B102" s="34" t="str" cm="1">
        <f ca="1" t="array" ref="B102">IF((INDIRECT("'"&amp;INDIRECT("Main!B9")&amp;"'!B116"))=0,"",(INDIRECT("'"&amp;INDIRECT("Main!B9")&amp;"'!B116")))</f>
        <v/>
      </c>
      <c r="C102" s="35" cm="1">
        <f ca="1" t="array" ref="C102">INDIRECT("'"&amp;INDIRECT("Main!B39")&amp;"'!C102")+SUM(E122+E149+E176)</f>
        <v>0</v>
      </c>
      <c r="D102" s="15"/>
      <c r="E102" s="15"/>
      <c r="F102" s="15"/>
      <c r="G102" s="15"/>
      <c r="H102" s="15"/>
      <c r="I102" s="45"/>
    </row>
    <row r="103" s="1" customFormat="1" ht="35" customHeight="1" spans="1:9">
      <c r="A103" s="34" t="str" cm="1">
        <f ca="1" t="array" ref="A103">IF((INDIRECT("'"&amp;INDIRECT("Main!B9")&amp;"'!A117"))=0,"",(INDIRECT("'"&amp;INDIRECT("Main!B9")&amp;"'!A117")))</f>
        <v/>
      </c>
      <c r="B103" s="34" t="str" cm="1">
        <f ca="1" t="array" ref="B103">IF((INDIRECT("'"&amp;INDIRECT("Main!B9")&amp;"'!B117"))=0,"",(INDIRECT("'"&amp;INDIRECT("Main!B9")&amp;"'!B117")))</f>
        <v/>
      </c>
      <c r="C103" s="35" cm="1">
        <f ca="1" t="array" ref="C103">INDIRECT("'"&amp;INDIRECT("Main!B39")&amp;"'!C103")+SUM(E123+E150+E177)</f>
        <v>0</v>
      </c>
      <c r="D103" s="15"/>
      <c r="E103" s="15"/>
      <c r="F103" s="15"/>
      <c r="G103" s="15"/>
      <c r="H103" s="15"/>
      <c r="I103" s="45"/>
    </row>
    <row r="104" s="1" customFormat="1" ht="35" customHeight="1" spans="1:9">
      <c r="A104" s="34" t="str" cm="1">
        <f ca="1" t="array" ref="A104">IF((INDIRECT("'"&amp;INDIRECT("Main!B9")&amp;"'!A118"))=0,"",(INDIRECT("'"&amp;INDIRECT("Main!B9")&amp;"'!A118")))</f>
        <v/>
      </c>
      <c r="B104" s="34" t="str" cm="1">
        <f ca="1" t="array" ref="B104">IF((INDIRECT("'"&amp;INDIRECT("Main!B9")&amp;"'!B118"))=0,"",(INDIRECT("'"&amp;INDIRECT("Main!B9")&amp;"'!B118")))</f>
        <v/>
      </c>
      <c r="C104" s="35" cm="1">
        <f ca="1" t="array" ref="C104">INDIRECT("'"&amp;INDIRECT("Main!B39")&amp;"'!C104")+SUM(E124+E151+E178)</f>
        <v>0</v>
      </c>
      <c r="D104" s="15"/>
      <c r="E104" s="15"/>
      <c r="F104" s="15"/>
      <c r="G104" s="15"/>
      <c r="H104" s="15"/>
      <c r="I104" s="45"/>
    </row>
    <row r="105" s="1" customFormat="1" ht="35" customHeight="1" spans="1:9">
      <c r="A105" s="34" t="str" cm="1">
        <f ca="1" t="array" ref="A105">IF((INDIRECT("'"&amp;INDIRECT("Main!B9")&amp;"'!A119"))=0,"",(INDIRECT("'"&amp;INDIRECT("Main!B9")&amp;"'!A119")))</f>
        <v/>
      </c>
      <c r="B105" s="34" t="str" cm="1">
        <f ca="1" t="array" ref="B105">IF((INDIRECT("'"&amp;INDIRECT("Main!B9")&amp;"'!B119"))=0,"",(INDIRECT("'"&amp;INDIRECT("Main!B9")&amp;"'!B119")))</f>
        <v/>
      </c>
      <c r="C105" s="35" cm="1">
        <f ca="1" t="array" ref="C105">INDIRECT("'"&amp;INDIRECT("Main!B39")&amp;"'!C105")+SUM(E125+E152+E179)</f>
        <v>0</v>
      </c>
      <c r="D105" s="15"/>
      <c r="E105" s="15"/>
      <c r="F105" s="15"/>
      <c r="G105" s="15"/>
      <c r="H105" s="15"/>
      <c r="I105" s="45"/>
    </row>
    <row r="106" s="1" customFormat="1" ht="35" customHeight="1" spans="1:9">
      <c r="A106" s="34" t="str" cm="1">
        <f ca="1" t="array" ref="A106">IF((INDIRECT("'"&amp;INDIRECT("Main!B9")&amp;"'!A120"))=0,"",(INDIRECT("'"&amp;INDIRECT("Main!B9")&amp;"'!A120")))</f>
        <v/>
      </c>
      <c r="B106" s="34" t="str" cm="1">
        <f ca="1" t="array" ref="B106">IF((INDIRECT("'"&amp;INDIRECT("Main!B9")&amp;"'!B120"))=0,"",(INDIRECT("'"&amp;INDIRECT("Main!B9")&amp;"'!B120")))</f>
        <v/>
      </c>
      <c r="C106" s="35" cm="1">
        <f ca="1" t="array" ref="C106">INDIRECT("'"&amp;INDIRECT("Main!B39")&amp;"'!C106")+SUM(E126+E153+E180)</f>
        <v>0</v>
      </c>
      <c r="D106" s="15"/>
      <c r="E106" s="15"/>
      <c r="F106" s="15"/>
      <c r="G106" s="15"/>
      <c r="H106" s="15"/>
      <c r="I106" s="45"/>
    </row>
    <row r="107" s="1" customFormat="1" ht="35" customHeight="1" spans="1:9">
      <c r="A107" s="34" t="str" cm="1">
        <f ca="1" t="array" ref="A107">IF((INDIRECT("'"&amp;INDIRECT("Main!B9")&amp;"'!A121"))=0,"",(INDIRECT("'"&amp;INDIRECT("Main!B9")&amp;"'!A121")))</f>
        <v/>
      </c>
      <c r="B107" s="34" t="str" cm="1">
        <f ca="1" t="array" ref="B107">IF((INDIRECT("'"&amp;INDIRECT("Main!B9")&amp;"'!B121"))=0,"",(INDIRECT("'"&amp;INDIRECT("Main!B9")&amp;"'!B121")))</f>
        <v/>
      </c>
      <c r="C107" s="35" cm="1">
        <f ca="1" t="array" ref="C107">INDIRECT("'"&amp;INDIRECT("Main!B39")&amp;"'!C107")+SUM(E127+E154+E181)</f>
        <v>0</v>
      </c>
      <c r="D107" s="15"/>
      <c r="E107" s="15"/>
      <c r="F107" s="15"/>
      <c r="G107" s="15"/>
      <c r="H107" s="15"/>
      <c r="I107" s="45"/>
    </row>
    <row r="108" s="1" customFormat="1" ht="35" customHeight="1" spans="1:9">
      <c r="A108" s="46"/>
      <c r="B108" s="37" t="s">
        <v>55</v>
      </c>
      <c r="C108" s="35">
        <f ca="1">SUM(C98:C107)</f>
        <v>0</v>
      </c>
      <c r="D108" s="15"/>
      <c r="E108" s="15"/>
      <c r="F108" s="15"/>
      <c r="G108" s="15"/>
      <c r="H108" s="15"/>
      <c r="I108" s="45"/>
    </row>
    <row r="109" s="1" customFormat="1" ht="35" customHeight="1" spans="1:9">
      <c r="A109" s="46"/>
      <c r="B109" s="37" t="s">
        <v>56</v>
      </c>
      <c r="C109" s="35">
        <f ca="1">C108-C96</f>
        <v>0</v>
      </c>
      <c r="D109" s="15"/>
      <c r="E109" s="15"/>
      <c r="F109" s="15"/>
      <c r="G109" s="15"/>
      <c r="H109" s="15"/>
      <c r="I109" s="45"/>
    </row>
    <row r="110" s="1" customFormat="1" ht="35" customHeight="1" spans="1:9">
      <c r="A110" s="15"/>
      <c r="B110" s="15"/>
      <c r="C110" s="15"/>
      <c r="D110" s="15"/>
      <c r="E110" s="15"/>
      <c r="F110" s="15"/>
      <c r="G110" s="15"/>
      <c r="H110" s="15"/>
      <c r="I110" s="45"/>
    </row>
    <row r="111" s="1" customFormat="1" ht="35" customHeight="1" spans="1:9">
      <c r="A111" s="15"/>
      <c r="B111" s="15"/>
      <c r="C111" s="15"/>
      <c r="D111" s="15"/>
      <c r="E111" s="15"/>
      <c r="F111" s="15"/>
      <c r="G111" s="15"/>
      <c r="H111" s="15"/>
      <c r="I111" s="45"/>
    </row>
    <row r="112" s="1" customFormat="1" ht="35" customHeight="1" spans="1:9">
      <c r="A112" s="15"/>
      <c r="B112" s="15"/>
      <c r="C112" s="15"/>
      <c r="D112" s="15"/>
      <c r="E112" s="15"/>
      <c r="F112" s="15"/>
      <c r="G112" s="15"/>
      <c r="H112" s="15"/>
      <c r="I112" s="45"/>
    </row>
    <row r="113" s="1" customFormat="1" ht="35" customHeight="1" spans="1:9">
      <c r="A113" s="15"/>
      <c r="B113" s="15"/>
      <c r="C113" s="15"/>
      <c r="D113" s="15"/>
      <c r="E113" s="15"/>
      <c r="F113" s="15"/>
      <c r="G113" s="15"/>
      <c r="H113" s="15"/>
      <c r="I113" s="45"/>
    </row>
    <row r="114" s="1" customFormat="1" ht="35" customHeight="1" spans="1:9">
      <c r="A114" s="48" t="str">
        <f>"Debts Or Credits For the Comming "&amp;IF(Main!B2,TEXT(EDATE(Main!B3,33),"mmmm dd yyyy"),TEXT(Main!B3+((Main!B5-Main!B3)*33+33),"mmmm dd yyyy"))&amp;" to "&amp;IF(Main!B2,TEXT(EDATE(Main!B3,34)-1,"mmmm dd yyyy"),TEXT(Main!B3+((Main!B5-Main!B3)*34+33),"mmmm dd yyyy"))</f>
        <v>Debts Or Credits For the Comming February 01 2028 to February 29 2028</v>
      </c>
      <c r="B114" s="49"/>
      <c r="C114" s="49"/>
      <c r="D114" s="49"/>
      <c r="E114" s="50"/>
      <c r="F114" s="15"/>
      <c r="G114" s="15"/>
      <c r="H114" s="15"/>
      <c r="I114" s="45"/>
    </row>
    <row r="115" s="1" customFormat="1" ht="35" customHeight="1" spans="1:9">
      <c r="A115" s="48" t="s">
        <v>57</v>
      </c>
      <c r="B115" s="50"/>
      <c r="C115" s="48" t="s">
        <v>44</v>
      </c>
      <c r="D115" s="50"/>
      <c r="E115" s="64" t="s">
        <v>45</v>
      </c>
      <c r="F115" s="15"/>
      <c r="G115" s="15"/>
      <c r="H115" s="15"/>
      <c r="I115" s="45"/>
    </row>
    <row r="116" s="1" customFormat="1" ht="35" customHeight="1" spans="1:9">
      <c r="A116" s="51" t="str">
        <f>"Balance Brought Forward From "&amp;IF(Main!B2,TEXT(EDATE(Main!B3,33)-1,"mmmm yyyy"),TEXT(Main!B3+((Main!B5-Main!B3)*33+32),"mmmm yyyy"))</f>
        <v>Balance Brought Forward From January 2028</v>
      </c>
      <c r="B116" s="52"/>
      <c r="C116" s="53"/>
      <c r="D116" s="53"/>
      <c r="E116" s="65" cm="1">
        <f ca="1" t="array" ref="E116">INDIRECT("'"&amp;INDIRECT("Main!B39")&amp;"'!E190")</f>
        <v>0</v>
      </c>
      <c r="F116" s="15"/>
      <c r="G116" s="15"/>
      <c r="H116" s="15"/>
      <c r="I116" s="45"/>
    </row>
    <row r="117" s="1" customFormat="1" ht="35" customHeight="1" spans="1:9">
      <c r="A117" s="54" t="s">
        <v>52</v>
      </c>
      <c r="B117" s="55"/>
      <c r="C117" s="56" t="s">
        <v>58</v>
      </c>
      <c r="D117" s="57"/>
      <c r="E117" s="66"/>
      <c r="F117" s="15"/>
      <c r="G117" s="15"/>
      <c r="H117" s="15"/>
      <c r="I117" s="45"/>
    </row>
    <row r="118" s="1" customFormat="1" ht="35" customHeight="1" spans="1:9">
      <c r="A118" s="58"/>
      <c r="B118" s="59"/>
      <c r="C118" s="60"/>
      <c r="D118" s="61"/>
      <c r="E118" s="35">
        <v>0</v>
      </c>
      <c r="F118" s="15"/>
      <c r="G118" s="15"/>
      <c r="H118" s="15"/>
      <c r="I118" s="45"/>
    </row>
    <row r="119" s="1" customFormat="1" ht="35" customHeight="1" spans="1:9">
      <c r="A119" s="58"/>
      <c r="B119" s="59"/>
      <c r="C119" s="60"/>
      <c r="D119" s="61"/>
      <c r="E119" s="35">
        <v>0</v>
      </c>
      <c r="F119" s="15"/>
      <c r="G119" s="15"/>
      <c r="H119" s="15"/>
      <c r="I119" s="45"/>
    </row>
    <row r="120" s="1" customFormat="1" ht="35" customHeight="1" spans="1:9">
      <c r="A120" s="58"/>
      <c r="B120" s="59"/>
      <c r="C120" s="60"/>
      <c r="D120" s="61"/>
      <c r="E120" s="35">
        <v>0</v>
      </c>
      <c r="F120" s="15"/>
      <c r="G120" s="15"/>
      <c r="H120" s="15"/>
      <c r="I120" s="45"/>
    </row>
    <row r="121" s="1" customFormat="1" ht="35" customHeight="1" spans="1:9">
      <c r="A121" s="58"/>
      <c r="B121" s="59"/>
      <c r="C121" s="60"/>
      <c r="D121" s="61"/>
      <c r="E121" s="35">
        <v>0</v>
      </c>
      <c r="F121" s="15"/>
      <c r="G121" s="15"/>
      <c r="H121" s="15"/>
      <c r="I121" s="45"/>
    </row>
    <row r="122" s="1" customFormat="1" ht="35" customHeight="1" spans="1:9">
      <c r="A122" s="58"/>
      <c r="B122" s="59"/>
      <c r="C122" s="60"/>
      <c r="D122" s="61"/>
      <c r="E122" s="35">
        <v>0</v>
      </c>
      <c r="F122" s="15"/>
      <c r="G122" s="15"/>
      <c r="H122" s="15"/>
      <c r="I122" s="45"/>
    </row>
    <row r="123" s="1" customFormat="1" ht="35" customHeight="1" spans="1:9">
      <c r="A123" s="58"/>
      <c r="B123" s="59"/>
      <c r="C123" s="60"/>
      <c r="D123" s="61"/>
      <c r="E123" s="35">
        <v>0</v>
      </c>
      <c r="F123" s="15"/>
      <c r="G123" s="15"/>
      <c r="H123" s="15"/>
      <c r="I123" s="45"/>
    </row>
    <row r="124" s="1" customFormat="1" ht="35" customHeight="1" spans="1:9">
      <c r="A124" s="58"/>
      <c r="B124" s="59"/>
      <c r="C124" s="60"/>
      <c r="D124" s="61"/>
      <c r="E124" s="35">
        <v>0</v>
      </c>
      <c r="F124" s="15"/>
      <c r="G124" s="15"/>
      <c r="H124" s="15"/>
      <c r="I124" s="45"/>
    </row>
    <row r="125" s="1" customFormat="1" ht="35" customHeight="1" spans="1:9">
      <c r="A125" s="58"/>
      <c r="B125" s="59"/>
      <c r="C125" s="60"/>
      <c r="D125" s="61"/>
      <c r="E125" s="35">
        <v>0</v>
      </c>
      <c r="F125" s="15"/>
      <c r="G125" s="15"/>
      <c r="H125" s="15"/>
      <c r="I125" s="45"/>
    </row>
    <row r="126" s="1" customFormat="1" ht="35" customHeight="1" spans="1:9">
      <c r="A126" s="58"/>
      <c r="B126" s="59"/>
      <c r="C126" s="60"/>
      <c r="D126" s="61"/>
      <c r="E126" s="35">
        <v>0</v>
      </c>
      <c r="F126" s="15"/>
      <c r="G126" s="15"/>
      <c r="H126" s="15"/>
      <c r="I126" s="45"/>
    </row>
    <row r="127" s="1" customFormat="1" ht="35" customHeight="1" spans="1:9">
      <c r="A127" s="58"/>
      <c r="B127" s="59"/>
      <c r="C127" s="60"/>
      <c r="D127" s="61"/>
      <c r="E127" s="35">
        <v>0</v>
      </c>
      <c r="F127" s="15"/>
      <c r="G127" s="15"/>
      <c r="H127" s="15"/>
      <c r="I127" s="45"/>
    </row>
    <row r="128" s="1" customFormat="1" ht="35" customHeight="1" spans="1:9">
      <c r="A128" s="58"/>
      <c r="B128" s="59"/>
      <c r="C128" s="56" t="s">
        <v>59</v>
      </c>
      <c r="D128" s="57"/>
      <c r="E128" s="66"/>
      <c r="F128" s="15"/>
      <c r="G128" s="15"/>
      <c r="H128" s="15"/>
      <c r="I128" s="45"/>
    </row>
    <row r="129" s="1" customFormat="1" ht="35" customHeight="1" spans="1:9">
      <c r="A129" s="58"/>
      <c r="B129" s="59"/>
      <c r="C129" s="60"/>
      <c r="D129" s="61"/>
      <c r="E129" s="78">
        <v>0</v>
      </c>
      <c r="F129" s="15"/>
      <c r="G129" s="15"/>
      <c r="H129" s="15"/>
      <c r="I129" s="45"/>
    </row>
    <row r="130" s="1" customFormat="1" ht="35" customHeight="1" spans="1:9">
      <c r="A130" s="58"/>
      <c r="B130" s="59"/>
      <c r="C130" s="60"/>
      <c r="D130" s="61"/>
      <c r="E130" s="78">
        <v>0</v>
      </c>
      <c r="F130" s="15"/>
      <c r="G130" s="15"/>
      <c r="H130" s="15"/>
      <c r="I130" s="45"/>
    </row>
    <row r="131" s="1" customFormat="1" ht="35" customHeight="1" spans="1:9">
      <c r="A131" s="58"/>
      <c r="B131" s="59"/>
      <c r="C131" s="60"/>
      <c r="D131" s="61"/>
      <c r="E131" s="78">
        <v>0</v>
      </c>
      <c r="F131" s="15"/>
      <c r="G131" s="15"/>
      <c r="H131" s="15"/>
      <c r="I131" s="45"/>
    </row>
    <row r="132" s="1" customFormat="1" ht="35" customHeight="1" spans="1:9">
      <c r="A132" s="58"/>
      <c r="B132" s="59"/>
      <c r="C132" s="60"/>
      <c r="D132" s="61"/>
      <c r="E132" s="78">
        <v>0</v>
      </c>
      <c r="F132" s="15"/>
      <c r="G132" s="15"/>
      <c r="H132" s="15"/>
      <c r="I132" s="45"/>
    </row>
    <row r="133" s="1" customFormat="1" ht="35" customHeight="1" spans="1:9">
      <c r="A133" s="58"/>
      <c r="B133" s="59"/>
      <c r="C133" s="60"/>
      <c r="D133" s="61"/>
      <c r="E133" s="78">
        <v>0</v>
      </c>
      <c r="F133" s="15"/>
      <c r="G133" s="15"/>
      <c r="H133" s="15"/>
      <c r="I133" s="45"/>
    </row>
    <row r="134" s="1" customFormat="1" ht="35" customHeight="1" spans="1:9">
      <c r="A134" s="67"/>
      <c r="B134" s="68"/>
      <c r="C134" s="60"/>
      <c r="D134" s="61"/>
      <c r="E134" s="78">
        <v>0</v>
      </c>
      <c r="F134" s="15"/>
      <c r="G134" s="15"/>
      <c r="H134" s="15"/>
      <c r="I134" s="45"/>
    </row>
    <row r="135" s="1" customFormat="1" ht="35" customHeight="1" spans="1:9">
      <c r="A135" s="51" t="s">
        <v>60</v>
      </c>
      <c r="B135" s="69"/>
      <c r="C135" s="70"/>
      <c r="D135" s="71"/>
      <c r="E135" s="78">
        <f>C96</f>
        <v>0</v>
      </c>
      <c r="F135" s="15"/>
      <c r="G135" s="15"/>
      <c r="H135" s="15"/>
      <c r="I135" s="45"/>
    </row>
    <row r="136" s="1" customFormat="1" ht="35" customHeight="1" spans="1:9">
      <c r="A136" s="72"/>
      <c r="B136" s="73"/>
      <c r="C136" s="37" t="s">
        <v>61</v>
      </c>
      <c r="D136" s="37"/>
      <c r="E136" s="79">
        <f ca="1">(F16+E116)-(SUM(E118:E127)+SUM(E129:E135))</f>
        <v>0</v>
      </c>
      <c r="F136" s="15"/>
      <c r="G136" s="15"/>
      <c r="H136" s="15"/>
      <c r="I136" s="45"/>
    </row>
    <row r="137" s="1" customFormat="1" ht="35" customHeight="1" spans="1:9">
      <c r="A137" s="15"/>
      <c r="B137" s="15"/>
      <c r="C137" s="15"/>
      <c r="D137" s="15"/>
      <c r="E137" s="15"/>
      <c r="F137" s="15"/>
      <c r="G137" s="15"/>
      <c r="H137" s="15"/>
      <c r="I137" s="45"/>
    </row>
    <row r="138" s="1" customFormat="1" ht="35" customHeight="1" spans="1:9">
      <c r="A138" s="15"/>
      <c r="B138" s="15"/>
      <c r="C138" s="15"/>
      <c r="D138" s="15"/>
      <c r="E138" s="15"/>
      <c r="F138" s="15"/>
      <c r="G138" s="15"/>
      <c r="H138" s="15"/>
      <c r="I138" s="45"/>
    </row>
    <row r="139" s="1" customFormat="1" ht="35" customHeight="1" spans="1:9">
      <c r="A139" s="15"/>
      <c r="B139" s="15"/>
      <c r="C139" s="15"/>
      <c r="D139" s="15"/>
      <c r="E139" s="15"/>
      <c r="F139" s="15"/>
      <c r="G139" s="15"/>
      <c r="H139" s="15"/>
      <c r="I139" s="45"/>
    </row>
    <row r="140" s="1" customFormat="1" ht="35" customHeight="1" spans="1:9">
      <c r="A140" s="15"/>
      <c r="B140" s="15"/>
      <c r="C140" s="15"/>
      <c r="D140" s="15"/>
      <c r="E140" s="15"/>
      <c r="F140" s="15"/>
      <c r="G140" s="15"/>
      <c r="H140" s="15"/>
      <c r="I140" s="45"/>
    </row>
    <row r="141" s="1" customFormat="1" ht="35" customHeight="1" spans="1:9">
      <c r="A141" s="48" t="str">
        <f>"Debts Or Credits For the Comming "&amp;IF(Main!B2,TEXT(EDATE(Main!B3,34),"mmmm dd yyyy"),TEXT(Main!B3+((Main!B5-Main!B3)*34+34),"dd mmmm yyyy"))&amp;" to "&amp;IF(Main!B2,TEXT(EDATE(Main!B3,35)-1,"mmmm dd yyyy"),TEXT(Main!B3+((Main!B5-Main!B3)*35+34),"mmmm dd yyyy"))</f>
        <v>Debts Or Credits For the Comming March 01 2028 to March 31 2028</v>
      </c>
      <c r="B141" s="49"/>
      <c r="C141" s="49"/>
      <c r="D141" s="49"/>
      <c r="E141" s="50"/>
      <c r="F141" s="15"/>
      <c r="G141" s="15"/>
      <c r="H141" s="15"/>
      <c r="I141" s="45"/>
    </row>
    <row r="142" s="1" customFormat="1" ht="35" customHeight="1" spans="1:9">
      <c r="A142" s="48" t="s">
        <v>57</v>
      </c>
      <c r="B142" s="50"/>
      <c r="C142" s="74" t="s">
        <v>44</v>
      </c>
      <c r="D142" s="75"/>
      <c r="E142" s="80" t="s">
        <v>45</v>
      </c>
      <c r="F142" s="15"/>
      <c r="G142" s="15"/>
      <c r="H142" s="15"/>
      <c r="I142" s="45"/>
    </row>
    <row r="143" s="1" customFormat="1" ht="35" customHeight="1" spans="1:9">
      <c r="A143" s="51" t="str">
        <f>"Balance Brought Forward From "&amp;IF(Main!B2,TEXT(EDATE(Main!B3,34)-1,"mmmm yyyy"),TEXT(Main!B3+((Main!B5-Main!B3)*34+33),"mmmm yyyy"))</f>
        <v>Balance Brought Forward From February 2028</v>
      </c>
      <c r="B143" s="52"/>
      <c r="C143" s="53"/>
      <c r="D143" s="53"/>
      <c r="E143" s="79">
        <f ca="1">E136</f>
        <v>0</v>
      </c>
      <c r="F143" s="15"/>
      <c r="G143" s="15"/>
      <c r="H143" s="15"/>
      <c r="I143" s="45"/>
    </row>
    <row r="144" s="1" customFormat="1" ht="35" customHeight="1" spans="1:9">
      <c r="A144" s="54" t="s">
        <v>52</v>
      </c>
      <c r="B144" s="55"/>
      <c r="C144" s="76" t="s">
        <v>58</v>
      </c>
      <c r="D144" s="77"/>
      <c r="E144" s="81"/>
      <c r="F144" s="15"/>
      <c r="G144" s="15"/>
      <c r="H144" s="15"/>
      <c r="I144" s="45"/>
    </row>
    <row r="145" s="1" customFormat="1" ht="35" customHeight="1" spans="1:9">
      <c r="A145" s="58"/>
      <c r="B145" s="59"/>
      <c r="C145" s="60"/>
      <c r="D145" s="61"/>
      <c r="E145" s="35">
        <v>0</v>
      </c>
      <c r="F145" s="15"/>
      <c r="G145" s="15"/>
      <c r="H145" s="15"/>
      <c r="I145" s="45"/>
    </row>
    <row r="146" s="1" customFormat="1" ht="35" customHeight="1" spans="1:9">
      <c r="A146" s="58"/>
      <c r="B146" s="59"/>
      <c r="C146" s="60"/>
      <c r="D146" s="61"/>
      <c r="E146" s="35">
        <v>0</v>
      </c>
      <c r="F146" s="15"/>
      <c r="G146" s="15"/>
      <c r="H146" s="15"/>
      <c r="I146" s="45"/>
    </row>
    <row r="147" s="1" customFormat="1" ht="35" customHeight="1" spans="1:9">
      <c r="A147" s="58"/>
      <c r="B147" s="59"/>
      <c r="C147" s="60"/>
      <c r="D147" s="61"/>
      <c r="E147" s="35">
        <v>0</v>
      </c>
      <c r="F147" s="15"/>
      <c r="G147" s="15"/>
      <c r="H147" s="15"/>
      <c r="I147" s="45"/>
    </row>
    <row r="148" s="1" customFormat="1" ht="35" customHeight="1" spans="1:9">
      <c r="A148" s="58"/>
      <c r="B148" s="59"/>
      <c r="C148" s="60"/>
      <c r="D148" s="61"/>
      <c r="E148" s="35">
        <v>0</v>
      </c>
      <c r="F148" s="15"/>
      <c r="G148" s="15"/>
      <c r="H148" s="15"/>
      <c r="I148" s="45"/>
    </row>
    <row r="149" s="1" customFormat="1" ht="35" customHeight="1" spans="1:9">
      <c r="A149" s="58"/>
      <c r="B149" s="59"/>
      <c r="C149" s="60"/>
      <c r="D149" s="61"/>
      <c r="E149" s="35">
        <v>0</v>
      </c>
      <c r="F149" s="15"/>
      <c r="G149" s="15"/>
      <c r="H149" s="15"/>
      <c r="I149" s="45"/>
    </row>
    <row r="150" s="1" customFormat="1" ht="35" customHeight="1" spans="1:9">
      <c r="A150" s="58"/>
      <c r="B150" s="59"/>
      <c r="C150" s="60"/>
      <c r="D150" s="61"/>
      <c r="E150" s="35">
        <v>0</v>
      </c>
      <c r="F150" s="15"/>
      <c r="G150" s="15"/>
      <c r="H150" s="15"/>
      <c r="I150" s="45"/>
    </row>
    <row r="151" s="1" customFormat="1" ht="35" customHeight="1" spans="1:9">
      <c r="A151" s="58"/>
      <c r="B151" s="59"/>
      <c r="C151" s="60"/>
      <c r="D151" s="61"/>
      <c r="E151" s="35">
        <v>0</v>
      </c>
      <c r="F151" s="15"/>
      <c r="G151" s="15"/>
      <c r="H151" s="15"/>
      <c r="I151" s="45"/>
    </row>
    <row r="152" s="1" customFormat="1" ht="35" customHeight="1" spans="1:9">
      <c r="A152" s="58"/>
      <c r="B152" s="59"/>
      <c r="C152" s="60"/>
      <c r="D152" s="61"/>
      <c r="E152" s="35">
        <v>0</v>
      </c>
      <c r="F152" s="15"/>
      <c r="G152" s="15"/>
      <c r="H152" s="15"/>
      <c r="I152" s="45"/>
    </row>
    <row r="153" s="1" customFormat="1" ht="35" customHeight="1" spans="1:9">
      <c r="A153" s="58"/>
      <c r="B153" s="59"/>
      <c r="C153" s="60"/>
      <c r="D153" s="61"/>
      <c r="E153" s="35">
        <v>0</v>
      </c>
      <c r="F153" s="15"/>
      <c r="G153" s="15"/>
      <c r="H153" s="15"/>
      <c r="I153" s="45"/>
    </row>
    <row r="154" s="1" customFormat="1" ht="35" customHeight="1" spans="1:9">
      <c r="A154" s="58"/>
      <c r="B154" s="59"/>
      <c r="C154" s="60"/>
      <c r="D154" s="61"/>
      <c r="E154" s="35">
        <v>0</v>
      </c>
      <c r="F154" s="15"/>
      <c r="G154" s="15"/>
      <c r="H154" s="15"/>
      <c r="I154" s="45"/>
    </row>
    <row r="155" s="1" customFormat="1" ht="35" customHeight="1" spans="1:9">
      <c r="A155" s="58"/>
      <c r="B155" s="59"/>
      <c r="C155" s="56" t="s">
        <v>59</v>
      </c>
      <c r="D155" s="57"/>
      <c r="E155" s="66"/>
      <c r="F155" s="15"/>
      <c r="G155" s="15"/>
      <c r="H155" s="15"/>
      <c r="I155" s="45"/>
    </row>
    <row r="156" s="1" customFormat="1" ht="35" customHeight="1" spans="1:9">
      <c r="A156" s="58"/>
      <c r="B156" s="59"/>
      <c r="C156" s="60"/>
      <c r="D156" s="61"/>
      <c r="E156" s="78">
        <v>0</v>
      </c>
      <c r="F156" s="15"/>
      <c r="G156" s="15"/>
      <c r="H156" s="15"/>
      <c r="I156" s="45"/>
    </row>
    <row r="157" s="1" customFormat="1" ht="35" customHeight="1" spans="1:9">
      <c r="A157" s="58"/>
      <c r="B157" s="59"/>
      <c r="C157" s="60"/>
      <c r="D157" s="61"/>
      <c r="E157" s="78">
        <v>0</v>
      </c>
      <c r="F157" s="15"/>
      <c r="G157" s="15"/>
      <c r="H157" s="15"/>
      <c r="I157" s="45"/>
    </row>
    <row r="158" s="1" customFormat="1" ht="35" customHeight="1" spans="1:9">
      <c r="A158" s="58"/>
      <c r="B158" s="59"/>
      <c r="C158" s="60"/>
      <c r="D158" s="61"/>
      <c r="E158" s="78">
        <v>0</v>
      </c>
      <c r="F158" s="15"/>
      <c r="G158" s="15"/>
      <c r="H158" s="15"/>
      <c r="I158" s="45"/>
    </row>
    <row r="159" s="1" customFormat="1" ht="35" customHeight="1" spans="1:9">
      <c r="A159" s="58"/>
      <c r="B159" s="59"/>
      <c r="C159" s="60"/>
      <c r="D159" s="61"/>
      <c r="E159" s="78">
        <v>0</v>
      </c>
      <c r="F159" s="15"/>
      <c r="G159" s="15"/>
      <c r="H159" s="15"/>
      <c r="I159" s="45"/>
    </row>
    <row r="160" s="1" customFormat="1" ht="35" customHeight="1" spans="1:9">
      <c r="A160" s="58"/>
      <c r="B160" s="59"/>
      <c r="C160" s="60"/>
      <c r="D160" s="61"/>
      <c r="E160" s="78">
        <v>0</v>
      </c>
      <c r="F160" s="15"/>
      <c r="G160" s="15"/>
      <c r="H160" s="15"/>
      <c r="I160" s="45"/>
    </row>
    <row r="161" s="1" customFormat="1" ht="35" customHeight="1" spans="1:9">
      <c r="A161" s="67"/>
      <c r="B161" s="68"/>
      <c r="C161" s="60"/>
      <c r="D161" s="61"/>
      <c r="E161" s="78">
        <v>0</v>
      </c>
      <c r="F161" s="15"/>
      <c r="G161" s="15"/>
      <c r="H161" s="15"/>
      <c r="I161" s="45"/>
    </row>
    <row r="162" s="1" customFormat="1" ht="35" customHeight="1" spans="1:9">
      <c r="A162" s="51" t="s">
        <v>60</v>
      </c>
      <c r="B162" s="69"/>
      <c r="C162" s="70"/>
      <c r="D162" s="71"/>
      <c r="E162" s="78">
        <f>C96</f>
        <v>0</v>
      </c>
      <c r="F162" s="15"/>
      <c r="G162" s="15"/>
      <c r="H162" s="15"/>
      <c r="I162" s="45"/>
    </row>
    <row r="163" s="1" customFormat="1" ht="35" customHeight="1" spans="1:9">
      <c r="A163" s="72"/>
      <c r="B163" s="73"/>
      <c r="C163" s="37" t="s">
        <v>61</v>
      </c>
      <c r="D163" s="37"/>
      <c r="E163" s="65">
        <f ca="1">(F28+E143)-(SUM(E145:E154)+SUM(E156:E162))</f>
        <v>0</v>
      </c>
      <c r="F163" s="15"/>
      <c r="G163" s="15"/>
      <c r="H163" s="15"/>
      <c r="I163" s="45"/>
    </row>
    <row r="164" s="1" customFormat="1" ht="35" customHeight="1" spans="1:9">
      <c r="A164" s="15"/>
      <c r="B164" s="15"/>
      <c r="C164" s="15"/>
      <c r="D164" s="15"/>
      <c r="E164" s="15"/>
      <c r="F164" s="15"/>
      <c r="G164" s="15"/>
      <c r="H164" s="15"/>
      <c r="I164" s="45"/>
    </row>
    <row r="165" s="1" customFormat="1" ht="35" customHeight="1" spans="1:9">
      <c r="A165" s="15"/>
      <c r="B165" s="15"/>
      <c r="C165" s="15"/>
      <c r="D165" s="15"/>
      <c r="E165" s="15"/>
      <c r="F165" s="15"/>
      <c r="G165" s="15"/>
      <c r="H165" s="15"/>
      <c r="I165" s="45"/>
    </row>
    <row r="166" s="1" customFormat="1" ht="35" customHeight="1" spans="1:9">
      <c r="A166" s="15"/>
      <c r="B166" s="15"/>
      <c r="C166" s="15"/>
      <c r="D166" s="15"/>
      <c r="E166" s="15"/>
      <c r="F166" s="15"/>
      <c r="G166" s="15"/>
      <c r="H166" s="15"/>
      <c r="I166" s="45"/>
    </row>
    <row r="167" s="1" customFormat="1" ht="35" customHeight="1" spans="1:9">
      <c r="A167" s="15"/>
      <c r="B167" s="15"/>
      <c r="C167" s="15"/>
      <c r="D167" s="15"/>
      <c r="E167" s="15"/>
      <c r="F167" s="15"/>
      <c r="G167" s="15"/>
      <c r="H167" s="15"/>
      <c r="I167" s="45"/>
    </row>
    <row r="168" s="1" customFormat="1" ht="35" customHeight="1" spans="1:9">
      <c r="A168" s="48" t="str">
        <f>"Debts Or Credits For the Comming "&amp;IF(Main!B2,TEXT(EDATE(Main!B3,35),"mmmm dd yyyy"),TEXT(Main!B3+((Main!B5-Main!B3)*35+35),"mmmm dd yyyy"))&amp;" to "&amp;IF(Main!B2,TEXT(EDATE(Main!B3,36)-1,"mmmm dd yyyy"),TEXT(Main!B3+((Main!B5-Main!B3)*36+35),"mmmm dd yyyy"))</f>
        <v>Debts Or Credits For the Comming April 01 2028 to April 30 2028</v>
      </c>
      <c r="B168" s="49"/>
      <c r="C168" s="49"/>
      <c r="D168" s="49"/>
      <c r="E168" s="50"/>
      <c r="F168" s="15"/>
      <c r="G168" s="15"/>
      <c r="H168" s="15"/>
      <c r="I168" s="45"/>
    </row>
    <row r="169" s="1" customFormat="1" ht="35" customHeight="1" spans="1:9">
      <c r="A169" s="48" t="s">
        <v>57</v>
      </c>
      <c r="B169" s="50"/>
      <c r="C169" s="74" t="s">
        <v>44</v>
      </c>
      <c r="D169" s="75"/>
      <c r="E169" s="80" t="s">
        <v>45</v>
      </c>
      <c r="F169" s="15"/>
      <c r="G169" s="15"/>
      <c r="H169" s="15"/>
      <c r="I169" s="45"/>
    </row>
    <row r="170" s="1" customFormat="1" ht="35" customHeight="1" spans="1:9">
      <c r="A170" s="51" t="str">
        <f>"Balance Brought Forward From "&amp;IF(Main!B2,TEXT(EDATE(Main!B3,35)-1,"mmmm yyyy"),TEXT(Main!B3+((Main!B5-Main!B3)*35+34),"mmmm yyyy"))</f>
        <v>Balance Brought Forward From March 2028</v>
      </c>
      <c r="B170" s="52"/>
      <c r="C170" s="53"/>
      <c r="D170" s="53"/>
      <c r="E170" s="65">
        <f ca="1">E163</f>
        <v>0</v>
      </c>
      <c r="F170" s="15"/>
      <c r="G170" s="15"/>
      <c r="H170" s="15"/>
      <c r="I170" s="45"/>
    </row>
    <row r="171" s="1" customFormat="1" ht="35" customHeight="1" spans="1:9">
      <c r="A171" s="54" t="s">
        <v>52</v>
      </c>
      <c r="B171" s="55"/>
      <c r="C171" s="76" t="s">
        <v>58</v>
      </c>
      <c r="D171" s="77"/>
      <c r="E171" s="81"/>
      <c r="F171" s="15"/>
      <c r="G171" s="15"/>
      <c r="H171" s="15"/>
      <c r="I171" s="45"/>
    </row>
    <row r="172" s="1" customFormat="1" ht="35" customHeight="1" spans="1:9">
      <c r="A172" s="58"/>
      <c r="B172" s="59"/>
      <c r="C172" s="60"/>
      <c r="D172" s="61"/>
      <c r="E172" s="35">
        <v>0</v>
      </c>
      <c r="F172" s="15"/>
      <c r="G172" s="15"/>
      <c r="H172" s="15"/>
      <c r="I172" s="45"/>
    </row>
    <row r="173" s="1" customFormat="1" ht="35" customHeight="1" spans="1:9">
      <c r="A173" s="58"/>
      <c r="B173" s="59"/>
      <c r="C173" s="60"/>
      <c r="D173" s="61"/>
      <c r="E173" s="35">
        <v>0</v>
      </c>
      <c r="F173" s="15"/>
      <c r="G173" s="15"/>
      <c r="H173" s="15"/>
      <c r="I173" s="45"/>
    </row>
    <row r="174" s="1" customFormat="1" ht="35" customHeight="1" spans="1:9">
      <c r="A174" s="58"/>
      <c r="B174" s="59"/>
      <c r="C174" s="60"/>
      <c r="D174" s="61"/>
      <c r="E174" s="35">
        <v>0</v>
      </c>
      <c r="F174" s="15"/>
      <c r="G174" s="15"/>
      <c r="H174" s="15"/>
      <c r="I174" s="45"/>
    </row>
    <row r="175" s="1" customFormat="1" ht="35" customHeight="1" spans="1:9">
      <c r="A175" s="58"/>
      <c r="B175" s="59"/>
      <c r="C175" s="60"/>
      <c r="D175" s="61"/>
      <c r="E175" s="35">
        <v>0</v>
      </c>
      <c r="F175" s="15"/>
      <c r="G175" s="15"/>
      <c r="H175" s="15"/>
      <c r="I175" s="45"/>
    </row>
    <row r="176" s="1" customFormat="1" ht="35" customHeight="1" spans="1:9">
      <c r="A176" s="58"/>
      <c r="B176" s="59"/>
      <c r="C176" s="60"/>
      <c r="D176" s="61"/>
      <c r="E176" s="35">
        <v>0</v>
      </c>
      <c r="F176" s="15"/>
      <c r="G176" s="15"/>
      <c r="H176" s="15"/>
      <c r="I176" s="45"/>
    </row>
    <row r="177" s="1" customFormat="1" ht="35" customHeight="1" spans="1:9">
      <c r="A177" s="58"/>
      <c r="B177" s="59"/>
      <c r="C177" s="60"/>
      <c r="D177" s="61"/>
      <c r="E177" s="35">
        <v>0</v>
      </c>
      <c r="F177" s="15"/>
      <c r="G177" s="15"/>
      <c r="H177" s="15"/>
      <c r="I177" s="45"/>
    </row>
    <row r="178" s="1" customFormat="1" ht="35" customHeight="1" spans="1:9">
      <c r="A178" s="58"/>
      <c r="B178" s="59"/>
      <c r="C178" s="60"/>
      <c r="D178" s="61"/>
      <c r="E178" s="35">
        <v>0</v>
      </c>
      <c r="F178" s="15"/>
      <c r="G178" s="15"/>
      <c r="H178" s="15"/>
      <c r="I178" s="45"/>
    </row>
    <row r="179" s="1" customFormat="1" ht="35" customHeight="1" spans="1:9">
      <c r="A179" s="58"/>
      <c r="B179" s="59"/>
      <c r="C179" s="60"/>
      <c r="D179" s="61"/>
      <c r="E179" s="35">
        <v>0</v>
      </c>
      <c r="F179" s="15"/>
      <c r="G179" s="15"/>
      <c r="H179" s="15"/>
      <c r="I179" s="45"/>
    </row>
    <row r="180" s="1" customFormat="1" ht="35" customHeight="1" spans="1:9">
      <c r="A180" s="58"/>
      <c r="B180" s="59"/>
      <c r="C180" s="60"/>
      <c r="D180" s="61"/>
      <c r="E180" s="35">
        <v>0</v>
      </c>
      <c r="F180" s="15"/>
      <c r="G180" s="15"/>
      <c r="H180" s="15"/>
      <c r="I180" s="45"/>
    </row>
    <row r="181" s="1" customFormat="1" ht="35" customHeight="1" spans="1:9">
      <c r="A181" s="58"/>
      <c r="B181" s="59"/>
      <c r="C181" s="60"/>
      <c r="D181" s="61"/>
      <c r="E181" s="35">
        <v>0</v>
      </c>
      <c r="F181" s="15"/>
      <c r="G181" s="15"/>
      <c r="H181" s="15"/>
      <c r="I181" s="45"/>
    </row>
    <row r="182" s="1" customFormat="1" ht="35" customHeight="1" spans="1:9">
      <c r="A182" s="58"/>
      <c r="B182" s="59"/>
      <c r="C182" s="56" t="s">
        <v>59</v>
      </c>
      <c r="D182" s="57"/>
      <c r="E182" s="66"/>
      <c r="F182" s="15"/>
      <c r="G182" s="15"/>
      <c r="H182" s="15"/>
      <c r="I182" s="45"/>
    </row>
    <row r="183" s="1" customFormat="1" ht="35" customHeight="1" spans="1:9">
      <c r="A183" s="58"/>
      <c r="B183" s="59"/>
      <c r="C183" s="60"/>
      <c r="D183" s="61"/>
      <c r="E183" s="78">
        <v>0</v>
      </c>
      <c r="F183" s="15"/>
      <c r="G183" s="15"/>
      <c r="H183" s="15"/>
      <c r="I183" s="45"/>
    </row>
    <row r="184" s="1" customFormat="1" ht="35" customHeight="1" spans="1:9">
      <c r="A184" s="58"/>
      <c r="B184" s="59"/>
      <c r="C184" s="60"/>
      <c r="D184" s="61"/>
      <c r="E184" s="78">
        <v>0</v>
      </c>
      <c r="F184" s="15"/>
      <c r="G184" s="15"/>
      <c r="H184" s="15"/>
      <c r="I184" s="45"/>
    </row>
    <row r="185" s="1" customFormat="1" ht="35" customHeight="1" spans="1:9">
      <c r="A185" s="58"/>
      <c r="B185" s="59"/>
      <c r="C185" s="60"/>
      <c r="D185" s="61"/>
      <c r="E185" s="78">
        <v>0</v>
      </c>
      <c r="F185" s="15"/>
      <c r="G185" s="15"/>
      <c r="H185" s="15"/>
      <c r="I185" s="45"/>
    </row>
    <row r="186" s="1" customFormat="1" ht="35" customHeight="1" spans="1:9">
      <c r="A186" s="58"/>
      <c r="B186" s="59"/>
      <c r="C186" s="60"/>
      <c r="D186" s="61"/>
      <c r="E186" s="78">
        <v>0</v>
      </c>
      <c r="F186" s="15"/>
      <c r="G186" s="15"/>
      <c r="H186" s="15"/>
      <c r="I186" s="45"/>
    </row>
    <row r="187" s="1" customFormat="1" ht="35" customHeight="1" spans="1:9">
      <c r="A187" s="58"/>
      <c r="B187" s="59"/>
      <c r="C187" s="60"/>
      <c r="D187" s="61"/>
      <c r="E187" s="78">
        <v>0</v>
      </c>
      <c r="F187" s="15"/>
      <c r="G187" s="15"/>
      <c r="H187" s="15"/>
      <c r="I187" s="45"/>
    </row>
    <row r="188" s="1" customFormat="1" ht="35" customHeight="1" spans="1:9">
      <c r="A188" s="67"/>
      <c r="B188" s="68"/>
      <c r="C188" s="60"/>
      <c r="D188" s="61"/>
      <c r="E188" s="78">
        <v>0</v>
      </c>
      <c r="F188" s="15"/>
      <c r="G188" s="15"/>
      <c r="H188" s="15"/>
      <c r="I188" s="45"/>
    </row>
    <row r="189" s="1" customFormat="1" ht="35" customHeight="1" spans="1:9">
      <c r="A189" s="51" t="s">
        <v>60</v>
      </c>
      <c r="B189" s="69"/>
      <c r="C189" s="70"/>
      <c r="D189" s="71"/>
      <c r="E189" s="78">
        <f>C96</f>
        <v>0</v>
      </c>
      <c r="F189" s="15"/>
      <c r="G189" s="15"/>
      <c r="H189" s="15"/>
      <c r="I189" s="45"/>
    </row>
    <row r="190" s="1" customFormat="1" ht="35" customHeight="1" spans="1:9">
      <c r="A190" s="72"/>
      <c r="B190" s="73"/>
      <c r="C190" s="37" t="s">
        <v>61</v>
      </c>
      <c r="D190" s="37"/>
      <c r="E190" s="65">
        <f ca="1">(F40+E170)-(SUM(E172:E181)+SUM(E183:E189))</f>
        <v>0</v>
      </c>
      <c r="F190" s="15"/>
      <c r="G190" s="15"/>
      <c r="H190" s="15"/>
      <c r="I190" s="45"/>
    </row>
    <row r="191" s="1" customFormat="1" ht="35" customHeight="1" spans="1:9">
      <c r="A191" s="15"/>
      <c r="B191" s="15"/>
      <c r="C191" s="15"/>
      <c r="D191" s="15"/>
      <c r="E191" s="15"/>
      <c r="F191" s="15"/>
      <c r="G191" s="15"/>
      <c r="H191" s="15"/>
      <c r="I191" s="45"/>
    </row>
    <row r="192" s="1" customFormat="1" ht="35" customHeight="1" spans="1:9">
      <c r="A192" s="38"/>
      <c r="B192" s="38"/>
      <c r="C192" s="38"/>
      <c r="D192" s="38"/>
      <c r="E192" s="38"/>
      <c r="F192" s="38"/>
      <c r="G192" s="38"/>
      <c r="H192" s="38"/>
      <c r="I192" s="38"/>
    </row>
    <row r="193" ht="24.75" customHeight="1" spans="1:9">
      <c r="A193" s="82"/>
      <c r="B193" s="82"/>
      <c r="C193" s="82"/>
      <c r="D193" s="82"/>
      <c r="E193" s="82"/>
      <c r="F193" s="82"/>
      <c r="G193" s="82"/>
      <c r="H193" s="82"/>
      <c r="I193" s="82"/>
    </row>
  </sheetData>
  <sheetProtection sheet="1" formatCells="0" formatColumns="0" formatRows="0" objects="1"/>
  <protectedRanges>
    <protectedRange sqref="A10:G15" name="R1"/>
    <protectedRange sqref="A22:G27" name="R2"/>
    <protectedRange sqref="A34:G39" name="R3"/>
    <protectedRange sqref="A46:C46 C47:C54" name="F1"/>
    <protectedRange sqref="C67:C74" name="F3"/>
    <protectedRange sqref="C76:C84" name="F4"/>
    <protectedRange sqref="C56:C65" name="F2"/>
    <protectedRange sqref="C86:C94" name="F5"/>
    <protectedRange sqref="C117:E134" name="E1"/>
    <protectedRange sqref="C144:E161" name="E2"/>
    <protectedRange sqref="C171:E188" name="E3"/>
    <protectedRange sqref="A56:B56" name="F2_1"/>
    <protectedRange sqref="A67:B67" name="F3_1"/>
    <protectedRange sqref="A76:B76" name="F4_1"/>
    <protectedRange sqref="A86:B86" name="F5_1"/>
  </protectedRanges>
  <mergeCells count="174">
    <mergeCell ref="A1:G1"/>
    <mergeCell ref="C2:G2"/>
    <mergeCell ref="C3:G3"/>
    <mergeCell ref="A4:B4"/>
    <mergeCell ref="C4:G4"/>
    <mergeCell ref="A5:B5"/>
    <mergeCell ref="C5:G5"/>
    <mergeCell ref="A8:G8"/>
    <mergeCell ref="B9:C9"/>
    <mergeCell ref="D9:E9"/>
    <mergeCell ref="F9:G9"/>
    <mergeCell ref="B10:C10"/>
    <mergeCell ref="D10:E10"/>
    <mergeCell ref="F10:G10"/>
    <mergeCell ref="B11:C11"/>
    <mergeCell ref="D11:E11"/>
    <mergeCell ref="F11:G11"/>
    <mergeCell ref="B12:C12"/>
    <mergeCell ref="D12:E12"/>
    <mergeCell ref="F12:G12"/>
    <mergeCell ref="B13:C13"/>
    <mergeCell ref="D13:E13"/>
    <mergeCell ref="F13:G13"/>
    <mergeCell ref="B14:C14"/>
    <mergeCell ref="D14:E14"/>
    <mergeCell ref="F14:G14"/>
    <mergeCell ref="B15:C15"/>
    <mergeCell ref="D15:E15"/>
    <mergeCell ref="F15:G15"/>
    <mergeCell ref="B16:C16"/>
    <mergeCell ref="D16:E16"/>
    <mergeCell ref="F16:G16"/>
    <mergeCell ref="A20:G20"/>
    <mergeCell ref="B21:C21"/>
    <mergeCell ref="D21:E21"/>
    <mergeCell ref="F21:G21"/>
    <mergeCell ref="B22:C22"/>
    <mergeCell ref="D22:E22"/>
    <mergeCell ref="F22:G22"/>
    <mergeCell ref="B23:C23"/>
    <mergeCell ref="D23:E23"/>
    <mergeCell ref="F23:G23"/>
    <mergeCell ref="B24:C24"/>
    <mergeCell ref="D24:E24"/>
    <mergeCell ref="F24:G24"/>
    <mergeCell ref="B25:C25"/>
    <mergeCell ref="D25:E25"/>
    <mergeCell ref="F25:G25"/>
    <mergeCell ref="B26:C26"/>
    <mergeCell ref="D26:E26"/>
    <mergeCell ref="F26:G26"/>
    <mergeCell ref="B27:C27"/>
    <mergeCell ref="D27:E27"/>
    <mergeCell ref="F27:G27"/>
    <mergeCell ref="B28:C28"/>
    <mergeCell ref="D28:E28"/>
    <mergeCell ref="F28:G28"/>
    <mergeCell ref="A32:G32"/>
    <mergeCell ref="B33:C33"/>
    <mergeCell ref="D33:E33"/>
    <mergeCell ref="F33:G33"/>
    <mergeCell ref="B34:C34"/>
    <mergeCell ref="D34:E34"/>
    <mergeCell ref="F34:G34"/>
    <mergeCell ref="B35:C35"/>
    <mergeCell ref="D35:E35"/>
    <mergeCell ref="F35:G35"/>
    <mergeCell ref="B36:C36"/>
    <mergeCell ref="D36:E36"/>
    <mergeCell ref="F36:G36"/>
    <mergeCell ref="B37:C37"/>
    <mergeCell ref="D37:E37"/>
    <mergeCell ref="F37:G37"/>
    <mergeCell ref="B38:C38"/>
    <mergeCell ref="D38:E38"/>
    <mergeCell ref="F38:G38"/>
    <mergeCell ref="B39:C39"/>
    <mergeCell ref="D39:E39"/>
    <mergeCell ref="F39:G39"/>
    <mergeCell ref="B40:C40"/>
    <mergeCell ref="D40:E40"/>
    <mergeCell ref="F40:G40"/>
    <mergeCell ref="A44:C44"/>
    <mergeCell ref="A46:C46"/>
    <mergeCell ref="A56:C56"/>
    <mergeCell ref="A67:C67"/>
    <mergeCell ref="A76:C76"/>
    <mergeCell ref="A86:C86"/>
    <mergeCell ref="A97:C97"/>
    <mergeCell ref="A114:E114"/>
    <mergeCell ref="A115:B115"/>
    <mergeCell ref="C115:D115"/>
    <mergeCell ref="A116:B116"/>
    <mergeCell ref="C116:D116"/>
    <mergeCell ref="C117:D117"/>
    <mergeCell ref="C118:D118"/>
    <mergeCell ref="C119:D119"/>
    <mergeCell ref="C120:D120"/>
    <mergeCell ref="C121:D121"/>
    <mergeCell ref="C122:D122"/>
    <mergeCell ref="C123:D123"/>
    <mergeCell ref="C124:D124"/>
    <mergeCell ref="C125:D125"/>
    <mergeCell ref="C126:D126"/>
    <mergeCell ref="C127:D127"/>
    <mergeCell ref="C128:D128"/>
    <mergeCell ref="C129:D129"/>
    <mergeCell ref="C130:D130"/>
    <mergeCell ref="C131:D131"/>
    <mergeCell ref="C132:D132"/>
    <mergeCell ref="C133:D133"/>
    <mergeCell ref="C134:D134"/>
    <mergeCell ref="A135:B135"/>
    <mergeCell ref="C135:D135"/>
    <mergeCell ref="A136:B136"/>
    <mergeCell ref="C136:D136"/>
    <mergeCell ref="A141:E141"/>
    <mergeCell ref="A142:B142"/>
    <mergeCell ref="C142:D142"/>
    <mergeCell ref="A143:B143"/>
    <mergeCell ref="C143:D143"/>
    <mergeCell ref="C144:D144"/>
    <mergeCell ref="C145:D145"/>
    <mergeCell ref="C146:D146"/>
    <mergeCell ref="C147:D147"/>
    <mergeCell ref="C148:D148"/>
    <mergeCell ref="C149:D149"/>
    <mergeCell ref="C150:D150"/>
    <mergeCell ref="C151:D151"/>
    <mergeCell ref="C152:D152"/>
    <mergeCell ref="C153:D153"/>
    <mergeCell ref="C154:D154"/>
    <mergeCell ref="C155:D155"/>
    <mergeCell ref="C156:D156"/>
    <mergeCell ref="C157:D157"/>
    <mergeCell ref="C158:D158"/>
    <mergeCell ref="C159:D159"/>
    <mergeCell ref="C160:D160"/>
    <mergeCell ref="C161:D161"/>
    <mergeCell ref="A162:B162"/>
    <mergeCell ref="C162:D162"/>
    <mergeCell ref="A163:B163"/>
    <mergeCell ref="C163:D163"/>
    <mergeCell ref="A168:E168"/>
    <mergeCell ref="A169:B169"/>
    <mergeCell ref="C169:D169"/>
    <mergeCell ref="A170:B170"/>
    <mergeCell ref="C170:D170"/>
    <mergeCell ref="C171:D171"/>
    <mergeCell ref="C172:D172"/>
    <mergeCell ref="C173:D173"/>
    <mergeCell ref="C174:D174"/>
    <mergeCell ref="C175:D175"/>
    <mergeCell ref="C176:D176"/>
    <mergeCell ref="C177:D177"/>
    <mergeCell ref="C178:D178"/>
    <mergeCell ref="C179:D179"/>
    <mergeCell ref="C180:D180"/>
    <mergeCell ref="C181:D181"/>
    <mergeCell ref="C182:D182"/>
    <mergeCell ref="C183:D183"/>
    <mergeCell ref="C184:D184"/>
    <mergeCell ref="C185:D185"/>
    <mergeCell ref="C186:D186"/>
    <mergeCell ref="C187:D187"/>
    <mergeCell ref="C188:D188"/>
    <mergeCell ref="A189:B189"/>
    <mergeCell ref="C189:D189"/>
    <mergeCell ref="A190:B190"/>
    <mergeCell ref="C190:D190"/>
    <mergeCell ref="A2:A3"/>
    <mergeCell ref="A117:B134"/>
    <mergeCell ref="A144:B161"/>
    <mergeCell ref="A171:B188"/>
  </mergeCells>
  <conditionalFormatting sqref="C5">
    <cfRule type="cellIs" dxfId="0" priority="6" operator="equal">
      <formula>0</formula>
    </cfRule>
    <cfRule type="cellIs" dxfId="1" priority="5" operator="greaterThan">
      <formula>0</formula>
    </cfRule>
  </conditionalFormatting>
  <conditionalFormatting sqref="C75">
    <cfRule type="cellIs" dxfId="0" priority="51" operator="equal">
      <formula>0</formula>
    </cfRule>
    <cfRule type="cellIs" dxfId="1" priority="50" operator="greaterThan">
      <formula>0</formula>
    </cfRule>
  </conditionalFormatting>
  <conditionalFormatting sqref="C77">
    <cfRule type="cellIs" dxfId="0" priority="49" operator="equal">
      <formula>0</formula>
    </cfRule>
    <cfRule type="cellIs" dxfId="1" priority="48" operator="greaterThan">
      <formula>0</formula>
    </cfRule>
  </conditionalFormatting>
  <conditionalFormatting sqref="C108">
    <cfRule type="cellIs" dxfId="0" priority="4" operator="greaterThanOrEqual">
      <formula>0</formula>
    </cfRule>
    <cfRule type="cellIs" dxfId="1" priority="3" operator="lessThan">
      <formula>0</formula>
    </cfRule>
  </conditionalFormatting>
  <conditionalFormatting sqref="C109">
    <cfRule type="cellIs" dxfId="0" priority="2" operator="greaterThanOrEqual">
      <formula>0</formula>
    </cfRule>
    <cfRule type="cellIs" dxfId="1" priority="1" operator="lessThan">
      <formula>0</formula>
    </cfRule>
  </conditionalFormatting>
  <conditionalFormatting sqref="E116">
    <cfRule type="cellIs" dxfId="3" priority="12" operator="greaterThanOrEqual">
      <formula>0</formula>
    </cfRule>
    <cfRule type="cellIs" dxfId="4" priority="11" operator="lessThan">
      <formula>0</formula>
    </cfRule>
  </conditionalFormatting>
  <conditionalFormatting sqref="E136">
    <cfRule type="cellIs" dxfId="3" priority="43" operator="greaterThanOrEqual">
      <formula>0</formula>
    </cfRule>
    <cfRule type="cellIs" dxfId="4" priority="42" operator="lessThan">
      <formula>0</formula>
    </cfRule>
  </conditionalFormatting>
  <conditionalFormatting sqref="E143">
    <cfRule type="cellIs" dxfId="3" priority="30" operator="greaterThanOrEqual">
      <formula>0</formula>
    </cfRule>
    <cfRule type="cellIs" dxfId="4" priority="29" operator="lessThan">
      <formula>0</formula>
    </cfRule>
  </conditionalFormatting>
  <conditionalFormatting sqref="E163">
    <cfRule type="cellIs" dxfId="3" priority="32" operator="greaterThanOrEqual">
      <formula>0</formula>
    </cfRule>
    <cfRule type="cellIs" dxfId="4" priority="31" operator="lessThan">
      <formula>0</formula>
    </cfRule>
  </conditionalFormatting>
  <conditionalFormatting sqref="E170">
    <cfRule type="cellIs" dxfId="3" priority="24" operator="greaterThanOrEqual">
      <formula>0</formula>
    </cfRule>
    <cfRule type="cellIs" dxfId="4" priority="23" operator="lessThan">
      <formula>0</formula>
    </cfRule>
  </conditionalFormatting>
  <conditionalFormatting sqref="E190">
    <cfRule type="cellIs" dxfId="3" priority="26" operator="greaterThanOrEqual">
      <formula>0</formula>
    </cfRule>
    <cfRule type="cellIs" dxfId="4" priority="25" operator="lessThan">
      <formula>0</formula>
    </cfRule>
  </conditionalFormatting>
  <conditionalFormatting sqref="C57:C66">
    <cfRule type="cellIs" dxfId="0" priority="55" operator="equal">
      <formula>0</formula>
    </cfRule>
    <cfRule type="cellIs" dxfId="1" priority="54" operator="greaterThan">
      <formula>0</formula>
    </cfRule>
  </conditionalFormatting>
  <conditionalFormatting sqref="C68:C69">
    <cfRule type="cellIs" dxfId="0" priority="53" operator="equal">
      <formula>0</formula>
    </cfRule>
    <cfRule type="cellIs" dxfId="1" priority="52" operator="greaterThan">
      <formula>0</formula>
    </cfRule>
  </conditionalFormatting>
  <conditionalFormatting sqref="C70:C74">
    <cfRule type="cellIs" dxfId="0" priority="41" operator="equal">
      <formula>0</formula>
    </cfRule>
    <cfRule type="cellIs" dxfId="1" priority="40" operator="greaterThan">
      <formula>0</formula>
    </cfRule>
  </conditionalFormatting>
  <conditionalFormatting sqref="C78:C79">
    <cfRule type="cellIs" dxfId="0" priority="10" operator="equal">
      <formula>0</formula>
    </cfRule>
    <cfRule type="cellIs" dxfId="1" priority="9" operator="greaterThan">
      <formula>0</formula>
    </cfRule>
  </conditionalFormatting>
  <conditionalFormatting sqref="C80:C84">
    <cfRule type="cellIs" dxfId="0" priority="39" operator="equal">
      <formula>0</formula>
    </cfRule>
    <cfRule type="cellIs" dxfId="1" priority="38" operator="greaterThan">
      <formula>0</formula>
    </cfRule>
  </conditionalFormatting>
  <conditionalFormatting sqref="C87:C89">
    <cfRule type="cellIs" dxfId="0" priority="47" operator="equal">
      <formula>0</formula>
    </cfRule>
    <cfRule type="cellIs" dxfId="1" priority="46" operator="greaterThan">
      <formula>0</formula>
    </cfRule>
  </conditionalFormatting>
  <conditionalFormatting sqref="C90:C91">
    <cfRule type="cellIs" dxfId="0" priority="8" operator="equal">
      <formula>0</formula>
    </cfRule>
    <cfRule type="cellIs" dxfId="1" priority="7" operator="greaterThan">
      <formula>0</formula>
    </cfRule>
  </conditionalFormatting>
  <conditionalFormatting sqref="C92:C94">
    <cfRule type="cellIs" dxfId="0" priority="37" operator="equal">
      <formula>0</formula>
    </cfRule>
    <cfRule type="cellIs" dxfId="1" priority="36" operator="greaterThan">
      <formula>0</formula>
    </cfRule>
  </conditionalFormatting>
  <conditionalFormatting sqref="C98:C107">
    <cfRule type="cellIs" dxfId="1" priority="20" operator="lessThan">
      <formula>0</formula>
    </cfRule>
    <cfRule type="cellIs" dxfId="2" priority="19" operator="greaterThanOrEqual">
      <formula>0</formula>
    </cfRule>
  </conditionalFormatting>
  <conditionalFormatting sqref="E118:E127">
    <cfRule type="cellIs" dxfId="0" priority="18" operator="equal">
      <formula>0</formula>
    </cfRule>
    <cfRule type="cellIs" dxfId="1" priority="17" operator="greaterThan">
      <formula>0</formula>
    </cfRule>
  </conditionalFormatting>
  <conditionalFormatting sqref="E145:E154">
    <cfRule type="cellIs" dxfId="0" priority="16" operator="equal">
      <formula>0</formula>
    </cfRule>
    <cfRule type="cellIs" dxfId="1" priority="15" operator="greaterThan">
      <formula>0</formula>
    </cfRule>
  </conditionalFormatting>
  <conditionalFormatting sqref="E172:E181">
    <cfRule type="cellIs" dxfId="0" priority="14" operator="equal">
      <formula>0</formula>
    </cfRule>
    <cfRule type="cellIs" dxfId="1" priority="13" operator="greaterThan">
      <formula>0</formula>
    </cfRule>
  </conditionalFormatting>
  <conditionalFormatting sqref="C47:C55 C85 C95:C96">
    <cfRule type="cellIs" dxfId="0" priority="57" operator="equal">
      <formula>0</formula>
    </cfRule>
  </conditionalFormatting>
  <conditionalFormatting sqref="C47:C55 C85 C95:C96 E144 E155:E162">
    <cfRule type="cellIs" dxfId="1" priority="56" operator="greaterThan">
      <formula>0</formula>
    </cfRule>
  </conditionalFormatting>
  <conditionalFormatting sqref="E117 E128:E135">
    <cfRule type="cellIs" dxfId="0" priority="45" operator="equal">
      <formula>0</formula>
    </cfRule>
    <cfRule type="cellIs" dxfId="1" priority="44" operator="greaterThan">
      <formula>0</formula>
    </cfRule>
  </conditionalFormatting>
  <conditionalFormatting sqref="E144 E155:E162">
    <cfRule type="cellIs" dxfId="2" priority="33" operator="equal">
      <formula>0</formula>
    </cfRule>
  </conditionalFormatting>
  <conditionalFormatting sqref="E171 E182:E189">
    <cfRule type="cellIs" dxfId="2" priority="28" operator="equal">
      <formula>0</formula>
    </cfRule>
    <cfRule type="cellIs" dxfId="1" priority="27" operator="greaterThan">
      <formula>0</formula>
    </cfRule>
  </conditionalFormatting>
  <pageMargins left="0.7" right="0.7" top="0.75" bottom="0.75" header="0.3" footer="0.3"/>
  <headerFooter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94"/>
  <sheetViews>
    <sheetView topLeftCell="A180" workbookViewId="0">
      <selection activeCell="E195" sqref="E195"/>
    </sheetView>
  </sheetViews>
  <sheetFormatPr defaultColWidth="9" defaultRowHeight="17.6"/>
  <cols>
    <col min="1" max="7" width="25.6111111111111" customWidth="1"/>
    <col min="8" max="8" width="20.625" customWidth="1"/>
  </cols>
  <sheetData>
    <row r="1" s="1" customFormat="1" ht="35" customHeight="1" spans="1:9">
      <c r="A1" s="2" t="str">
        <f>"Forecasts For the Year "&amp;IF(Main!B2,TEXT(EDATE(Main!B3,36),"mmmm yyyy"),TEXT(Main!B3+((Main!B5-Main!B3)*36+36),"mmmm yyyy"))&amp;" to "&amp;IF(Main!B2,TEXT(EDATE(Main!B3,39)-1,"mmmm yyyy"),TEXT(Main!B3+((Main!B5-Main!B3)*39+38),"mmmm yyyy"))</f>
        <v>Forecasts For the Year May 2028 to July 2028</v>
      </c>
      <c r="B1" s="2"/>
      <c r="C1" s="2"/>
      <c r="D1" s="2"/>
      <c r="E1" s="2"/>
      <c r="F1" s="2"/>
      <c r="G1" s="2"/>
      <c r="H1" s="38"/>
      <c r="I1" s="38"/>
    </row>
    <row r="2" s="1" customFormat="1" ht="35" customHeight="1" spans="1:9">
      <c r="A2" s="3" t="s">
        <v>33</v>
      </c>
      <c r="B2" s="4" t="s">
        <v>62</v>
      </c>
      <c r="C2" s="5" cm="1">
        <f ca="1" t="array" ref="C2">INDIRECT("'"&amp;Main!B9&amp;"'!$C$16")</f>
        <v>0</v>
      </c>
      <c r="D2" s="5"/>
      <c r="E2" s="5"/>
      <c r="F2" s="5"/>
      <c r="G2" s="5"/>
      <c r="H2" s="38"/>
      <c r="I2" s="38"/>
    </row>
    <row r="3" s="1" customFormat="1" ht="35" customHeight="1" spans="1:9">
      <c r="A3" s="6"/>
      <c r="B3" s="7" t="s">
        <v>63</v>
      </c>
      <c r="C3" s="8">
        <f ca="1">E190</f>
        <v>0</v>
      </c>
      <c r="D3" s="8"/>
      <c r="E3" s="8"/>
      <c r="F3" s="8"/>
      <c r="G3" s="8"/>
      <c r="H3" s="38"/>
      <c r="I3" s="38"/>
    </row>
    <row r="4" s="1" customFormat="1" ht="35" customHeight="1" spans="1:9">
      <c r="A4" s="9" t="s">
        <v>42</v>
      </c>
      <c r="B4" s="10"/>
      <c r="C4" s="11">
        <f ca="1">SUM(C2:G3)</f>
        <v>0</v>
      </c>
      <c r="D4" s="11"/>
      <c r="E4" s="11"/>
      <c r="F4" s="11"/>
      <c r="G4" s="11"/>
      <c r="H4" s="15"/>
      <c r="I4" s="45"/>
    </row>
    <row r="5" s="1" customFormat="1" ht="35" customHeight="1" spans="1:9">
      <c r="A5" s="12" t="s">
        <v>64</v>
      </c>
      <c r="B5" s="12"/>
      <c r="C5" s="13">
        <f ca="1">C108</f>
        <v>0</v>
      </c>
      <c r="D5" s="14"/>
      <c r="E5" s="14"/>
      <c r="F5" s="14"/>
      <c r="G5" s="14"/>
      <c r="H5" s="15"/>
      <c r="I5" s="45"/>
    </row>
    <row r="6" s="1" customFormat="1" ht="35" customHeight="1" spans="1:9">
      <c r="A6" s="15"/>
      <c r="B6" s="15"/>
      <c r="C6" s="15"/>
      <c r="D6" s="15"/>
      <c r="E6" s="15"/>
      <c r="F6" s="15"/>
      <c r="G6" s="15"/>
      <c r="H6" s="15"/>
      <c r="I6" s="45"/>
    </row>
    <row r="7" s="1" customFormat="1" ht="35" customHeight="1" spans="1:9">
      <c r="A7" s="15"/>
      <c r="B7" s="15"/>
      <c r="C7" s="15"/>
      <c r="D7" s="15"/>
      <c r="E7" s="15"/>
      <c r="F7" s="15"/>
      <c r="G7" s="15"/>
      <c r="H7" s="15"/>
      <c r="I7" s="45"/>
    </row>
    <row r="8" s="1" customFormat="1" ht="35" customHeight="1" spans="1:9">
      <c r="A8" s="16" t="str">
        <f>IF(Main!B2,TEXT(EDATE(Main!B3,36),"dd mmmm yyyy"),TEXT(Main!B3+((Main!B5-Main!B3)*36+36),"dd mmmm yyyy"))&amp;" - "&amp;IF(Main!B2,TEXT(EDATE(Main!B3,37)-1,"dd mmmm yyyy"),TEXT(Main!B3+((Main!B5-Main!B3)*37+36),"dd mmmm yyyy"))&amp;" / "&amp;" (Revenue / Deferred Debts Or Expenses)"</f>
        <v>01 May 2028 - 31 May 2028 /  (Revenue / Deferred Debts Or Expenses)</v>
      </c>
      <c r="B8" s="17"/>
      <c r="C8" s="17"/>
      <c r="D8" s="17"/>
      <c r="E8" s="17"/>
      <c r="F8" s="17"/>
      <c r="G8" s="17"/>
      <c r="H8" s="15"/>
      <c r="I8" s="45"/>
    </row>
    <row r="9" s="1" customFormat="1" ht="35" customHeight="1" spans="1:9">
      <c r="A9" s="18" t="s">
        <v>29</v>
      </c>
      <c r="B9" s="18" t="s">
        <v>43</v>
      </c>
      <c r="C9" s="18"/>
      <c r="D9" s="18" t="s">
        <v>44</v>
      </c>
      <c r="E9" s="18"/>
      <c r="F9" s="18" t="s">
        <v>45</v>
      </c>
      <c r="G9" s="18"/>
      <c r="H9" s="15"/>
      <c r="I9" s="45"/>
    </row>
    <row r="10" s="1" customFormat="1" ht="35" customHeight="1" spans="1:9">
      <c r="A10" s="19"/>
      <c r="B10" s="20"/>
      <c r="C10" s="20"/>
      <c r="D10" s="20"/>
      <c r="E10" s="20"/>
      <c r="F10" s="39">
        <v>0</v>
      </c>
      <c r="G10" s="40"/>
      <c r="H10" s="15"/>
      <c r="I10" s="45"/>
    </row>
    <row r="11" s="1" customFormat="1" ht="35" customHeight="1" spans="1:9">
      <c r="A11" s="19"/>
      <c r="B11" s="21"/>
      <c r="C11" s="22"/>
      <c r="D11" s="23"/>
      <c r="E11" s="41"/>
      <c r="F11" s="39">
        <v>0</v>
      </c>
      <c r="G11" s="40"/>
      <c r="H11" s="15"/>
      <c r="I11" s="45"/>
    </row>
    <row r="12" s="1" customFormat="1" ht="35" customHeight="1" spans="1:9">
      <c r="A12" s="19"/>
      <c r="B12" s="21"/>
      <c r="C12" s="22"/>
      <c r="D12" s="23"/>
      <c r="E12" s="41"/>
      <c r="F12" s="39">
        <v>0</v>
      </c>
      <c r="G12" s="40"/>
      <c r="H12" s="15"/>
      <c r="I12" s="45"/>
    </row>
    <row r="13" s="1" customFormat="1" ht="35" customHeight="1" spans="1:9">
      <c r="A13" s="19"/>
      <c r="B13" s="21"/>
      <c r="C13" s="22"/>
      <c r="D13" s="23"/>
      <c r="E13" s="41"/>
      <c r="F13" s="39">
        <v>0</v>
      </c>
      <c r="G13" s="40"/>
      <c r="H13" s="15"/>
      <c r="I13" s="45"/>
    </row>
    <row r="14" s="1" customFormat="1" ht="35" customHeight="1" spans="1:9">
      <c r="A14" s="19"/>
      <c r="B14" s="21"/>
      <c r="C14" s="22"/>
      <c r="D14" s="23"/>
      <c r="E14" s="41"/>
      <c r="F14" s="39">
        <v>0</v>
      </c>
      <c r="G14" s="40"/>
      <c r="H14" s="15"/>
      <c r="I14" s="45"/>
    </row>
    <row r="15" s="1" customFormat="1" ht="35" customHeight="1" spans="1:9">
      <c r="A15" s="19"/>
      <c r="B15" s="21"/>
      <c r="C15" s="22"/>
      <c r="D15" s="23"/>
      <c r="E15" s="41"/>
      <c r="F15" s="39">
        <v>0</v>
      </c>
      <c r="G15" s="40"/>
      <c r="H15" s="15"/>
      <c r="I15" s="45"/>
    </row>
    <row r="16" s="1" customFormat="1" ht="35" customHeight="1" spans="1:9">
      <c r="A16" s="24"/>
      <c r="B16" s="25"/>
      <c r="C16" s="26"/>
      <c r="D16" s="27" t="s">
        <v>46</v>
      </c>
      <c r="E16" s="42"/>
      <c r="F16" s="43">
        <f>SUM(F10:G15)</f>
        <v>0</v>
      </c>
      <c r="G16" s="44"/>
      <c r="H16" s="15"/>
      <c r="I16" s="45"/>
    </row>
    <row r="17" s="1" customFormat="1" ht="35" customHeight="1" spans="1:9">
      <c r="A17" s="15"/>
      <c r="B17" s="15"/>
      <c r="C17" s="15"/>
      <c r="D17" s="15"/>
      <c r="E17" s="15"/>
      <c r="F17" s="15"/>
      <c r="G17" s="15"/>
      <c r="H17" s="15"/>
      <c r="I17" s="45"/>
    </row>
    <row r="18" s="1" customFormat="1" ht="35" customHeight="1" spans="1:9">
      <c r="A18" s="15"/>
      <c r="B18" s="15"/>
      <c r="C18" s="15"/>
      <c r="D18" s="15"/>
      <c r="E18" s="15"/>
      <c r="F18" s="15"/>
      <c r="G18" s="15"/>
      <c r="H18" s="15"/>
      <c r="I18" s="45"/>
    </row>
    <row r="19" s="1" customFormat="1" ht="35" customHeight="1" spans="1:9">
      <c r="A19" s="15"/>
      <c r="B19" s="15"/>
      <c r="C19" s="15"/>
      <c r="D19" s="15"/>
      <c r="E19" s="15"/>
      <c r="F19" s="15"/>
      <c r="G19" s="15"/>
      <c r="H19" s="15"/>
      <c r="I19" s="45"/>
    </row>
    <row r="20" s="1" customFormat="1" ht="35" customHeight="1" spans="1:9">
      <c r="A20" s="16" t="str">
        <f>IF(Main!B2,TEXT(EDATE(Main!B3,37),"dd mmmm yyyy"),TEXT(Main!B3+((Main!B5-Main!B3)*37+37),"dd mmmm yyyy"))&amp;" - "&amp;IF(Main!B2,TEXT(EDATE(Main!B3,38)-1,"dd mmmm yyyy"),TEXT(Main!B3+((Main!B5-Main!B3)*38+37),"dd mmmm yyyy"))&amp;" / "&amp;" (Revenue / Deferred Debts Or Expenses)"</f>
        <v>01 June 2028 - 30 June 2028 /  (Revenue / Deferred Debts Or Expenses)</v>
      </c>
      <c r="B20" s="17"/>
      <c r="C20" s="17"/>
      <c r="D20" s="17"/>
      <c r="E20" s="17"/>
      <c r="F20" s="17"/>
      <c r="G20" s="17"/>
      <c r="H20" s="15"/>
      <c r="I20" s="45"/>
    </row>
    <row r="21" s="1" customFormat="1" ht="35" customHeight="1" spans="1:9">
      <c r="A21" s="18" t="s">
        <v>29</v>
      </c>
      <c r="B21" s="18" t="s">
        <v>43</v>
      </c>
      <c r="C21" s="18"/>
      <c r="D21" s="18" t="s">
        <v>44</v>
      </c>
      <c r="E21" s="18"/>
      <c r="F21" s="18" t="s">
        <v>45</v>
      </c>
      <c r="G21" s="18"/>
      <c r="H21" s="15"/>
      <c r="I21" s="45"/>
    </row>
    <row r="22" s="1" customFormat="1" ht="35" customHeight="1" spans="1:9">
      <c r="A22" s="19"/>
      <c r="B22" s="20"/>
      <c r="C22" s="20"/>
      <c r="D22" s="20"/>
      <c r="E22" s="20"/>
      <c r="F22" s="39">
        <v>0</v>
      </c>
      <c r="G22" s="40"/>
      <c r="H22" s="15"/>
      <c r="I22" s="45"/>
    </row>
    <row r="23" s="1" customFormat="1" ht="35" customHeight="1" spans="1:9">
      <c r="A23" s="19"/>
      <c r="B23" s="21"/>
      <c r="C23" s="22"/>
      <c r="D23" s="23"/>
      <c r="E23" s="41"/>
      <c r="F23" s="39">
        <v>0</v>
      </c>
      <c r="G23" s="40"/>
      <c r="H23" s="15"/>
      <c r="I23" s="45"/>
    </row>
    <row r="24" s="1" customFormat="1" ht="35" customHeight="1" spans="1:9">
      <c r="A24" s="19"/>
      <c r="B24" s="21"/>
      <c r="C24" s="22"/>
      <c r="D24" s="23"/>
      <c r="E24" s="41"/>
      <c r="F24" s="39">
        <v>0</v>
      </c>
      <c r="G24" s="40"/>
      <c r="H24" s="15"/>
      <c r="I24" s="45"/>
    </row>
    <row r="25" s="1" customFormat="1" ht="35" customHeight="1" spans="1:9">
      <c r="A25" s="19"/>
      <c r="B25" s="21"/>
      <c r="C25" s="22"/>
      <c r="D25" s="23"/>
      <c r="E25" s="41"/>
      <c r="F25" s="39">
        <v>0</v>
      </c>
      <c r="G25" s="40"/>
      <c r="H25" s="15"/>
      <c r="I25" s="45"/>
    </row>
    <row r="26" s="1" customFormat="1" ht="35" customHeight="1" spans="1:9">
      <c r="A26" s="19"/>
      <c r="B26" s="21"/>
      <c r="C26" s="22"/>
      <c r="D26" s="23"/>
      <c r="E26" s="41"/>
      <c r="F26" s="39">
        <v>0</v>
      </c>
      <c r="G26" s="40"/>
      <c r="H26" s="15"/>
      <c r="I26" s="45"/>
    </row>
    <row r="27" s="1" customFormat="1" ht="35" customHeight="1" spans="1:9">
      <c r="A27" s="19"/>
      <c r="B27" s="21"/>
      <c r="C27" s="22"/>
      <c r="D27" s="23"/>
      <c r="E27" s="41"/>
      <c r="F27" s="39">
        <v>0</v>
      </c>
      <c r="G27" s="40"/>
      <c r="H27" s="15"/>
      <c r="I27" s="45"/>
    </row>
    <row r="28" s="1" customFormat="1" ht="35" customHeight="1" spans="1:9">
      <c r="A28" s="24"/>
      <c r="B28" s="25"/>
      <c r="C28" s="26"/>
      <c r="D28" s="27" t="s">
        <v>46</v>
      </c>
      <c r="E28" s="42"/>
      <c r="F28" s="43">
        <f>SUM(F22:G27)</f>
        <v>0</v>
      </c>
      <c r="G28" s="44"/>
      <c r="H28" s="15"/>
      <c r="I28" s="45"/>
    </row>
    <row r="29" s="1" customFormat="1" ht="35" customHeight="1" spans="1:9">
      <c r="A29" s="15"/>
      <c r="B29" s="15"/>
      <c r="C29" s="15"/>
      <c r="D29" s="15"/>
      <c r="E29" s="15"/>
      <c r="F29" s="15"/>
      <c r="G29" s="15"/>
      <c r="H29" s="15"/>
      <c r="I29" s="45"/>
    </row>
    <row r="30" s="1" customFormat="1" ht="35" customHeight="1" spans="1:9">
      <c r="A30" s="15"/>
      <c r="B30" s="15"/>
      <c r="C30" s="15"/>
      <c r="D30" s="15"/>
      <c r="E30" s="15"/>
      <c r="F30" s="15"/>
      <c r="G30" s="15"/>
      <c r="H30" s="15"/>
      <c r="I30" s="45"/>
    </row>
    <row r="31" s="1" customFormat="1" ht="35" customHeight="1" spans="1:9">
      <c r="A31" s="15"/>
      <c r="B31" s="15"/>
      <c r="C31" s="15"/>
      <c r="D31" s="15"/>
      <c r="E31" s="15"/>
      <c r="F31" s="15"/>
      <c r="G31" s="15"/>
      <c r="H31" s="15"/>
      <c r="I31" s="45"/>
    </row>
    <row r="32" s="1" customFormat="1" ht="35" customHeight="1" spans="1:9">
      <c r="A32" s="16" t="str">
        <f>IF(Main!B2,TEXT(EDATE(Main!B3,38),"dd mmmm yyyy"),TEXT(Main!B3+((Main!B5-Main!B3)*38+38),"dd mmmm yyyy"))&amp;" - "&amp;IF(Main!B2,TEXT(EDATE(Main!B3,39)-1,"dd mmmm yyyy"),TEXT(Main!B3+((Main!B5-Main!B3)*39+38),"dd mmmm yyyy"))&amp;" / "&amp;" (Revenue / Deferred Debts Or Expenses)"</f>
        <v>01 July 2028 - 31 July 2028 /  (Revenue / Deferred Debts Or Expenses)</v>
      </c>
      <c r="B32" s="17"/>
      <c r="C32" s="17"/>
      <c r="D32" s="17"/>
      <c r="E32" s="17"/>
      <c r="F32" s="17"/>
      <c r="G32" s="17"/>
      <c r="H32" s="15"/>
      <c r="I32" s="45"/>
    </row>
    <row r="33" s="1" customFormat="1" ht="35" customHeight="1" spans="1:9">
      <c r="A33" s="18" t="s">
        <v>29</v>
      </c>
      <c r="B33" s="18" t="s">
        <v>43</v>
      </c>
      <c r="C33" s="18"/>
      <c r="D33" s="18" t="s">
        <v>44</v>
      </c>
      <c r="E33" s="18"/>
      <c r="F33" s="18" t="s">
        <v>45</v>
      </c>
      <c r="G33" s="18"/>
      <c r="H33" s="15"/>
      <c r="I33" s="45"/>
    </row>
    <row r="34" s="1" customFormat="1" ht="35" customHeight="1" spans="1:9">
      <c r="A34" s="19"/>
      <c r="B34" s="20"/>
      <c r="C34" s="20"/>
      <c r="D34" s="20"/>
      <c r="E34" s="20"/>
      <c r="F34" s="39">
        <v>0</v>
      </c>
      <c r="G34" s="40"/>
      <c r="H34" s="15"/>
      <c r="I34" s="45"/>
    </row>
    <row r="35" s="1" customFormat="1" ht="35" customHeight="1" spans="1:9">
      <c r="A35" s="19"/>
      <c r="B35" s="21"/>
      <c r="C35" s="22"/>
      <c r="D35" s="23"/>
      <c r="E35" s="41"/>
      <c r="F35" s="39">
        <v>0</v>
      </c>
      <c r="G35" s="40"/>
      <c r="H35" s="15"/>
      <c r="I35" s="45"/>
    </row>
    <row r="36" s="1" customFormat="1" ht="35" customHeight="1" spans="1:9">
      <c r="A36" s="19"/>
      <c r="B36" s="21"/>
      <c r="C36" s="22"/>
      <c r="D36" s="23"/>
      <c r="E36" s="41"/>
      <c r="F36" s="39">
        <v>0</v>
      </c>
      <c r="G36" s="40"/>
      <c r="H36" s="15"/>
      <c r="I36" s="45"/>
    </row>
    <row r="37" s="1" customFormat="1" ht="35" customHeight="1" spans="1:9">
      <c r="A37" s="19"/>
      <c r="B37" s="21"/>
      <c r="C37" s="22"/>
      <c r="D37" s="23"/>
      <c r="E37" s="41"/>
      <c r="F37" s="39">
        <v>0</v>
      </c>
      <c r="G37" s="40"/>
      <c r="H37" s="15"/>
      <c r="I37" s="45"/>
    </row>
    <row r="38" s="1" customFormat="1" ht="35" customHeight="1" spans="1:9">
      <c r="A38" s="19"/>
      <c r="B38" s="21"/>
      <c r="C38" s="22"/>
      <c r="D38" s="23"/>
      <c r="E38" s="41"/>
      <c r="F38" s="39">
        <v>0</v>
      </c>
      <c r="G38" s="40"/>
      <c r="H38" s="15"/>
      <c r="I38" s="45"/>
    </row>
    <row r="39" s="1" customFormat="1" ht="35" customHeight="1" spans="1:9">
      <c r="A39" s="19"/>
      <c r="B39" s="21"/>
      <c r="C39" s="22"/>
      <c r="D39" s="23"/>
      <c r="E39" s="41"/>
      <c r="F39" s="39">
        <v>0</v>
      </c>
      <c r="G39" s="40"/>
      <c r="H39" s="15"/>
      <c r="I39" s="45"/>
    </row>
    <row r="40" s="1" customFormat="1" ht="35" customHeight="1" spans="1:9">
      <c r="A40" s="24"/>
      <c r="B40" s="25"/>
      <c r="C40" s="26"/>
      <c r="D40" s="27" t="s">
        <v>46</v>
      </c>
      <c r="E40" s="42"/>
      <c r="F40" s="43">
        <f>SUM(F34:G39)</f>
        <v>0</v>
      </c>
      <c r="G40" s="44"/>
      <c r="H40" s="15"/>
      <c r="I40" s="45"/>
    </row>
    <row r="41" s="1" customFormat="1" ht="35" customHeight="1" spans="1:9">
      <c r="A41" s="15"/>
      <c r="B41" s="15"/>
      <c r="C41" s="15"/>
      <c r="D41" s="15"/>
      <c r="E41" s="15"/>
      <c r="F41" s="15"/>
      <c r="G41" s="15"/>
      <c r="H41" s="15"/>
      <c r="I41" s="45"/>
    </row>
    <row r="42" s="1" customFormat="1" ht="35" customHeight="1" spans="1:9">
      <c r="A42" s="15"/>
      <c r="B42" s="15"/>
      <c r="C42" s="15"/>
      <c r="D42" s="15"/>
      <c r="E42" s="15"/>
      <c r="F42" s="15"/>
      <c r="G42" s="15"/>
      <c r="H42" s="15"/>
      <c r="I42" s="45"/>
    </row>
    <row r="43" s="1" customFormat="1" ht="35" customHeight="1" spans="1:9">
      <c r="A43" s="15"/>
      <c r="B43" s="15"/>
      <c r="C43" s="15"/>
      <c r="D43" s="15"/>
      <c r="E43" s="15"/>
      <c r="F43" s="15"/>
      <c r="G43" s="15"/>
      <c r="H43" s="15"/>
      <c r="I43" s="45"/>
    </row>
    <row r="44" s="1" customFormat="1" ht="35" customHeight="1" spans="1:9">
      <c r="A44" s="28" t="str">
        <f>"Fixed Expense For the Year "&amp;IF(Main!B2,TEXT(EDATE(Main!B3,36),"mmmm yyyy"),TEXT(Main!B3+((Main!B5-Main!B3)*36+36),"mmmm yyyy"))&amp;" to "&amp;IF(Main!B2,TEXT(EDATE(Main!B3,39)-1,"mmmm yyyy"),TEXT(Main!B3+((Main!B5-Main!B3)*39+38),"mmmm yyyy"))</f>
        <v>Fixed Expense For the Year May 2028 to July 2028</v>
      </c>
      <c r="B44" s="29"/>
      <c r="C44" s="30"/>
      <c r="D44" s="15"/>
      <c r="E44" s="15"/>
      <c r="F44" s="15"/>
      <c r="G44" s="15"/>
      <c r="H44" s="15"/>
      <c r="I44" s="45"/>
    </row>
    <row r="45" s="1" customFormat="1" ht="35" customHeight="1" spans="1:9">
      <c r="A45" s="2" t="s">
        <v>43</v>
      </c>
      <c r="B45" s="2" t="s">
        <v>44</v>
      </c>
      <c r="C45" s="2" t="s">
        <v>45</v>
      </c>
      <c r="D45" s="15"/>
      <c r="E45" s="15"/>
      <c r="F45" s="15"/>
      <c r="G45" s="15"/>
      <c r="H45" s="15"/>
      <c r="I45" s="45"/>
    </row>
    <row r="46" s="1" customFormat="1" ht="35" customHeight="1" spans="1:9">
      <c r="A46" s="31" t="s">
        <v>47</v>
      </c>
      <c r="B46" s="32"/>
      <c r="C46" s="33"/>
      <c r="D46" s="15"/>
      <c r="E46" s="15"/>
      <c r="F46" s="15"/>
      <c r="G46" s="15"/>
      <c r="H46" s="15"/>
      <c r="I46" s="45"/>
    </row>
    <row r="47" s="1" customFormat="1" ht="35" customHeight="1" spans="1:9">
      <c r="A47" s="34" t="str" cm="1">
        <f ca="1" t="array" ref="A47">IF((INDIRECT("'"&amp;INDIRECT("Main!B9")&amp;"'!A61"))=0,"",(INDIRECT("'"&amp;INDIRECT("Main!B9")&amp;"'!A61")))</f>
        <v/>
      </c>
      <c r="B47" s="34" t="str" cm="1">
        <f ca="1" t="array" ref="B47">IF((INDIRECT("'"&amp;INDIRECT("Main!B9")&amp;"'!B61"))=0,"",(INDIRECT("'"&amp;INDIRECT("Main!B9")&amp;"'!B61")))</f>
        <v/>
      </c>
      <c r="C47" s="35">
        <v>0</v>
      </c>
      <c r="D47" s="15"/>
      <c r="E47" s="15"/>
      <c r="F47" s="15"/>
      <c r="G47" s="15"/>
      <c r="H47" s="15"/>
      <c r="I47" s="45"/>
    </row>
    <row r="48" s="1" customFormat="1" ht="35" customHeight="1" spans="1:9">
      <c r="A48" s="34" t="str" cm="1">
        <f ca="1" t="array" ref="A48">IF((INDIRECT("'"&amp;INDIRECT("Main!B9")&amp;"'!A62"))=0,"",(INDIRECT("'"&amp;INDIRECT("Main!B9")&amp;"'!A62")))</f>
        <v/>
      </c>
      <c r="B48" s="34" t="str" cm="1">
        <f ca="1" t="array" ref="B48">IF((INDIRECT("'"&amp;INDIRECT("Main!B9")&amp;"'!B62"))=0,"",(INDIRECT("'"&amp;INDIRECT("Main!B9")&amp;"'!B62")))</f>
        <v/>
      </c>
      <c r="C48" s="35">
        <v>0</v>
      </c>
      <c r="D48" s="15"/>
      <c r="E48" s="15"/>
      <c r="F48" s="15"/>
      <c r="G48" s="15"/>
      <c r="H48" s="15"/>
      <c r="I48" s="45"/>
    </row>
    <row r="49" s="1" customFormat="1" ht="35" customHeight="1" spans="1:9">
      <c r="A49" s="34" t="str" cm="1">
        <f ca="1" t="array" ref="A49">IF((INDIRECT("'"&amp;INDIRECT("Main!B9")&amp;"'!A63"))=0,"",(INDIRECT("'"&amp;INDIRECT("Main!B9")&amp;"'!A63")))</f>
        <v/>
      </c>
      <c r="B49" s="34" t="str" cm="1">
        <f ca="1" t="array" ref="B49">IF((INDIRECT("'"&amp;INDIRECT("Main!B9")&amp;"'!B63"))=0,"",(INDIRECT("'"&amp;INDIRECT("Main!B9")&amp;"'!B63")))</f>
        <v/>
      </c>
      <c r="C49" s="35">
        <v>0</v>
      </c>
      <c r="D49" s="15"/>
      <c r="E49" s="15"/>
      <c r="F49" s="15"/>
      <c r="G49" s="15"/>
      <c r="H49" s="15"/>
      <c r="I49" s="45"/>
    </row>
    <row r="50" s="1" customFormat="1" ht="35" customHeight="1" spans="1:9">
      <c r="A50" s="34" t="str" cm="1">
        <f ca="1" t="array" ref="A50">IF((INDIRECT("'"&amp;INDIRECT("Main!B9")&amp;"'!A64"))=0,"",(INDIRECT("'"&amp;INDIRECT("Main!B9")&amp;"'!A64")))</f>
        <v/>
      </c>
      <c r="B50" s="34" t="str" cm="1">
        <f ca="1" t="array" ref="B50">IF((INDIRECT("'"&amp;INDIRECT("Main!B9")&amp;"'!B64"))=0,"",(INDIRECT("'"&amp;INDIRECT("Main!B9")&amp;"'!B64")))</f>
        <v/>
      </c>
      <c r="C50" s="35">
        <v>0</v>
      </c>
      <c r="D50" s="15"/>
      <c r="E50" s="15"/>
      <c r="F50" s="15"/>
      <c r="G50" s="15"/>
      <c r="H50" s="15"/>
      <c r="I50" s="45"/>
    </row>
    <row r="51" s="1" customFormat="1" ht="35" customHeight="1" spans="1:9">
      <c r="A51" s="34" t="str" cm="1">
        <f ca="1" t="array" ref="A51">IF((INDIRECT("'"&amp;INDIRECT("Main!B9")&amp;"'!A65"))=0,"",(INDIRECT("'"&amp;INDIRECT("Main!B9")&amp;"'!A65")))</f>
        <v/>
      </c>
      <c r="B51" s="34" t="str" cm="1">
        <f ca="1" t="array" ref="B51">IF((INDIRECT("'"&amp;INDIRECT("Main!B9")&amp;"'!B65"))=0,"",(INDIRECT("'"&amp;INDIRECT("Main!B9")&amp;"'!B65")))</f>
        <v/>
      </c>
      <c r="C51" s="35">
        <v>0</v>
      </c>
      <c r="D51" s="15"/>
      <c r="E51" s="15"/>
      <c r="F51" s="15"/>
      <c r="G51" s="15"/>
      <c r="H51" s="15"/>
      <c r="I51" s="45"/>
    </row>
    <row r="52" s="1" customFormat="1" ht="35" customHeight="1" spans="1:9">
      <c r="A52" s="34" t="str" cm="1">
        <f ca="1" t="array" ref="A52">IF((INDIRECT("'"&amp;INDIRECT("Main!B9")&amp;"'!A66"))=0,"",(INDIRECT("'"&amp;INDIRECT("Main!B9")&amp;"'!A66")))</f>
        <v/>
      </c>
      <c r="B52" s="34" t="str" cm="1">
        <f ca="1" t="array" ref="B52">IF((INDIRECT("'"&amp;INDIRECT("Main!B9")&amp;"'!B66"))=0,"",(INDIRECT("'"&amp;INDIRECT("Main!B9")&amp;"'!B66")))</f>
        <v/>
      </c>
      <c r="C52" s="35">
        <v>0</v>
      </c>
      <c r="D52" s="15"/>
      <c r="E52" s="15"/>
      <c r="F52" s="15"/>
      <c r="G52" s="15"/>
      <c r="H52" s="15"/>
      <c r="I52" s="45"/>
    </row>
    <row r="53" s="1" customFormat="1" ht="35" customHeight="1" spans="1:9">
      <c r="A53" s="34" t="str" cm="1">
        <f ca="1" t="array" ref="A53">IF((INDIRECT("'"&amp;INDIRECT("Main!B9")&amp;"'!A67"))=0,"",(INDIRECT("'"&amp;INDIRECT("Main!B9")&amp;"'!A67")))</f>
        <v/>
      </c>
      <c r="B53" s="34" t="str" cm="1">
        <f ca="1" t="array" ref="B53">IF((INDIRECT("'"&amp;INDIRECT("Main!B9")&amp;"'!B67"))=0,"",(INDIRECT("'"&amp;INDIRECT("Main!B9")&amp;"'!B67")))</f>
        <v/>
      </c>
      <c r="C53" s="35">
        <v>0</v>
      </c>
      <c r="D53" s="15"/>
      <c r="E53" s="15"/>
      <c r="F53" s="15"/>
      <c r="G53" s="15"/>
      <c r="H53" s="15"/>
      <c r="I53" s="45"/>
    </row>
    <row r="54" s="1" customFormat="1" ht="35" customHeight="1" spans="1:9">
      <c r="A54" s="34" t="str" cm="1">
        <f ca="1" t="array" ref="A54">IF((INDIRECT("'"&amp;INDIRECT("Main!B9")&amp;"'!A68"))=0,"",(INDIRECT("'"&amp;INDIRECT("Main!B9")&amp;"'!A68")))</f>
        <v/>
      </c>
      <c r="B54" s="34" t="str" cm="1">
        <f ca="1" t="array" ref="B54">IF((INDIRECT("'"&amp;INDIRECT("Main!B9")&amp;"'!B68"))=0,"",(INDIRECT("'"&amp;INDIRECT("Main!B9")&amp;"'!B68")))</f>
        <v/>
      </c>
      <c r="C54" s="35">
        <v>0</v>
      </c>
      <c r="D54" s="15"/>
      <c r="E54" s="15"/>
      <c r="F54" s="15"/>
      <c r="G54" s="15"/>
      <c r="H54" s="15"/>
      <c r="I54" s="45"/>
    </row>
    <row r="55" s="1" customFormat="1" ht="35" customHeight="1" spans="1:9">
      <c r="A55" s="36"/>
      <c r="B55" s="37" t="s">
        <v>48</v>
      </c>
      <c r="C55" s="35">
        <f>SUM(C47:C54)</f>
        <v>0</v>
      </c>
      <c r="D55" s="15"/>
      <c r="E55" s="15"/>
      <c r="F55" s="15"/>
      <c r="G55" s="15"/>
      <c r="H55" s="15"/>
      <c r="I55" s="45"/>
    </row>
    <row r="56" s="1" customFormat="1" ht="35" customHeight="1" spans="1:9">
      <c r="A56" s="83" t="s">
        <v>49</v>
      </c>
      <c r="B56" s="84"/>
      <c r="C56" s="85"/>
      <c r="D56" s="15"/>
      <c r="E56" s="15"/>
      <c r="F56" s="15"/>
      <c r="G56" s="15"/>
      <c r="H56" s="15"/>
      <c r="I56" s="45"/>
    </row>
    <row r="57" s="1" customFormat="1" ht="35" customHeight="1" spans="1:9">
      <c r="A57" s="34" t="str" cm="1">
        <f ca="1" t="array" ref="A57">IF((INDIRECT("'"&amp;INDIRECT("Main!B9")&amp;"'!A71"))=0,"",(INDIRECT("'"&amp;INDIRECT("Main!B9")&amp;"'!A71")))</f>
        <v/>
      </c>
      <c r="B57" s="34" t="str" cm="1">
        <f ca="1" t="array" ref="B57">IF((INDIRECT("'"&amp;INDIRECT("Main!B9")&amp;"'!B71"))=0,"",(INDIRECT("'"&amp;INDIRECT("Main!B9")&amp;"'!B71")))</f>
        <v/>
      </c>
      <c r="C57" s="35">
        <v>0</v>
      </c>
      <c r="D57" s="15"/>
      <c r="E57" s="15"/>
      <c r="F57" s="15"/>
      <c r="G57" s="15"/>
      <c r="H57" s="15"/>
      <c r="I57" s="45"/>
    </row>
    <row r="58" s="1" customFormat="1" ht="35" customHeight="1" spans="1:9">
      <c r="A58" s="34" t="str" cm="1">
        <f ca="1" t="array" ref="A58">IF((INDIRECT("'"&amp;INDIRECT("Main!B9")&amp;"'!A72"))=0,"",(INDIRECT("'"&amp;INDIRECT("Main!B9")&amp;"'!A72")))</f>
        <v/>
      </c>
      <c r="B58" s="34" t="str" cm="1">
        <f ca="1" t="array" ref="B58">IF((INDIRECT("'"&amp;INDIRECT("Main!B9")&amp;"'!B72"))=0,"",(INDIRECT("'"&amp;INDIRECT("Main!B9")&amp;"'!B72")))</f>
        <v/>
      </c>
      <c r="C58" s="35">
        <v>0</v>
      </c>
      <c r="D58" s="15"/>
      <c r="E58" s="15"/>
      <c r="F58" s="15"/>
      <c r="G58" s="15"/>
      <c r="H58" s="15"/>
      <c r="I58" s="45"/>
    </row>
    <row r="59" s="1" customFormat="1" ht="35" customHeight="1" spans="1:9">
      <c r="A59" s="34" t="str" cm="1">
        <f ca="1" t="array" ref="A59">IF((INDIRECT("'"&amp;INDIRECT("Main!B9")&amp;"'!A73"))=0,"",(INDIRECT("'"&amp;INDIRECT("Main!B9")&amp;"'!A73")))</f>
        <v/>
      </c>
      <c r="B59" s="34" t="str" cm="1">
        <f ca="1" t="array" ref="B59">IF((INDIRECT("'"&amp;INDIRECT("Main!B9")&amp;"'!B73"))=0,"",(INDIRECT("'"&amp;INDIRECT("Main!B9")&amp;"'!B73")))</f>
        <v/>
      </c>
      <c r="C59" s="35">
        <v>0</v>
      </c>
      <c r="D59" s="15"/>
      <c r="E59" s="15"/>
      <c r="F59" s="15"/>
      <c r="G59" s="15"/>
      <c r="H59" s="15"/>
      <c r="I59" s="45"/>
    </row>
    <row r="60" s="1" customFormat="1" ht="35" customHeight="1" spans="1:9">
      <c r="A60" s="34" t="str" cm="1">
        <f ca="1" t="array" ref="A60">IF((INDIRECT("'"&amp;INDIRECT("Main!B9")&amp;"'!A74"))=0,"",(INDIRECT("'"&amp;INDIRECT("Main!B9")&amp;"'!A74")))</f>
        <v/>
      </c>
      <c r="B60" s="34" t="str" cm="1">
        <f ca="1" t="array" ref="B60">IF((INDIRECT("'"&amp;INDIRECT("Main!B9")&amp;"'!B74"))=0,"",(INDIRECT("'"&amp;INDIRECT("Main!B9")&amp;"'!B74")))</f>
        <v/>
      </c>
      <c r="C60" s="35">
        <v>0</v>
      </c>
      <c r="D60" s="15"/>
      <c r="E60" s="15"/>
      <c r="F60" s="15"/>
      <c r="G60" s="15"/>
      <c r="H60" s="15"/>
      <c r="I60" s="45"/>
    </row>
    <row r="61" s="1" customFormat="1" ht="35" customHeight="1" spans="1:9">
      <c r="A61" s="34" t="str" cm="1">
        <f ca="1" t="array" ref="A61">IF((INDIRECT("'"&amp;INDIRECT("Main!B9")&amp;"'!A75"))=0,"",(INDIRECT("'"&amp;INDIRECT("Main!B9")&amp;"'!A75")))</f>
        <v/>
      </c>
      <c r="B61" s="34" t="str" cm="1">
        <f ca="1" t="array" ref="B61">IF((INDIRECT("'"&amp;INDIRECT("Main!B9")&amp;"'!B75"))=0,"",(INDIRECT("'"&amp;INDIRECT("Main!B9")&amp;"'!B75")))</f>
        <v/>
      </c>
      <c r="C61" s="35">
        <v>0</v>
      </c>
      <c r="D61" s="15"/>
      <c r="E61" s="15"/>
      <c r="F61" s="15"/>
      <c r="G61" s="15"/>
      <c r="H61" s="15"/>
      <c r="I61" s="45"/>
    </row>
    <row r="62" s="1" customFormat="1" ht="35" customHeight="1" spans="1:9">
      <c r="A62" s="34" t="str" cm="1">
        <f ca="1" t="array" ref="A62">IF((INDIRECT("'"&amp;INDIRECT("Main!B9")&amp;"'!A76"))=0,"",(INDIRECT("'"&amp;INDIRECT("Main!B9")&amp;"'!A76")))</f>
        <v/>
      </c>
      <c r="B62" s="34" t="str" cm="1">
        <f ca="1" t="array" ref="B62">IF((INDIRECT("'"&amp;INDIRECT("Main!B9")&amp;"'!B76"))=0,"",(INDIRECT("'"&amp;INDIRECT("Main!B9")&amp;"'!B76")))</f>
        <v/>
      </c>
      <c r="C62" s="35">
        <v>0</v>
      </c>
      <c r="D62" s="15"/>
      <c r="E62" s="15"/>
      <c r="F62" s="15"/>
      <c r="G62" s="15"/>
      <c r="H62" s="15"/>
      <c r="I62" s="45"/>
    </row>
    <row r="63" s="1" customFormat="1" ht="35" customHeight="1" spans="1:9">
      <c r="A63" s="34" t="str" cm="1">
        <f ca="1" t="array" ref="A63">IF((INDIRECT("'"&amp;INDIRECT("Main!B9")&amp;"'!A77"))=0,"",(INDIRECT("'"&amp;INDIRECT("Main!B9")&amp;"'!A77")))</f>
        <v/>
      </c>
      <c r="B63" s="34" t="str" cm="1">
        <f ca="1" t="array" ref="B63">IF((INDIRECT("'"&amp;INDIRECT("Main!B9")&amp;"'!B77"))=0,"",(INDIRECT("'"&amp;INDIRECT("Main!B9")&amp;"'!B77")))</f>
        <v/>
      </c>
      <c r="C63" s="35">
        <v>0</v>
      </c>
      <c r="D63" s="15"/>
      <c r="E63" s="15"/>
      <c r="F63" s="15"/>
      <c r="G63" s="15"/>
      <c r="H63" s="15"/>
      <c r="I63" s="45"/>
    </row>
    <row r="64" s="1" customFormat="1" ht="35" customHeight="1" spans="1:9">
      <c r="A64" s="34" t="str" cm="1">
        <f ca="1" t="array" ref="A64">IF((INDIRECT("'"&amp;INDIRECT("Main!B9")&amp;"'!A78"))=0,"",(INDIRECT("'"&amp;INDIRECT("Main!B9")&amp;"'!A78")))</f>
        <v/>
      </c>
      <c r="B64" s="34" t="str" cm="1">
        <f ca="1" t="array" ref="B64">IF((INDIRECT("'"&amp;INDIRECT("Main!B9")&amp;"'!B78"))=0,"",(INDIRECT("'"&amp;INDIRECT("Main!B9")&amp;"'!B78")))</f>
        <v/>
      </c>
      <c r="C64" s="35">
        <v>0</v>
      </c>
      <c r="D64" s="15"/>
      <c r="E64" s="15"/>
      <c r="F64" s="15"/>
      <c r="G64" s="15"/>
      <c r="H64" s="15"/>
      <c r="I64" s="45"/>
    </row>
    <row r="65" s="1" customFormat="1" ht="35" customHeight="1" spans="1:9">
      <c r="A65" s="34" t="str" cm="1">
        <f ca="1" t="array" ref="A65">IF((INDIRECT("'"&amp;INDIRECT("Main!B9")&amp;"'!A79"))=0,"",(INDIRECT("'"&amp;INDIRECT("Main!B9")&amp;"'!A79")))</f>
        <v/>
      </c>
      <c r="B65" s="34" t="str" cm="1">
        <f ca="1" t="array" ref="B65">IF((INDIRECT("'"&amp;INDIRECT("Main!B9")&amp;"'!B79"))=0,"",(INDIRECT("'"&amp;INDIRECT("Main!B9")&amp;"'!B79")))</f>
        <v/>
      </c>
      <c r="C65" s="35">
        <v>0</v>
      </c>
      <c r="D65" s="15"/>
      <c r="E65" s="15"/>
      <c r="F65" s="15"/>
      <c r="G65" s="15"/>
      <c r="H65" s="15"/>
      <c r="I65" s="45"/>
    </row>
    <row r="66" s="1" customFormat="1" ht="35" customHeight="1" spans="1:9">
      <c r="A66" s="46"/>
      <c r="B66" s="37" t="s">
        <v>48</v>
      </c>
      <c r="C66" s="35">
        <f>SUM(C57:C65)</f>
        <v>0</v>
      </c>
      <c r="D66" s="15"/>
      <c r="E66" s="15"/>
      <c r="F66" s="15"/>
      <c r="G66" s="15"/>
      <c r="H66" s="15"/>
      <c r="I66" s="45"/>
    </row>
    <row r="67" s="1" customFormat="1" ht="35" customHeight="1" spans="1:9">
      <c r="A67" s="83" t="s">
        <v>50</v>
      </c>
      <c r="B67" s="84"/>
      <c r="C67" s="85"/>
      <c r="D67" s="15"/>
      <c r="E67" s="15"/>
      <c r="F67" s="15"/>
      <c r="G67" s="15"/>
      <c r="H67" s="15"/>
      <c r="I67" s="45"/>
    </row>
    <row r="68" s="1" customFormat="1" ht="35" customHeight="1" spans="1:9">
      <c r="A68" s="47" t="str" cm="1">
        <f ca="1" t="array" ref="A68">IF((INDIRECT("'"&amp;INDIRECT("Main!B9")&amp;"'!A82"))=0,"",(INDIRECT("'"&amp;INDIRECT("Main!B9")&amp;"'!A82")))</f>
        <v/>
      </c>
      <c r="B68" s="47" t="str" cm="1">
        <f ca="1" t="array" ref="B68">IF((INDIRECT("'"&amp;INDIRECT("Main!B9")&amp;"'!B82"))=0,"",(INDIRECT("'"&amp;INDIRECT("Main!B9")&amp;"'!B82")))</f>
        <v/>
      </c>
      <c r="C68" s="35">
        <v>0</v>
      </c>
      <c r="D68" s="15"/>
      <c r="E68" s="15"/>
      <c r="F68" s="15"/>
      <c r="G68" s="15"/>
      <c r="H68" s="15"/>
      <c r="I68" s="45"/>
    </row>
    <row r="69" s="1" customFormat="1" ht="35" customHeight="1" spans="1:9">
      <c r="A69" s="47" t="str" cm="1">
        <f ca="1" t="array" ref="A69">IF((INDIRECT("'"&amp;INDIRECT("Main!B9")&amp;"'!A83"))=0,"",(INDIRECT("'"&amp;INDIRECT("Main!B9")&amp;"'!A83")))</f>
        <v/>
      </c>
      <c r="B69" s="47" t="str" cm="1">
        <f ca="1" t="array" ref="B69">IF((INDIRECT("'"&amp;INDIRECT("Main!B9")&amp;"'!B83"))=0,"",(INDIRECT("'"&amp;INDIRECT("Main!B9")&amp;"'!B83")))</f>
        <v/>
      </c>
      <c r="C69" s="35">
        <v>0</v>
      </c>
      <c r="D69" s="15"/>
      <c r="E69" s="15"/>
      <c r="F69" s="15"/>
      <c r="G69" s="15"/>
      <c r="H69" s="15"/>
      <c r="I69" s="45"/>
    </row>
    <row r="70" s="1" customFormat="1" ht="35" customHeight="1" spans="1:9">
      <c r="A70" s="47" t="str" cm="1">
        <f ca="1" t="array" ref="A70">IF((INDIRECT("'"&amp;INDIRECT("Main!B9")&amp;"'!A84"))=0,"",(INDIRECT("'"&amp;INDIRECT("Main!B9")&amp;"'!A84")))</f>
        <v/>
      </c>
      <c r="B70" s="47" t="str" cm="1">
        <f ca="1" t="array" ref="B70">IF((INDIRECT("'"&amp;INDIRECT("Main!B9")&amp;"'!B84"))=0,"",(INDIRECT("'"&amp;INDIRECT("Main!B9")&amp;"'!B84")))</f>
        <v/>
      </c>
      <c r="C70" s="35">
        <v>0</v>
      </c>
      <c r="D70" s="15"/>
      <c r="E70" s="15"/>
      <c r="F70" s="15"/>
      <c r="G70" s="15"/>
      <c r="H70" s="15"/>
      <c r="I70" s="45"/>
    </row>
    <row r="71" s="1" customFormat="1" ht="35" customHeight="1" spans="1:9">
      <c r="A71" s="47" t="str" cm="1">
        <f ca="1" t="array" ref="A71">IF((INDIRECT("'"&amp;INDIRECT("Main!B9")&amp;"'!A85"))=0,"",(INDIRECT("'"&amp;INDIRECT("Main!B9")&amp;"'!A85")))</f>
        <v/>
      </c>
      <c r="B71" s="47" t="str" cm="1">
        <f ca="1" t="array" ref="B71">IF((INDIRECT("'"&amp;INDIRECT("Main!B9")&amp;"'!B85"))=0,"",(INDIRECT("'"&amp;INDIRECT("Main!B9")&amp;"'!B85")))</f>
        <v/>
      </c>
      <c r="C71" s="35">
        <v>0</v>
      </c>
      <c r="D71" s="15"/>
      <c r="E71" s="15"/>
      <c r="F71" s="15"/>
      <c r="G71" s="15"/>
      <c r="H71" s="15"/>
      <c r="I71" s="45"/>
    </row>
    <row r="72" s="1" customFormat="1" ht="35" customHeight="1" spans="1:9">
      <c r="A72" s="47" t="str" cm="1">
        <f ca="1" t="array" ref="A72">IF((INDIRECT("'"&amp;INDIRECT("Main!B9")&amp;"'!A86"))=0,"",(INDIRECT("'"&amp;INDIRECT("Main!B9")&amp;"'!A86")))</f>
        <v/>
      </c>
      <c r="B72" s="47" t="str" cm="1">
        <f ca="1" t="array" ref="B72">IF((INDIRECT("'"&amp;INDIRECT("Main!B9")&amp;"'!B86"))=0,"",(INDIRECT("'"&amp;INDIRECT("Main!B9")&amp;"'!B86")))</f>
        <v/>
      </c>
      <c r="C72" s="35">
        <v>0</v>
      </c>
      <c r="D72" s="15"/>
      <c r="E72" s="15"/>
      <c r="F72" s="15"/>
      <c r="G72" s="15"/>
      <c r="H72" s="15"/>
      <c r="I72" s="45"/>
    </row>
    <row r="73" s="1" customFormat="1" ht="35" customHeight="1" spans="1:9">
      <c r="A73" s="47" t="str" cm="1">
        <f ca="1" t="array" ref="A73">IF((INDIRECT("'"&amp;INDIRECT("Main!B9")&amp;"'!A87"))=0,"",(INDIRECT("'"&amp;INDIRECT("Main!B9")&amp;"'!A87")))</f>
        <v/>
      </c>
      <c r="B73" s="47" t="str" cm="1">
        <f ca="1" t="array" ref="B73">IF((INDIRECT("'"&amp;INDIRECT("Main!B9")&amp;"'!B87"))=0,"",(INDIRECT("'"&amp;INDIRECT("Main!B9")&amp;"'!B87")))</f>
        <v/>
      </c>
      <c r="C73" s="35">
        <v>0</v>
      </c>
      <c r="D73" s="15"/>
      <c r="E73" s="15"/>
      <c r="F73" s="15"/>
      <c r="G73" s="15"/>
      <c r="H73" s="15"/>
      <c r="I73" s="45"/>
    </row>
    <row r="74" s="1" customFormat="1" ht="35" customHeight="1" spans="1:9">
      <c r="A74" s="47" t="str" cm="1">
        <f ca="1" t="array" ref="A74">IF((INDIRECT("'"&amp;INDIRECT("Main!B9")&amp;"'!A88"))=0,"",(INDIRECT("'"&amp;INDIRECT("Main!B9")&amp;"'!A88")))</f>
        <v/>
      </c>
      <c r="B74" s="47" t="str" cm="1">
        <f ca="1" t="array" ref="B74">IF((INDIRECT("'"&amp;INDIRECT("Main!B9")&amp;"'!B88"))=0,"",(INDIRECT("'"&amp;INDIRECT("Main!B9")&amp;"'!B88")))</f>
        <v/>
      </c>
      <c r="C74" s="35">
        <v>0</v>
      </c>
      <c r="D74" s="15"/>
      <c r="E74" s="15"/>
      <c r="F74" s="15"/>
      <c r="G74" s="15"/>
      <c r="H74" s="15"/>
      <c r="I74" s="45"/>
    </row>
    <row r="75" s="1" customFormat="1" ht="35" customHeight="1" spans="1:9">
      <c r="A75" s="46"/>
      <c r="B75" s="37" t="s">
        <v>48</v>
      </c>
      <c r="C75" s="35">
        <f>SUM(C68:C74)</f>
        <v>0</v>
      </c>
      <c r="D75" s="15"/>
      <c r="E75" s="15"/>
      <c r="F75" s="15"/>
      <c r="G75" s="15"/>
      <c r="H75" s="15"/>
      <c r="I75" s="45"/>
    </row>
    <row r="76" s="1" customFormat="1" ht="35" customHeight="1" spans="1:9">
      <c r="A76" s="83" t="s">
        <v>51</v>
      </c>
      <c r="B76" s="84"/>
      <c r="C76" s="85"/>
      <c r="D76" s="15"/>
      <c r="E76" s="15"/>
      <c r="F76" s="15"/>
      <c r="G76" s="15"/>
      <c r="H76" s="15"/>
      <c r="I76" s="45"/>
    </row>
    <row r="77" s="1" customFormat="1" ht="35" customHeight="1" spans="1:9">
      <c r="A77" s="34" t="str" cm="1">
        <f ca="1" t="array" ref="A77">IF((INDIRECT("'"&amp;INDIRECT("Main!B9")&amp;"'!A91"))=0,"",(INDIRECT("'"&amp;INDIRECT("Main!B9")&amp;"'!A91")))</f>
        <v/>
      </c>
      <c r="B77" s="34" t="str" cm="1">
        <f ca="1" t="array" ref="B77">IF((INDIRECT("'"&amp;INDIRECT("Main!B9")&amp;"'!B91"))=0,"",(INDIRECT("'"&amp;INDIRECT("Main!B9")&amp;"'!B91")))</f>
        <v/>
      </c>
      <c r="C77" s="35">
        <v>0</v>
      </c>
      <c r="D77" s="15"/>
      <c r="E77" s="15"/>
      <c r="F77" s="15"/>
      <c r="G77" s="15"/>
      <c r="H77" s="15"/>
      <c r="I77" s="45"/>
    </row>
    <row r="78" s="1" customFormat="1" ht="35" customHeight="1" spans="1:9">
      <c r="A78" s="34" t="str" cm="1">
        <f ca="1" t="array" ref="A78">IF((INDIRECT("'"&amp;INDIRECT("Main!B9")&amp;"'!A92"))=0,"",(INDIRECT("'"&amp;INDIRECT("Main!B9")&amp;"'!A92")))</f>
        <v/>
      </c>
      <c r="B78" s="34" t="str" cm="1">
        <f ca="1" t="array" ref="B78">IF((INDIRECT("'"&amp;INDIRECT("Main!B9")&amp;"'!B92"))=0,"",(INDIRECT("'"&amp;INDIRECT("Main!B9")&amp;"'!B92")))</f>
        <v/>
      </c>
      <c r="C78" s="35">
        <v>0</v>
      </c>
      <c r="D78" s="15"/>
      <c r="E78" s="15"/>
      <c r="F78" s="15"/>
      <c r="G78" s="15"/>
      <c r="H78" s="15"/>
      <c r="I78" s="45"/>
    </row>
    <row r="79" s="1" customFormat="1" ht="35" customHeight="1" spans="1:9">
      <c r="A79" s="34" t="str" cm="1">
        <f ca="1" t="array" ref="A79">IF((INDIRECT("'"&amp;INDIRECT("Main!B9")&amp;"'!A93"))=0,"",(INDIRECT("'"&amp;INDIRECT("Main!B9")&amp;"'!A93")))</f>
        <v/>
      </c>
      <c r="B79" s="34" t="str" cm="1">
        <f ca="1" t="array" ref="B79">IF((INDIRECT("'"&amp;INDIRECT("Main!B9")&amp;"'!B93"))=0,"",(INDIRECT("'"&amp;INDIRECT("Main!B9")&amp;"'!B93")))</f>
        <v/>
      </c>
      <c r="C79" s="35">
        <v>0</v>
      </c>
      <c r="D79" s="15"/>
      <c r="E79" s="15"/>
      <c r="F79" s="15"/>
      <c r="G79" s="15"/>
      <c r="H79" s="15"/>
      <c r="I79" s="45"/>
    </row>
    <row r="80" s="1" customFormat="1" ht="35" customHeight="1" spans="1:9">
      <c r="A80" s="34" t="str" cm="1">
        <f ca="1" t="array" ref="A80">IF((INDIRECT("'"&amp;INDIRECT("Main!B9")&amp;"'!A94"))=0,"",(INDIRECT("'"&amp;INDIRECT("Main!B9")&amp;"'!A94")))</f>
        <v/>
      </c>
      <c r="B80" s="34" t="str" cm="1">
        <f ca="1" t="array" ref="B80">IF((INDIRECT("'"&amp;INDIRECT("Main!B9")&amp;"'!B94"))=0,"",(INDIRECT("'"&amp;INDIRECT("Main!B9")&amp;"'!B94")))</f>
        <v/>
      </c>
      <c r="C80" s="35">
        <v>0</v>
      </c>
      <c r="D80" s="15"/>
      <c r="E80" s="15"/>
      <c r="F80" s="15"/>
      <c r="G80" s="15"/>
      <c r="H80" s="15"/>
      <c r="I80" s="45"/>
    </row>
    <row r="81" s="1" customFormat="1" ht="35" customHeight="1" spans="1:9">
      <c r="A81" s="34" t="str" cm="1">
        <f ca="1" t="array" ref="A81">IF((INDIRECT("'"&amp;INDIRECT("Main!B9")&amp;"'!A95"))=0,"",(INDIRECT("'"&amp;INDIRECT("Main!B9")&amp;"'!A95")))</f>
        <v/>
      </c>
      <c r="B81" s="34" t="str" cm="1">
        <f ca="1" t="array" ref="B81">IF((INDIRECT("'"&amp;INDIRECT("Main!B9")&amp;"'!B95"))=0,"",(INDIRECT("'"&amp;INDIRECT("Main!B9")&amp;"'!B95")))</f>
        <v/>
      </c>
      <c r="C81" s="35">
        <v>0</v>
      </c>
      <c r="D81" s="15"/>
      <c r="E81" s="15"/>
      <c r="F81" s="15"/>
      <c r="G81" s="15"/>
      <c r="H81" s="15"/>
      <c r="I81" s="45"/>
    </row>
    <row r="82" s="1" customFormat="1" ht="35" customHeight="1" spans="1:9">
      <c r="A82" s="34" t="str" cm="1">
        <f ca="1" t="array" ref="A82">IF((INDIRECT("'"&amp;INDIRECT("Main!B9")&amp;"'!A96"))=0,"",(INDIRECT("'"&amp;INDIRECT("Main!B9")&amp;"'!A96")))</f>
        <v/>
      </c>
      <c r="B82" s="34" t="str" cm="1">
        <f ca="1" t="array" ref="B82">IF((INDIRECT("'"&amp;INDIRECT("Main!B9")&amp;"'!B96"))=0,"",(INDIRECT("'"&amp;INDIRECT("Main!B9")&amp;"'!B96")))</f>
        <v/>
      </c>
      <c r="C82" s="35">
        <v>0</v>
      </c>
      <c r="D82" s="15"/>
      <c r="E82" s="15"/>
      <c r="F82" s="15"/>
      <c r="G82" s="15"/>
      <c r="H82" s="15"/>
      <c r="I82" s="45"/>
    </row>
    <row r="83" s="1" customFormat="1" ht="35" customHeight="1" spans="1:9">
      <c r="A83" s="34" t="str" cm="1">
        <f ca="1" t="array" ref="A83">IF((INDIRECT("'"&amp;INDIRECT("Main!B9")&amp;"'!A97"))=0,"",(INDIRECT("'"&amp;INDIRECT("Main!B9")&amp;"'!A97")))</f>
        <v/>
      </c>
      <c r="B83" s="34" t="str" cm="1">
        <f ca="1" t="array" ref="B83">IF((INDIRECT("'"&amp;INDIRECT("Main!B9")&amp;"'!B97"))=0,"",(INDIRECT("'"&amp;INDIRECT("Main!B9")&amp;"'!B97")))</f>
        <v/>
      </c>
      <c r="C83" s="35">
        <v>0</v>
      </c>
      <c r="D83" s="15"/>
      <c r="E83" s="15"/>
      <c r="F83" s="15"/>
      <c r="G83" s="15"/>
      <c r="H83" s="15"/>
      <c r="I83" s="45"/>
    </row>
    <row r="84" s="1" customFormat="1" ht="35" customHeight="1" spans="1:9">
      <c r="A84" s="34" t="str" cm="1">
        <f ca="1" t="array" ref="A84">IF((INDIRECT("'"&amp;INDIRECT("Main!B9")&amp;"'!A98"))=0,"",(INDIRECT("'"&amp;INDIRECT("Main!B9")&amp;"'!A98")))</f>
        <v/>
      </c>
      <c r="B84" s="34" t="str" cm="1">
        <f ca="1" t="array" ref="B84">IF((INDIRECT("'"&amp;INDIRECT("Main!B9")&amp;"'!B98"))=0,"",(INDIRECT("'"&amp;INDIRECT("Main!B9")&amp;"'!B98")))</f>
        <v/>
      </c>
      <c r="C84" s="35">
        <v>0</v>
      </c>
      <c r="D84" s="15"/>
      <c r="E84" s="15"/>
      <c r="F84" s="15"/>
      <c r="G84" s="15"/>
      <c r="H84" s="15"/>
      <c r="I84" s="45"/>
    </row>
    <row r="85" s="1" customFormat="1" ht="35" customHeight="1" spans="1:9">
      <c r="A85" s="46"/>
      <c r="B85" s="37" t="s">
        <v>48</v>
      </c>
      <c r="C85" s="35">
        <f>SUM(C77:C84)</f>
        <v>0</v>
      </c>
      <c r="D85" s="15"/>
      <c r="E85" s="15"/>
      <c r="F85" s="15"/>
      <c r="G85" s="15"/>
      <c r="H85" s="15"/>
      <c r="I85" s="45"/>
    </row>
    <row r="86" s="1" customFormat="1" ht="35" customHeight="1" spans="1:9">
      <c r="A86" s="83" t="s">
        <v>52</v>
      </c>
      <c r="B86" s="84"/>
      <c r="C86" s="85"/>
      <c r="D86" s="15"/>
      <c r="E86" s="15"/>
      <c r="F86" s="15"/>
      <c r="G86" s="15"/>
      <c r="H86" s="15"/>
      <c r="I86" s="45"/>
    </row>
    <row r="87" s="1" customFormat="1" ht="35" customHeight="1" spans="1:9">
      <c r="A87" s="34" t="str" cm="1">
        <f ca="1" t="array" ref="A87">IF((INDIRECT("'"&amp;INDIRECT("Main!B9")&amp;"'!A101"))=0,"",(INDIRECT("'"&amp;INDIRECT("Main!B9")&amp;"'!A101")))</f>
        <v/>
      </c>
      <c r="B87" s="34" t="str" cm="1">
        <f ca="1" t="array" ref="B87">IF((INDIRECT("'"&amp;INDIRECT("Main!B9")&amp;"'!B101"))=0,"",(INDIRECT("'"&amp;INDIRECT("Main!B9")&amp;"'!B101")))</f>
        <v/>
      </c>
      <c r="C87" s="35">
        <v>0</v>
      </c>
      <c r="D87" s="15"/>
      <c r="E87" s="15"/>
      <c r="F87" s="15"/>
      <c r="G87" s="15"/>
      <c r="H87" s="15"/>
      <c r="I87" s="45"/>
    </row>
    <row r="88" s="1" customFormat="1" ht="35" customHeight="1" spans="1:9">
      <c r="A88" s="34" t="str" cm="1">
        <f ca="1" t="array" ref="A88">IF((INDIRECT("'"&amp;INDIRECT("Main!B9")&amp;"'!A102"))=0,"",(INDIRECT("'"&amp;INDIRECT("Main!B9")&amp;"'!A102")))</f>
        <v/>
      </c>
      <c r="B88" s="34" t="str" cm="1">
        <f ca="1" t="array" ref="B88">IF((INDIRECT("'"&amp;INDIRECT("Main!B9")&amp;"'!B102"))=0,"",(INDIRECT("'"&amp;INDIRECT("Main!B9")&amp;"'!B102")))</f>
        <v/>
      </c>
      <c r="C88" s="35">
        <v>0</v>
      </c>
      <c r="D88" s="15"/>
      <c r="E88" s="15"/>
      <c r="F88" s="15"/>
      <c r="G88" s="15"/>
      <c r="H88" s="15"/>
      <c r="I88" s="45"/>
    </row>
    <row r="89" s="1" customFormat="1" ht="35" customHeight="1" spans="1:9">
      <c r="A89" s="34" t="str" cm="1">
        <f ca="1" t="array" ref="A89">IF((INDIRECT("'"&amp;INDIRECT("Main!B9")&amp;"'!A103"))=0,"",(INDIRECT("'"&amp;INDIRECT("Main!B9")&amp;"'!A103")))</f>
        <v/>
      </c>
      <c r="B89" s="34" t="str" cm="1">
        <f ca="1" t="array" ref="B89">IF((INDIRECT("'"&amp;INDIRECT("Main!B9")&amp;"'!B103"))=0,"",(INDIRECT("'"&amp;INDIRECT("Main!B9")&amp;"'!B103")))</f>
        <v/>
      </c>
      <c r="C89" s="35">
        <v>0</v>
      </c>
      <c r="D89" s="15"/>
      <c r="E89" s="15"/>
      <c r="F89" s="15"/>
      <c r="G89" s="15"/>
      <c r="H89" s="15"/>
      <c r="I89" s="45"/>
    </row>
    <row r="90" s="1" customFormat="1" ht="35" customHeight="1" spans="1:9">
      <c r="A90" s="34" t="str" cm="1">
        <f ca="1" t="array" ref="A90">IF((INDIRECT("'"&amp;INDIRECT("Main!B9")&amp;"'!A104"))=0,"",(INDIRECT("'"&amp;INDIRECT("Main!B9")&amp;"'!A104")))</f>
        <v/>
      </c>
      <c r="B90" s="34" t="str" cm="1">
        <f ca="1" t="array" ref="B90">IF((INDIRECT("'"&amp;INDIRECT("Main!B9")&amp;"'!B104"))=0,"",(INDIRECT("'"&amp;INDIRECT("Main!B9")&amp;"'!B104")))</f>
        <v/>
      </c>
      <c r="C90" s="35">
        <v>0</v>
      </c>
      <c r="D90" s="15"/>
      <c r="E90" s="62"/>
      <c r="F90" s="15"/>
      <c r="G90" s="15"/>
      <c r="H90" s="15"/>
      <c r="I90" s="45"/>
    </row>
    <row r="91" s="1" customFormat="1" ht="35" customHeight="1" spans="1:9">
      <c r="A91" s="34" t="str" cm="1">
        <f ca="1" t="array" ref="A91">IF((INDIRECT("'"&amp;INDIRECT("Main!B9")&amp;"'!A105"))=0,"",(INDIRECT("'"&amp;INDIRECT("Main!B9")&amp;"'!A105")))</f>
        <v/>
      </c>
      <c r="B91" s="34" t="str" cm="1">
        <f ca="1" t="array" ref="B91">IF((INDIRECT("'"&amp;INDIRECT("Main!B9")&amp;"'!B105"))=0,"",(INDIRECT("'"&amp;INDIRECT("Main!B9")&amp;"'!B105")))</f>
        <v/>
      </c>
      <c r="C91" s="35">
        <v>0</v>
      </c>
      <c r="D91" s="15"/>
      <c r="E91" s="15"/>
      <c r="F91" s="15"/>
      <c r="G91" s="15"/>
      <c r="H91" s="15"/>
      <c r="I91" s="45"/>
    </row>
    <row r="92" s="1" customFormat="1" ht="35" customHeight="1" spans="1:9">
      <c r="A92" s="34" t="str" cm="1">
        <f ca="1" t="array" ref="A92">IF((INDIRECT("'"&amp;INDIRECT("Main!B9")&amp;"'!A106"))=0,"",(INDIRECT("'"&amp;INDIRECT("Main!B9")&amp;"'!A106")))</f>
        <v/>
      </c>
      <c r="B92" s="34" t="str" cm="1">
        <f ca="1" t="array" ref="B92">IF((INDIRECT("'"&amp;INDIRECT("Main!B9")&amp;"'!B106"))=0,"",(INDIRECT("'"&amp;INDIRECT("Main!B9")&amp;"'!B106")))</f>
        <v/>
      </c>
      <c r="C92" s="35">
        <v>0</v>
      </c>
      <c r="D92" s="15"/>
      <c r="E92" s="15"/>
      <c r="F92" s="15"/>
      <c r="G92" s="15"/>
      <c r="H92" s="15"/>
      <c r="I92" s="45"/>
    </row>
    <row r="93" s="1" customFormat="1" ht="35" customHeight="1" spans="1:9">
      <c r="A93" s="34" t="str" cm="1">
        <f ca="1" t="array" ref="A93">IF((INDIRECT("'"&amp;INDIRECT("Main!B9")&amp;"'!A107"))=0,"",(INDIRECT("'"&amp;INDIRECT("Main!B9")&amp;"'!A107")))</f>
        <v/>
      </c>
      <c r="B93" s="34" t="str" cm="1">
        <f ca="1" t="array" ref="B93">IF((INDIRECT("'"&amp;INDIRECT("Main!B9")&amp;"'!B107"))=0,"",(INDIRECT("'"&amp;INDIRECT("Main!B9")&amp;"'!B107")))</f>
        <v/>
      </c>
      <c r="C93" s="35">
        <v>0</v>
      </c>
      <c r="D93" s="15"/>
      <c r="E93" s="15"/>
      <c r="F93" s="15"/>
      <c r="G93" s="15"/>
      <c r="H93" s="15"/>
      <c r="I93" s="45"/>
    </row>
    <row r="94" s="1" customFormat="1" ht="35" customHeight="1" spans="1:9">
      <c r="A94" s="34" t="str" cm="1">
        <f ca="1" t="array" ref="A94">IF((INDIRECT("'"&amp;INDIRECT("Main!B9")&amp;"'!A108"))=0,"",(INDIRECT("'"&amp;INDIRECT("Main!B9")&amp;"'!A108")))</f>
        <v/>
      </c>
      <c r="B94" s="34" t="str" cm="1">
        <f ca="1" t="array" ref="B94">IF((INDIRECT("'"&amp;INDIRECT("Main!B9")&amp;"'!B108"))=0,"",(INDIRECT("'"&amp;INDIRECT("Main!B9")&amp;"'!B108")))</f>
        <v/>
      </c>
      <c r="C94" s="35">
        <v>0</v>
      </c>
      <c r="D94" s="15"/>
      <c r="E94" s="15"/>
      <c r="F94" s="15"/>
      <c r="G94" s="15"/>
      <c r="H94" s="15"/>
      <c r="I94" s="45"/>
    </row>
    <row r="95" s="1" customFormat="1" ht="35" customHeight="1" spans="1:9">
      <c r="A95" s="47"/>
      <c r="B95" s="37" t="s">
        <v>48</v>
      </c>
      <c r="C95" s="35">
        <f>SUM(C87:C94)</f>
        <v>0</v>
      </c>
      <c r="D95" s="15"/>
      <c r="E95" s="15"/>
      <c r="F95" s="15"/>
      <c r="G95" s="15"/>
      <c r="H95" s="15"/>
      <c r="I95" s="45"/>
    </row>
    <row r="96" s="1" customFormat="1" ht="35" customHeight="1" spans="1:9">
      <c r="A96" s="46"/>
      <c r="B96" s="37" t="s">
        <v>53</v>
      </c>
      <c r="C96" s="35">
        <f>C55+C66+C75+C85+C95</f>
        <v>0</v>
      </c>
      <c r="D96" s="15"/>
      <c r="E96" s="15"/>
      <c r="F96" s="15"/>
      <c r="G96" s="15"/>
      <c r="H96" s="15"/>
      <c r="I96" s="45"/>
    </row>
    <row r="97" s="1" customFormat="1" ht="35" customHeight="1" spans="1:9">
      <c r="A97" s="83" t="s">
        <v>54</v>
      </c>
      <c r="B97" s="84"/>
      <c r="C97" s="85"/>
      <c r="D97" s="15"/>
      <c r="E97" s="15"/>
      <c r="F97" s="15"/>
      <c r="G97" s="15"/>
      <c r="H97" s="15"/>
      <c r="I97" s="45"/>
    </row>
    <row r="98" s="1" customFormat="1" ht="35" customHeight="1" spans="1:9">
      <c r="A98" s="34" t="str" cm="1">
        <f ca="1" t="array" ref="A98">IF((INDIRECT("'"&amp;INDIRECT("Main!B9")&amp;"'!A112"))=0,"",(INDIRECT("'"&amp;INDIRECT("Main!B9")&amp;"'!A112")))</f>
        <v/>
      </c>
      <c r="B98" s="34" t="str" cm="1">
        <f ca="1" t="array" ref="B98">IF((INDIRECT("'"&amp;INDIRECT("Main!B9")&amp;"'!B112"))=0,"",(INDIRECT("'"&amp;INDIRECT("Main!B9")&amp;"'!B112")))</f>
        <v/>
      </c>
      <c r="C98" s="35" cm="1">
        <f ca="1" t="array" ref="C98">INDIRECT("'"&amp;INDIRECT("Main!B42")&amp;"'!C98")+SUM(E118+E145+E172)</f>
        <v>0</v>
      </c>
      <c r="D98" s="15"/>
      <c r="E98" s="15"/>
      <c r="F98" s="15"/>
      <c r="G98" s="15"/>
      <c r="H98" s="15"/>
      <c r="I98" s="45"/>
    </row>
    <row r="99" s="1" customFormat="1" ht="35" customHeight="1" spans="1:9">
      <c r="A99" s="34" t="str" cm="1">
        <f ca="1" t="array" ref="A99">IF((INDIRECT("'"&amp;INDIRECT("Main!B9")&amp;"'!A113"))=0,"",(INDIRECT("'"&amp;INDIRECT("Main!B9")&amp;"'!A113")))</f>
        <v/>
      </c>
      <c r="B99" s="34" t="str" cm="1">
        <f ca="1" t="array" ref="B99">IF((INDIRECT("'"&amp;INDIRECT("Main!B9")&amp;"'!B113"))=0,"",(INDIRECT("'"&amp;INDIRECT("Main!B9")&amp;"'!B113")))</f>
        <v/>
      </c>
      <c r="C99" s="35" cm="1">
        <f ca="1" t="array" ref="C99">INDIRECT("'"&amp;INDIRECT("Main!B42")&amp;"'!C99")+SUM(E119+E146+E173)</f>
        <v>0</v>
      </c>
      <c r="D99" s="15"/>
      <c r="E99" s="15"/>
      <c r="F99" s="15"/>
      <c r="G99" s="15"/>
      <c r="H99" s="15"/>
      <c r="I99" s="45"/>
    </row>
    <row r="100" s="1" customFormat="1" ht="35" customHeight="1" spans="1:9">
      <c r="A100" s="34" t="str" cm="1">
        <f ca="1" t="array" ref="A100">IF((INDIRECT("'"&amp;INDIRECT("Main!B9")&amp;"'!A114"))=0,"",(INDIRECT("'"&amp;INDIRECT("Main!B9")&amp;"'!A114")))</f>
        <v/>
      </c>
      <c r="B100" s="34" t="str" cm="1">
        <f ca="1" t="array" ref="B100">IF((INDIRECT("'"&amp;INDIRECT("Main!B9")&amp;"'!B114"))=0,"",(INDIRECT("'"&amp;INDIRECT("Main!B9")&amp;"'!B114")))</f>
        <v/>
      </c>
      <c r="C100" s="35" cm="1">
        <f ca="1" t="array" ref="C100">INDIRECT("'"&amp;INDIRECT("Main!B42")&amp;"'!C100")+SUM(E120+E147+E174)</f>
        <v>0</v>
      </c>
      <c r="D100" s="15"/>
      <c r="E100" s="15"/>
      <c r="F100" s="15"/>
      <c r="G100" s="15"/>
      <c r="H100" s="15"/>
      <c r="I100" s="45"/>
    </row>
    <row r="101" s="1" customFormat="1" ht="35" customHeight="1" spans="1:9">
      <c r="A101" s="34" t="str" cm="1">
        <f ca="1" t="array" ref="A101">IF((INDIRECT("'"&amp;INDIRECT("Main!B9")&amp;"'!A115"))=0,"",(INDIRECT("'"&amp;INDIRECT("Main!B9")&amp;"'!A115")))</f>
        <v/>
      </c>
      <c r="B101" s="34" t="str" cm="1">
        <f ca="1" t="array" ref="B101">IF((INDIRECT("'"&amp;INDIRECT("Main!B9")&amp;"'!B115"))=0,"",(INDIRECT("'"&amp;INDIRECT("Main!B9")&amp;"'!B115")))</f>
        <v/>
      </c>
      <c r="C101" s="35" cm="1">
        <f ca="1" t="array" ref="C101">INDIRECT("'"&amp;INDIRECT("Main!B42")&amp;"'!C101")+SUM(E121+E148+E175)</f>
        <v>0</v>
      </c>
      <c r="D101" s="15"/>
      <c r="E101" s="15"/>
      <c r="F101" s="15"/>
      <c r="G101" s="15"/>
      <c r="H101" s="15"/>
      <c r="I101" s="45"/>
    </row>
    <row r="102" s="1" customFormat="1" ht="35" customHeight="1" spans="1:9">
      <c r="A102" s="34" t="str" cm="1">
        <f ca="1" t="array" ref="A102">IF((INDIRECT("'"&amp;INDIRECT("Main!B9")&amp;"'!A116"))=0,"",(INDIRECT("'"&amp;INDIRECT("Main!B9")&amp;"'!A116")))</f>
        <v/>
      </c>
      <c r="B102" s="34" t="str" cm="1">
        <f ca="1" t="array" ref="B102">IF((INDIRECT("'"&amp;INDIRECT("Main!B9")&amp;"'!B116"))=0,"",(INDIRECT("'"&amp;INDIRECT("Main!B9")&amp;"'!B116")))</f>
        <v/>
      </c>
      <c r="C102" s="35" cm="1">
        <f ca="1" t="array" ref="C102">INDIRECT("'"&amp;INDIRECT("Main!B42")&amp;"'!C102")+SUM(E122+E149+E176)</f>
        <v>0</v>
      </c>
      <c r="D102" s="15"/>
      <c r="E102" s="15"/>
      <c r="F102" s="15"/>
      <c r="G102" s="15"/>
      <c r="H102" s="15"/>
      <c r="I102" s="45"/>
    </row>
    <row r="103" s="1" customFormat="1" ht="35" customHeight="1" spans="1:9">
      <c r="A103" s="34" t="str" cm="1">
        <f ca="1" t="array" ref="A103">IF((INDIRECT("'"&amp;INDIRECT("Main!B9")&amp;"'!A117"))=0,"",(INDIRECT("'"&amp;INDIRECT("Main!B9")&amp;"'!A117")))</f>
        <v/>
      </c>
      <c r="B103" s="34" t="str" cm="1">
        <f ca="1" t="array" ref="B103">IF((INDIRECT("'"&amp;INDIRECT("Main!B9")&amp;"'!B117"))=0,"",(INDIRECT("'"&amp;INDIRECT("Main!B9")&amp;"'!B117")))</f>
        <v/>
      </c>
      <c r="C103" s="35" cm="1">
        <f ca="1" t="array" ref="C103">INDIRECT("'"&amp;INDIRECT("Main!B42")&amp;"'!C103")+SUM(E123+E150+E177)</f>
        <v>0</v>
      </c>
      <c r="D103" s="15"/>
      <c r="E103" s="15"/>
      <c r="F103" s="15"/>
      <c r="G103" s="15"/>
      <c r="H103" s="15"/>
      <c r="I103" s="45"/>
    </row>
    <row r="104" s="1" customFormat="1" ht="35" customHeight="1" spans="1:9">
      <c r="A104" s="34" t="str" cm="1">
        <f ca="1" t="array" ref="A104">IF((INDIRECT("'"&amp;INDIRECT("Main!B9")&amp;"'!A118"))=0,"",(INDIRECT("'"&amp;INDIRECT("Main!B9")&amp;"'!A118")))</f>
        <v/>
      </c>
      <c r="B104" s="34" t="str" cm="1">
        <f ca="1" t="array" ref="B104">IF((INDIRECT("'"&amp;INDIRECT("Main!B9")&amp;"'!B118"))=0,"",(INDIRECT("'"&amp;INDIRECT("Main!B9")&amp;"'!B118")))</f>
        <v/>
      </c>
      <c r="C104" s="35" cm="1">
        <f ca="1" t="array" ref="C104">INDIRECT("'"&amp;INDIRECT("Main!B42")&amp;"'!C104")+SUM(E124+E151+E178)</f>
        <v>0</v>
      </c>
      <c r="D104" s="15"/>
      <c r="E104" s="15"/>
      <c r="F104" s="15"/>
      <c r="G104" s="15"/>
      <c r="H104" s="15"/>
      <c r="I104" s="45"/>
    </row>
    <row r="105" s="1" customFormat="1" ht="35" customHeight="1" spans="1:9">
      <c r="A105" s="34" t="str" cm="1">
        <f ca="1" t="array" ref="A105">IF((INDIRECT("'"&amp;INDIRECT("Main!B9")&amp;"'!A119"))=0,"",(INDIRECT("'"&amp;INDIRECT("Main!B9")&amp;"'!A119")))</f>
        <v/>
      </c>
      <c r="B105" s="34" t="str" cm="1">
        <f ca="1" t="array" ref="B105">IF((INDIRECT("'"&amp;INDIRECT("Main!B9")&amp;"'!B119"))=0,"",(INDIRECT("'"&amp;INDIRECT("Main!B9")&amp;"'!B119")))</f>
        <v/>
      </c>
      <c r="C105" s="35" cm="1">
        <f ca="1" t="array" ref="C105">INDIRECT("'"&amp;INDIRECT("Main!B42")&amp;"'!C105")+SUM(E125+E152+E179)</f>
        <v>0</v>
      </c>
      <c r="D105" s="15"/>
      <c r="E105" s="15"/>
      <c r="F105" s="15"/>
      <c r="G105" s="15"/>
      <c r="H105" s="15"/>
      <c r="I105" s="45"/>
    </row>
    <row r="106" s="1" customFormat="1" ht="35" customHeight="1" spans="1:9">
      <c r="A106" s="34" t="str" cm="1">
        <f ca="1" t="array" ref="A106">IF((INDIRECT("'"&amp;INDIRECT("Main!B9")&amp;"'!A120"))=0,"",(INDIRECT("'"&amp;INDIRECT("Main!B9")&amp;"'!A120")))</f>
        <v/>
      </c>
      <c r="B106" s="34" t="str" cm="1">
        <f ca="1" t="array" ref="B106">IF((INDIRECT("'"&amp;INDIRECT("Main!B9")&amp;"'!B120"))=0,"",(INDIRECT("'"&amp;INDIRECT("Main!B9")&amp;"'!B120")))</f>
        <v/>
      </c>
      <c r="C106" s="35" cm="1">
        <f ca="1" t="array" ref="C106">INDIRECT("'"&amp;INDIRECT("Main!B42")&amp;"'!C106")+SUM(E126+E153+E180)</f>
        <v>0</v>
      </c>
      <c r="D106" s="15"/>
      <c r="E106" s="15"/>
      <c r="F106" s="15"/>
      <c r="G106" s="15"/>
      <c r="H106" s="15"/>
      <c r="I106" s="45"/>
    </row>
    <row r="107" s="1" customFormat="1" ht="35" customHeight="1" spans="1:9">
      <c r="A107" s="34" t="str" cm="1">
        <f ca="1" t="array" ref="A107">IF((INDIRECT("'"&amp;INDIRECT("Main!B9")&amp;"'!A121"))=0,"",(INDIRECT("'"&amp;INDIRECT("Main!B9")&amp;"'!A121")))</f>
        <v/>
      </c>
      <c r="B107" s="34" t="str" cm="1">
        <f ca="1" t="array" ref="B107">IF((INDIRECT("'"&amp;INDIRECT("Main!B9")&amp;"'!B121"))=0,"",(INDIRECT("'"&amp;INDIRECT("Main!B9")&amp;"'!B121")))</f>
        <v/>
      </c>
      <c r="C107" s="35" cm="1">
        <f ca="1" t="array" ref="C107">INDIRECT("'"&amp;INDIRECT("Main!B42")&amp;"'!C107")+SUM(E127+E154+E181)</f>
        <v>0</v>
      </c>
      <c r="D107" s="15"/>
      <c r="E107" s="15"/>
      <c r="F107" s="15"/>
      <c r="G107" s="15"/>
      <c r="H107" s="15"/>
      <c r="I107" s="45"/>
    </row>
    <row r="108" s="1" customFormat="1" ht="35" customHeight="1" spans="1:9">
      <c r="A108" s="46"/>
      <c r="B108" s="37" t="s">
        <v>55</v>
      </c>
      <c r="C108" s="35">
        <f ca="1">SUM(C98:C107)</f>
        <v>0</v>
      </c>
      <c r="D108" s="15"/>
      <c r="E108" s="15"/>
      <c r="F108" s="15"/>
      <c r="G108" s="15"/>
      <c r="H108" s="15"/>
      <c r="I108" s="45"/>
    </row>
    <row r="109" s="1" customFormat="1" ht="35" customHeight="1" spans="1:9">
      <c r="A109" s="46"/>
      <c r="B109" s="37" t="s">
        <v>56</v>
      </c>
      <c r="C109" s="35">
        <f ca="1">C108-C96</f>
        <v>0</v>
      </c>
      <c r="D109" s="15"/>
      <c r="E109" s="15"/>
      <c r="F109" s="15"/>
      <c r="G109" s="15"/>
      <c r="H109" s="15"/>
      <c r="I109" s="45"/>
    </row>
    <row r="110" s="1" customFormat="1" ht="35" customHeight="1" spans="1:9">
      <c r="A110" s="15"/>
      <c r="B110" s="15"/>
      <c r="C110" s="15"/>
      <c r="D110" s="15"/>
      <c r="E110" s="15"/>
      <c r="F110" s="15"/>
      <c r="G110" s="15"/>
      <c r="H110" s="15"/>
      <c r="I110" s="45"/>
    </row>
    <row r="111" s="1" customFormat="1" ht="35" customHeight="1" spans="1:9">
      <c r="A111" s="15"/>
      <c r="B111" s="15"/>
      <c r="C111" s="15"/>
      <c r="D111" s="15"/>
      <c r="E111" s="15"/>
      <c r="F111" s="15"/>
      <c r="G111" s="15"/>
      <c r="H111" s="15"/>
      <c r="I111" s="45"/>
    </row>
    <row r="112" s="1" customFormat="1" ht="35" customHeight="1" spans="1:9">
      <c r="A112" s="15"/>
      <c r="B112" s="15"/>
      <c r="C112" s="15"/>
      <c r="D112" s="15"/>
      <c r="E112" s="15"/>
      <c r="F112" s="15"/>
      <c r="G112" s="15"/>
      <c r="H112" s="15"/>
      <c r="I112" s="45"/>
    </row>
    <row r="113" s="1" customFormat="1" ht="35" customHeight="1" spans="1:9">
      <c r="A113" s="15"/>
      <c r="B113" s="15"/>
      <c r="C113" s="15"/>
      <c r="D113" s="15"/>
      <c r="E113" s="15"/>
      <c r="F113" s="15"/>
      <c r="G113" s="15"/>
      <c r="H113" s="15"/>
      <c r="I113" s="45"/>
    </row>
    <row r="114" s="1" customFormat="1" ht="35" customHeight="1" spans="1:9">
      <c r="A114" s="48" t="str">
        <f>"Debts Or Credits For the Comming "&amp;IF(Main!B2,TEXT(EDATE(Main!B3,36),"mmmm dd yyyy"),TEXT(Main!B3+((Main!B5-Main!B3)*36+36),"mmmm dd yyyy"))&amp;" to "&amp;IF(Main!B2,TEXT(EDATE(Main!B3,37)-1,"mmmm dd yyyy"),TEXT(Main!B3+((Main!B5-Main!B3)*37+36),"mmmm dd yyyy"))</f>
        <v>Debts Or Credits For the Comming May 01 2028 to May 31 2028</v>
      </c>
      <c r="B114" s="49"/>
      <c r="C114" s="49"/>
      <c r="D114" s="49"/>
      <c r="E114" s="50"/>
      <c r="F114" s="15"/>
      <c r="G114" s="15"/>
      <c r="H114" s="15"/>
      <c r="I114" s="45"/>
    </row>
    <row r="115" s="1" customFormat="1" ht="35" customHeight="1" spans="1:9">
      <c r="A115" s="48" t="s">
        <v>57</v>
      </c>
      <c r="B115" s="50"/>
      <c r="C115" s="48" t="s">
        <v>44</v>
      </c>
      <c r="D115" s="50"/>
      <c r="E115" s="64" t="s">
        <v>45</v>
      </c>
      <c r="F115" s="15"/>
      <c r="G115" s="15"/>
      <c r="H115" s="15"/>
      <c r="I115" s="45"/>
    </row>
    <row r="116" s="1" customFormat="1" ht="35" customHeight="1" spans="1:9">
      <c r="A116" s="51" t="str">
        <f>"Balance Brought Forward From "&amp;IF(Main!B2,TEXT(EDATE(Main!B3,37)-1,"mmmm yyyy"),TEXT(Main!B3+((Main!B5-Main!B3)*37+36),"mmmm yyyy"))</f>
        <v>Balance Brought Forward From May 2028</v>
      </c>
      <c r="B116" s="52"/>
      <c r="C116" s="53"/>
      <c r="D116" s="53"/>
      <c r="E116" s="65" cm="1">
        <f ca="1" t="array" ref="E116">INDIRECT("'"&amp;INDIRECT("Main!B42")&amp;"'!E190")</f>
        <v>0</v>
      </c>
      <c r="F116" s="15"/>
      <c r="G116" s="15"/>
      <c r="H116" s="15"/>
      <c r="I116" s="45"/>
    </row>
    <row r="117" s="1" customFormat="1" ht="35" customHeight="1" spans="1:9">
      <c r="A117" s="54" t="s">
        <v>52</v>
      </c>
      <c r="B117" s="55"/>
      <c r="C117" s="56" t="s">
        <v>58</v>
      </c>
      <c r="D117" s="57"/>
      <c r="E117" s="66"/>
      <c r="F117" s="15"/>
      <c r="G117" s="15"/>
      <c r="H117" s="15"/>
      <c r="I117" s="45"/>
    </row>
    <row r="118" s="1" customFormat="1" ht="35" customHeight="1" spans="1:9">
      <c r="A118" s="58"/>
      <c r="B118" s="59"/>
      <c r="C118" s="60"/>
      <c r="D118" s="61"/>
      <c r="E118" s="35">
        <v>0</v>
      </c>
      <c r="F118" s="15"/>
      <c r="G118" s="15"/>
      <c r="H118" s="15"/>
      <c r="I118" s="45"/>
    </row>
    <row r="119" s="1" customFormat="1" ht="35" customHeight="1" spans="1:9">
      <c r="A119" s="58"/>
      <c r="B119" s="59"/>
      <c r="C119" s="60"/>
      <c r="D119" s="61"/>
      <c r="E119" s="35">
        <v>0</v>
      </c>
      <c r="F119" s="15"/>
      <c r="G119" s="15"/>
      <c r="H119" s="15"/>
      <c r="I119" s="45"/>
    </row>
    <row r="120" s="1" customFormat="1" ht="35" customHeight="1" spans="1:9">
      <c r="A120" s="58"/>
      <c r="B120" s="59"/>
      <c r="C120" s="60"/>
      <c r="D120" s="61"/>
      <c r="E120" s="35">
        <v>0</v>
      </c>
      <c r="F120" s="15"/>
      <c r="G120" s="15"/>
      <c r="H120" s="15"/>
      <c r="I120" s="45"/>
    </row>
    <row r="121" s="1" customFormat="1" ht="35" customHeight="1" spans="1:9">
      <c r="A121" s="58"/>
      <c r="B121" s="59"/>
      <c r="C121" s="60"/>
      <c r="D121" s="61"/>
      <c r="E121" s="35">
        <v>0</v>
      </c>
      <c r="F121" s="15"/>
      <c r="G121" s="15"/>
      <c r="H121" s="15"/>
      <c r="I121" s="45"/>
    </row>
    <row r="122" s="1" customFormat="1" ht="35" customHeight="1" spans="1:9">
      <c r="A122" s="58"/>
      <c r="B122" s="59"/>
      <c r="C122" s="60"/>
      <c r="D122" s="61"/>
      <c r="E122" s="35">
        <v>0</v>
      </c>
      <c r="F122" s="15"/>
      <c r="G122" s="15"/>
      <c r="H122" s="15"/>
      <c r="I122" s="45"/>
    </row>
    <row r="123" s="1" customFormat="1" ht="35" customHeight="1" spans="1:9">
      <c r="A123" s="58"/>
      <c r="B123" s="59"/>
      <c r="C123" s="60"/>
      <c r="D123" s="61"/>
      <c r="E123" s="35">
        <v>0</v>
      </c>
      <c r="F123" s="15"/>
      <c r="G123" s="15"/>
      <c r="H123" s="15"/>
      <c r="I123" s="45"/>
    </row>
    <row r="124" s="1" customFormat="1" ht="35" customHeight="1" spans="1:9">
      <c r="A124" s="58"/>
      <c r="B124" s="59"/>
      <c r="C124" s="60"/>
      <c r="D124" s="61"/>
      <c r="E124" s="35">
        <v>0</v>
      </c>
      <c r="F124" s="15"/>
      <c r="G124" s="15"/>
      <c r="H124" s="15"/>
      <c r="I124" s="45"/>
    </row>
    <row r="125" s="1" customFormat="1" ht="35" customHeight="1" spans="1:9">
      <c r="A125" s="58"/>
      <c r="B125" s="59"/>
      <c r="C125" s="60"/>
      <c r="D125" s="61"/>
      <c r="E125" s="35">
        <v>0</v>
      </c>
      <c r="F125" s="15"/>
      <c r="G125" s="15"/>
      <c r="H125" s="15"/>
      <c r="I125" s="45"/>
    </row>
    <row r="126" s="1" customFormat="1" ht="35" customHeight="1" spans="1:9">
      <c r="A126" s="58"/>
      <c r="B126" s="59"/>
      <c r="C126" s="60"/>
      <c r="D126" s="61"/>
      <c r="E126" s="35">
        <v>0</v>
      </c>
      <c r="F126" s="15"/>
      <c r="G126" s="15"/>
      <c r="H126" s="15"/>
      <c r="I126" s="45"/>
    </row>
    <row r="127" s="1" customFormat="1" ht="35" customHeight="1" spans="1:9">
      <c r="A127" s="58"/>
      <c r="B127" s="59"/>
      <c r="C127" s="60"/>
      <c r="D127" s="61"/>
      <c r="E127" s="35">
        <v>0</v>
      </c>
      <c r="F127" s="15"/>
      <c r="G127" s="15"/>
      <c r="H127" s="15"/>
      <c r="I127" s="45"/>
    </row>
    <row r="128" s="1" customFormat="1" ht="35" customHeight="1" spans="1:9">
      <c r="A128" s="58"/>
      <c r="B128" s="59"/>
      <c r="C128" s="56" t="s">
        <v>59</v>
      </c>
      <c r="D128" s="57"/>
      <c r="E128" s="66"/>
      <c r="F128" s="15"/>
      <c r="G128" s="15"/>
      <c r="H128" s="15"/>
      <c r="I128" s="45"/>
    </row>
    <row r="129" s="1" customFormat="1" ht="35" customHeight="1" spans="1:9">
      <c r="A129" s="58"/>
      <c r="B129" s="59"/>
      <c r="C129" s="60"/>
      <c r="D129" s="61"/>
      <c r="E129" s="78">
        <v>0</v>
      </c>
      <c r="F129" s="15"/>
      <c r="G129" s="15"/>
      <c r="H129" s="15"/>
      <c r="I129" s="45"/>
    </row>
    <row r="130" s="1" customFormat="1" ht="35" customHeight="1" spans="1:9">
      <c r="A130" s="58"/>
      <c r="B130" s="59"/>
      <c r="C130" s="60"/>
      <c r="D130" s="61"/>
      <c r="E130" s="78">
        <v>0</v>
      </c>
      <c r="F130" s="15"/>
      <c r="G130" s="15"/>
      <c r="H130" s="15"/>
      <c r="I130" s="45"/>
    </row>
    <row r="131" s="1" customFormat="1" ht="35" customHeight="1" spans="1:9">
      <c r="A131" s="58"/>
      <c r="B131" s="59"/>
      <c r="C131" s="60"/>
      <c r="D131" s="61"/>
      <c r="E131" s="78">
        <v>0</v>
      </c>
      <c r="F131" s="15"/>
      <c r="G131" s="15"/>
      <c r="H131" s="15"/>
      <c r="I131" s="45"/>
    </row>
    <row r="132" s="1" customFormat="1" ht="35" customHeight="1" spans="1:9">
      <c r="A132" s="58"/>
      <c r="B132" s="59"/>
      <c r="C132" s="60"/>
      <c r="D132" s="61"/>
      <c r="E132" s="78">
        <v>0</v>
      </c>
      <c r="F132" s="15"/>
      <c r="G132" s="15"/>
      <c r="H132" s="15"/>
      <c r="I132" s="45"/>
    </row>
    <row r="133" s="1" customFormat="1" ht="35" customHeight="1" spans="1:9">
      <c r="A133" s="58"/>
      <c r="B133" s="59"/>
      <c r="C133" s="60"/>
      <c r="D133" s="61"/>
      <c r="E133" s="78">
        <v>0</v>
      </c>
      <c r="F133" s="15"/>
      <c r="G133" s="15"/>
      <c r="H133" s="15"/>
      <c r="I133" s="45"/>
    </row>
    <row r="134" s="1" customFormat="1" ht="35" customHeight="1" spans="1:9">
      <c r="A134" s="67"/>
      <c r="B134" s="68"/>
      <c r="C134" s="60"/>
      <c r="D134" s="61"/>
      <c r="E134" s="78">
        <v>0</v>
      </c>
      <c r="F134" s="15"/>
      <c r="G134" s="15"/>
      <c r="H134" s="15"/>
      <c r="I134" s="45"/>
    </row>
    <row r="135" s="1" customFormat="1" ht="35" customHeight="1" spans="1:9">
      <c r="A135" s="51" t="s">
        <v>60</v>
      </c>
      <c r="B135" s="69"/>
      <c r="C135" s="70"/>
      <c r="D135" s="71"/>
      <c r="E135" s="78">
        <f>C96</f>
        <v>0</v>
      </c>
      <c r="F135" s="15"/>
      <c r="G135" s="15"/>
      <c r="H135" s="15"/>
      <c r="I135" s="45"/>
    </row>
    <row r="136" s="1" customFormat="1" ht="35" customHeight="1" spans="1:9">
      <c r="A136" s="72"/>
      <c r="B136" s="73"/>
      <c r="C136" s="37" t="s">
        <v>61</v>
      </c>
      <c r="D136" s="37"/>
      <c r="E136" s="79">
        <f ca="1">(F16+E116)-(SUM(E118:E127)+SUM(E129:E135))</f>
        <v>0</v>
      </c>
      <c r="F136" s="15"/>
      <c r="G136" s="15"/>
      <c r="H136" s="15"/>
      <c r="I136" s="45"/>
    </row>
    <row r="137" s="1" customFormat="1" ht="35" customHeight="1" spans="1:9">
      <c r="A137" s="15"/>
      <c r="B137" s="15"/>
      <c r="C137" s="15"/>
      <c r="D137" s="15"/>
      <c r="E137" s="15"/>
      <c r="F137" s="15"/>
      <c r="G137" s="15"/>
      <c r="H137" s="15"/>
      <c r="I137" s="45"/>
    </row>
    <row r="138" s="1" customFormat="1" ht="35" customHeight="1" spans="1:9">
      <c r="A138" s="15"/>
      <c r="B138" s="15"/>
      <c r="C138" s="15"/>
      <c r="D138" s="15"/>
      <c r="E138" s="15"/>
      <c r="F138" s="15"/>
      <c r="G138" s="15"/>
      <c r="H138" s="15"/>
      <c r="I138" s="45"/>
    </row>
    <row r="139" s="1" customFormat="1" ht="35" customHeight="1" spans="1:9">
      <c r="A139" s="15"/>
      <c r="B139" s="15"/>
      <c r="C139" s="15"/>
      <c r="D139" s="15"/>
      <c r="E139" s="15"/>
      <c r="F139" s="15"/>
      <c r="G139" s="15"/>
      <c r="H139" s="15"/>
      <c r="I139" s="45"/>
    </row>
    <row r="140" s="1" customFormat="1" ht="35" customHeight="1" spans="1:9">
      <c r="A140" s="15"/>
      <c r="B140" s="15"/>
      <c r="C140" s="15"/>
      <c r="D140" s="15"/>
      <c r="E140" s="15"/>
      <c r="F140" s="15"/>
      <c r="G140" s="15"/>
      <c r="H140" s="15"/>
      <c r="I140" s="45"/>
    </row>
    <row r="141" s="1" customFormat="1" ht="35" customHeight="1" spans="1:9">
      <c r="A141" s="48" t="str">
        <f>"Debts Or Credits For the Comming "&amp;IF(Main!B2,TEXT(EDATE(Main!B3,37),"mmmm dd yyyy"),TEXT(Main!B3+((Main!B5-Main!B3)*37+37),"dd mmmm yyyy"))&amp;" to "&amp;IF(Main!B2,TEXT(EDATE(Main!B3,38)-1,"mmmm dd yyyy"),TEXT(Main!B3+((Main!B5-Main!B3)*38+37),"mmmm dd yyyy"))</f>
        <v>Debts Or Credits For the Comming June 01 2028 to June 30 2028</v>
      </c>
      <c r="B141" s="49"/>
      <c r="C141" s="49"/>
      <c r="D141" s="49"/>
      <c r="E141" s="50"/>
      <c r="F141" s="15"/>
      <c r="G141" s="15"/>
      <c r="H141" s="15"/>
      <c r="I141" s="45"/>
    </row>
    <row r="142" s="1" customFormat="1" ht="35" customHeight="1" spans="1:9">
      <c r="A142" s="48" t="s">
        <v>57</v>
      </c>
      <c r="B142" s="50"/>
      <c r="C142" s="74" t="s">
        <v>44</v>
      </c>
      <c r="D142" s="75"/>
      <c r="E142" s="80" t="s">
        <v>45</v>
      </c>
      <c r="F142" s="15"/>
      <c r="G142" s="15"/>
      <c r="H142" s="15"/>
      <c r="I142" s="45"/>
    </row>
    <row r="143" s="1" customFormat="1" ht="35" customHeight="1" spans="1:9">
      <c r="A143" s="51" t="str">
        <f>"Balance Brought Forward From "&amp;IF(Main!B2,TEXT(EDATE(Main!B3,37)-1,"mmmm yyyy"),TEXT(Main!B3+((Main!B5-Main!B3)*37+36),"mmmm yyyy"))</f>
        <v>Balance Brought Forward From May 2028</v>
      </c>
      <c r="B143" s="52"/>
      <c r="C143" s="53"/>
      <c r="D143" s="53"/>
      <c r="E143" s="79">
        <f ca="1">E136</f>
        <v>0</v>
      </c>
      <c r="F143" s="15"/>
      <c r="G143" s="15"/>
      <c r="H143" s="15"/>
      <c r="I143" s="45"/>
    </row>
    <row r="144" s="1" customFormat="1" ht="35" customHeight="1" spans="1:9">
      <c r="A144" s="54" t="s">
        <v>52</v>
      </c>
      <c r="B144" s="55"/>
      <c r="C144" s="76" t="s">
        <v>58</v>
      </c>
      <c r="D144" s="77"/>
      <c r="E144" s="81"/>
      <c r="F144" s="15"/>
      <c r="G144" s="15"/>
      <c r="H144" s="15"/>
      <c r="I144" s="45"/>
    </row>
    <row r="145" s="1" customFormat="1" ht="35" customHeight="1" spans="1:9">
      <c r="A145" s="58"/>
      <c r="B145" s="59"/>
      <c r="C145" s="60"/>
      <c r="D145" s="61"/>
      <c r="E145" s="35">
        <v>0</v>
      </c>
      <c r="F145" s="15"/>
      <c r="G145" s="15"/>
      <c r="H145" s="15"/>
      <c r="I145" s="45"/>
    </row>
    <row r="146" s="1" customFormat="1" ht="35" customHeight="1" spans="1:9">
      <c r="A146" s="58"/>
      <c r="B146" s="59"/>
      <c r="C146" s="60"/>
      <c r="D146" s="61"/>
      <c r="E146" s="35">
        <v>0</v>
      </c>
      <c r="F146" s="15"/>
      <c r="G146" s="15"/>
      <c r="H146" s="15"/>
      <c r="I146" s="45"/>
    </row>
    <row r="147" s="1" customFormat="1" ht="35" customHeight="1" spans="1:9">
      <c r="A147" s="58"/>
      <c r="B147" s="59"/>
      <c r="C147" s="60"/>
      <c r="D147" s="61"/>
      <c r="E147" s="35">
        <v>0</v>
      </c>
      <c r="F147" s="15"/>
      <c r="G147" s="15"/>
      <c r="H147" s="15"/>
      <c r="I147" s="45"/>
    </row>
    <row r="148" s="1" customFormat="1" ht="35" customHeight="1" spans="1:9">
      <c r="A148" s="58"/>
      <c r="B148" s="59"/>
      <c r="C148" s="60"/>
      <c r="D148" s="61"/>
      <c r="E148" s="35">
        <v>0</v>
      </c>
      <c r="F148" s="15"/>
      <c r="G148" s="15"/>
      <c r="H148" s="15"/>
      <c r="I148" s="45"/>
    </row>
    <row r="149" s="1" customFormat="1" ht="35" customHeight="1" spans="1:9">
      <c r="A149" s="58"/>
      <c r="B149" s="59"/>
      <c r="C149" s="60"/>
      <c r="D149" s="61"/>
      <c r="E149" s="35">
        <v>0</v>
      </c>
      <c r="F149" s="15"/>
      <c r="G149" s="15"/>
      <c r="H149" s="15"/>
      <c r="I149" s="45"/>
    </row>
    <row r="150" s="1" customFormat="1" ht="35" customHeight="1" spans="1:9">
      <c r="A150" s="58"/>
      <c r="B150" s="59"/>
      <c r="C150" s="60"/>
      <c r="D150" s="61"/>
      <c r="E150" s="35">
        <v>0</v>
      </c>
      <c r="F150" s="15"/>
      <c r="G150" s="15"/>
      <c r="H150" s="15"/>
      <c r="I150" s="45"/>
    </row>
    <row r="151" s="1" customFormat="1" ht="35" customHeight="1" spans="1:9">
      <c r="A151" s="58"/>
      <c r="B151" s="59"/>
      <c r="C151" s="60"/>
      <c r="D151" s="61"/>
      <c r="E151" s="35">
        <v>0</v>
      </c>
      <c r="F151" s="15"/>
      <c r="G151" s="15"/>
      <c r="H151" s="15"/>
      <c r="I151" s="45"/>
    </row>
    <row r="152" s="1" customFormat="1" ht="35" customHeight="1" spans="1:9">
      <c r="A152" s="58"/>
      <c r="B152" s="59"/>
      <c r="C152" s="60"/>
      <c r="D152" s="61"/>
      <c r="E152" s="35">
        <v>0</v>
      </c>
      <c r="F152" s="15"/>
      <c r="G152" s="15"/>
      <c r="H152" s="15"/>
      <c r="I152" s="45"/>
    </row>
    <row r="153" s="1" customFormat="1" ht="35" customHeight="1" spans="1:9">
      <c r="A153" s="58"/>
      <c r="B153" s="59"/>
      <c r="C153" s="60"/>
      <c r="D153" s="61"/>
      <c r="E153" s="35">
        <v>0</v>
      </c>
      <c r="F153" s="15"/>
      <c r="G153" s="15"/>
      <c r="H153" s="15"/>
      <c r="I153" s="45"/>
    </row>
    <row r="154" s="1" customFormat="1" ht="35" customHeight="1" spans="1:9">
      <c r="A154" s="58"/>
      <c r="B154" s="59"/>
      <c r="C154" s="60"/>
      <c r="D154" s="61"/>
      <c r="E154" s="35">
        <v>0</v>
      </c>
      <c r="F154" s="15"/>
      <c r="G154" s="15"/>
      <c r="H154" s="15"/>
      <c r="I154" s="45"/>
    </row>
    <row r="155" s="1" customFormat="1" ht="35" customHeight="1" spans="1:9">
      <c r="A155" s="58"/>
      <c r="B155" s="59"/>
      <c r="C155" s="56" t="s">
        <v>59</v>
      </c>
      <c r="D155" s="57"/>
      <c r="E155" s="66"/>
      <c r="F155" s="15"/>
      <c r="G155" s="15"/>
      <c r="H155" s="15"/>
      <c r="I155" s="45"/>
    </row>
    <row r="156" s="1" customFormat="1" ht="35" customHeight="1" spans="1:9">
      <c r="A156" s="58"/>
      <c r="B156" s="59"/>
      <c r="C156" s="60"/>
      <c r="D156" s="61"/>
      <c r="E156" s="78">
        <v>0</v>
      </c>
      <c r="F156" s="15"/>
      <c r="G156" s="15"/>
      <c r="H156" s="15"/>
      <c r="I156" s="45"/>
    </row>
    <row r="157" s="1" customFormat="1" ht="35" customHeight="1" spans="1:9">
      <c r="A157" s="58"/>
      <c r="B157" s="59"/>
      <c r="C157" s="60"/>
      <c r="D157" s="61"/>
      <c r="E157" s="78">
        <v>0</v>
      </c>
      <c r="F157" s="15"/>
      <c r="G157" s="15"/>
      <c r="H157" s="15"/>
      <c r="I157" s="45"/>
    </row>
    <row r="158" s="1" customFormat="1" ht="35" customHeight="1" spans="1:9">
      <c r="A158" s="58"/>
      <c r="B158" s="59"/>
      <c r="C158" s="60"/>
      <c r="D158" s="61"/>
      <c r="E158" s="78">
        <v>0</v>
      </c>
      <c r="F158" s="15"/>
      <c r="G158" s="15"/>
      <c r="H158" s="15"/>
      <c r="I158" s="45"/>
    </row>
    <row r="159" s="1" customFormat="1" ht="35" customHeight="1" spans="1:9">
      <c r="A159" s="58"/>
      <c r="B159" s="59"/>
      <c r="C159" s="60"/>
      <c r="D159" s="61"/>
      <c r="E159" s="78">
        <v>0</v>
      </c>
      <c r="F159" s="15"/>
      <c r="G159" s="15"/>
      <c r="H159" s="15"/>
      <c r="I159" s="45"/>
    </row>
    <row r="160" s="1" customFormat="1" ht="35" customHeight="1" spans="1:9">
      <c r="A160" s="58"/>
      <c r="B160" s="59"/>
      <c r="C160" s="60"/>
      <c r="D160" s="61"/>
      <c r="E160" s="78">
        <v>0</v>
      </c>
      <c r="F160" s="15"/>
      <c r="G160" s="15"/>
      <c r="H160" s="15"/>
      <c r="I160" s="45"/>
    </row>
    <row r="161" s="1" customFormat="1" ht="35" customHeight="1" spans="1:9">
      <c r="A161" s="67"/>
      <c r="B161" s="68"/>
      <c r="C161" s="60"/>
      <c r="D161" s="61"/>
      <c r="E161" s="78">
        <v>0</v>
      </c>
      <c r="F161" s="15"/>
      <c r="G161" s="15"/>
      <c r="H161" s="15"/>
      <c r="I161" s="45"/>
    </row>
    <row r="162" s="1" customFormat="1" ht="35" customHeight="1" spans="1:9">
      <c r="A162" s="51" t="s">
        <v>60</v>
      </c>
      <c r="B162" s="69"/>
      <c r="C162" s="70"/>
      <c r="D162" s="71"/>
      <c r="E162" s="78">
        <f>C96</f>
        <v>0</v>
      </c>
      <c r="F162" s="15"/>
      <c r="G162" s="15"/>
      <c r="H162" s="15"/>
      <c r="I162" s="45"/>
    </row>
    <row r="163" s="1" customFormat="1" ht="35" customHeight="1" spans="1:9">
      <c r="A163" s="72"/>
      <c r="B163" s="73"/>
      <c r="C163" s="37" t="s">
        <v>61</v>
      </c>
      <c r="D163" s="37"/>
      <c r="E163" s="65">
        <f ca="1">(F28+E143)-(SUM(E145:E154)+SUM(E156:E162))</f>
        <v>0</v>
      </c>
      <c r="F163" s="15"/>
      <c r="G163" s="15"/>
      <c r="H163" s="15"/>
      <c r="I163" s="45"/>
    </row>
    <row r="164" s="1" customFormat="1" ht="35" customHeight="1" spans="1:9">
      <c r="A164" s="15"/>
      <c r="B164" s="15"/>
      <c r="C164" s="15"/>
      <c r="D164" s="15"/>
      <c r="E164" s="15"/>
      <c r="F164" s="15"/>
      <c r="G164" s="15"/>
      <c r="H164" s="15"/>
      <c r="I164" s="45"/>
    </row>
    <row r="165" s="1" customFormat="1" ht="35" customHeight="1" spans="1:9">
      <c r="A165" s="15"/>
      <c r="B165" s="15"/>
      <c r="C165" s="15"/>
      <c r="D165" s="15"/>
      <c r="E165" s="15"/>
      <c r="F165" s="15"/>
      <c r="G165" s="15"/>
      <c r="H165" s="15"/>
      <c r="I165" s="45"/>
    </row>
    <row r="166" s="1" customFormat="1" ht="35" customHeight="1" spans="1:9">
      <c r="A166" s="15"/>
      <c r="B166" s="15"/>
      <c r="C166" s="15"/>
      <c r="D166" s="15"/>
      <c r="E166" s="15"/>
      <c r="F166" s="15"/>
      <c r="G166" s="15"/>
      <c r="H166" s="15"/>
      <c r="I166" s="45"/>
    </row>
    <row r="167" s="1" customFormat="1" ht="35" customHeight="1" spans="1:9">
      <c r="A167" s="15"/>
      <c r="B167" s="15"/>
      <c r="C167" s="15"/>
      <c r="D167" s="15"/>
      <c r="E167" s="15"/>
      <c r="F167" s="15"/>
      <c r="G167" s="15"/>
      <c r="H167" s="15"/>
      <c r="I167" s="45"/>
    </row>
    <row r="168" s="1" customFormat="1" ht="35" customHeight="1" spans="1:9">
      <c r="A168" s="48" t="str">
        <f>"Debts Or Credits For the Comming "&amp;IF(Main!B2,TEXT(EDATE(Main!B3,38),"mmmm dd yyyy"),TEXT(Main!B3+((Main!B5-Main!B3)*38+38),"mmmm dd yyyy"))&amp;" to "&amp;IF(Main!B2,TEXT(EDATE(Main!B3,39)-1,"mmmm dd yyyy"),TEXT(Main!B3+((Main!B5-Main!B3)*39+38),"mmmm dd yyyy"))</f>
        <v>Debts Or Credits For the Comming July 01 2028 to July 31 2028</v>
      </c>
      <c r="B168" s="49"/>
      <c r="C168" s="49"/>
      <c r="D168" s="49"/>
      <c r="E168" s="50"/>
      <c r="F168" s="15"/>
      <c r="G168" s="15"/>
      <c r="H168" s="15"/>
      <c r="I168" s="45"/>
    </row>
    <row r="169" s="1" customFormat="1" ht="35" customHeight="1" spans="1:9">
      <c r="A169" s="48" t="s">
        <v>57</v>
      </c>
      <c r="B169" s="50"/>
      <c r="C169" s="74" t="s">
        <v>44</v>
      </c>
      <c r="D169" s="75"/>
      <c r="E169" s="80" t="s">
        <v>45</v>
      </c>
      <c r="F169" s="15"/>
      <c r="G169" s="15"/>
      <c r="H169" s="15"/>
      <c r="I169" s="45"/>
    </row>
    <row r="170" s="1" customFormat="1" ht="35" customHeight="1" spans="1:9">
      <c r="A170" s="51" t="str">
        <f>"Balance Brought Forward From "&amp;IF(Main!B2,TEXT(EDATE(Main!B3,38)-1,"mmmm yyyy"),TEXT(Main!B3+((Main!B5-Main!B3)*38+37),"mmmm yyyy"))</f>
        <v>Balance Brought Forward From June 2028</v>
      </c>
      <c r="B170" s="52"/>
      <c r="C170" s="53"/>
      <c r="D170" s="53"/>
      <c r="E170" s="65">
        <f ca="1">E163</f>
        <v>0</v>
      </c>
      <c r="F170" s="15"/>
      <c r="G170" s="15"/>
      <c r="H170" s="15"/>
      <c r="I170" s="45"/>
    </row>
    <row r="171" s="1" customFormat="1" ht="35" customHeight="1" spans="1:9">
      <c r="A171" s="54" t="s">
        <v>52</v>
      </c>
      <c r="B171" s="55"/>
      <c r="C171" s="76" t="s">
        <v>58</v>
      </c>
      <c r="D171" s="77"/>
      <c r="E171" s="81"/>
      <c r="F171" s="15"/>
      <c r="G171" s="15"/>
      <c r="H171" s="15"/>
      <c r="I171" s="45"/>
    </row>
    <row r="172" s="1" customFormat="1" ht="35" customHeight="1" spans="1:9">
      <c r="A172" s="58"/>
      <c r="B172" s="59"/>
      <c r="C172" s="60"/>
      <c r="D172" s="61"/>
      <c r="E172" s="35">
        <v>0</v>
      </c>
      <c r="F172" s="15"/>
      <c r="G172" s="15"/>
      <c r="H172" s="15"/>
      <c r="I172" s="45"/>
    </row>
    <row r="173" s="1" customFormat="1" ht="35" customHeight="1" spans="1:9">
      <c r="A173" s="58"/>
      <c r="B173" s="59"/>
      <c r="C173" s="60"/>
      <c r="D173" s="61"/>
      <c r="E173" s="35">
        <v>0</v>
      </c>
      <c r="F173" s="15"/>
      <c r="G173" s="15"/>
      <c r="H173" s="15"/>
      <c r="I173" s="45"/>
    </row>
    <row r="174" s="1" customFormat="1" ht="35" customHeight="1" spans="1:9">
      <c r="A174" s="58"/>
      <c r="B174" s="59"/>
      <c r="C174" s="60"/>
      <c r="D174" s="61"/>
      <c r="E174" s="35">
        <v>0</v>
      </c>
      <c r="F174" s="15"/>
      <c r="G174" s="15"/>
      <c r="H174" s="15"/>
      <c r="I174" s="45"/>
    </row>
    <row r="175" s="1" customFormat="1" ht="35" customHeight="1" spans="1:9">
      <c r="A175" s="58"/>
      <c r="B175" s="59"/>
      <c r="C175" s="60"/>
      <c r="D175" s="61"/>
      <c r="E175" s="35">
        <v>0</v>
      </c>
      <c r="F175" s="15"/>
      <c r="G175" s="15"/>
      <c r="H175" s="15"/>
      <c r="I175" s="45"/>
    </row>
    <row r="176" s="1" customFormat="1" ht="35" customHeight="1" spans="1:9">
      <c r="A176" s="58"/>
      <c r="B176" s="59"/>
      <c r="C176" s="60"/>
      <c r="D176" s="61"/>
      <c r="E176" s="35">
        <v>0</v>
      </c>
      <c r="F176" s="15"/>
      <c r="G176" s="15"/>
      <c r="H176" s="15"/>
      <c r="I176" s="45"/>
    </row>
    <row r="177" s="1" customFormat="1" ht="35" customHeight="1" spans="1:9">
      <c r="A177" s="58"/>
      <c r="B177" s="59"/>
      <c r="C177" s="60"/>
      <c r="D177" s="61"/>
      <c r="E177" s="35">
        <v>0</v>
      </c>
      <c r="F177" s="15"/>
      <c r="G177" s="15"/>
      <c r="H177" s="15"/>
      <c r="I177" s="45"/>
    </row>
    <row r="178" s="1" customFormat="1" ht="35" customHeight="1" spans="1:9">
      <c r="A178" s="58"/>
      <c r="B178" s="59"/>
      <c r="C178" s="60"/>
      <c r="D178" s="61"/>
      <c r="E178" s="35">
        <v>0</v>
      </c>
      <c r="F178" s="15"/>
      <c r="G178" s="15"/>
      <c r="H178" s="15"/>
      <c r="I178" s="45"/>
    </row>
    <row r="179" s="1" customFormat="1" ht="35" customHeight="1" spans="1:9">
      <c r="A179" s="58"/>
      <c r="B179" s="59"/>
      <c r="C179" s="60"/>
      <c r="D179" s="61"/>
      <c r="E179" s="35">
        <v>0</v>
      </c>
      <c r="F179" s="15"/>
      <c r="G179" s="15"/>
      <c r="H179" s="15"/>
      <c r="I179" s="45"/>
    </row>
    <row r="180" s="1" customFormat="1" ht="35" customHeight="1" spans="1:9">
      <c r="A180" s="58"/>
      <c r="B180" s="59"/>
      <c r="C180" s="60"/>
      <c r="D180" s="61"/>
      <c r="E180" s="35">
        <v>0</v>
      </c>
      <c r="F180" s="15"/>
      <c r="G180" s="15"/>
      <c r="H180" s="15"/>
      <c r="I180" s="45"/>
    </row>
    <row r="181" s="1" customFormat="1" ht="35" customHeight="1" spans="1:9">
      <c r="A181" s="58"/>
      <c r="B181" s="59"/>
      <c r="C181" s="60"/>
      <c r="D181" s="61"/>
      <c r="E181" s="35">
        <v>0</v>
      </c>
      <c r="F181" s="15"/>
      <c r="G181" s="15"/>
      <c r="H181" s="15"/>
      <c r="I181" s="45"/>
    </row>
    <row r="182" s="1" customFormat="1" ht="35" customHeight="1" spans="1:9">
      <c r="A182" s="58"/>
      <c r="B182" s="59"/>
      <c r="C182" s="56" t="s">
        <v>59</v>
      </c>
      <c r="D182" s="57"/>
      <c r="E182" s="66"/>
      <c r="F182" s="15"/>
      <c r="G182" s="15"/>
      <c r="H182" s="15"/>
      <c r="I182" s="45"/>
    </row>
    <row r="183" s="1" customFormat="1" ht="35" customHeight="1" spans="1:9">
      <c r="A183" s="58"/>
      <c r="B183" s="59"/>
      <c r="C183" s="60"/>
      <c r="D183" s="61"/>
      <c r="E183" s="78">
        <v>0</v>
      </c>
      <c r="F183" s="15"/>
      <c r="G183" s="15"/>
      <c r="H183" s="15"/>
      <c r="I183" s="45"/>
    </row>
    <row r="184" s="1" customFormat="1" ht="35" customHeight="1" spans="1:9">
      <c r="A184" s="58"/>
      <c r="B184" s="59"/>
      <c r="C184" s="60"/>
      <c r="D184" s="61"/>
      <c r="E184" s="78">
        <v>0</v>
      </c>
      <c r="F184" s="15"/>
      <c r="G184" s="15"/>
      <c r="H184" s="15"/>
      <c r="I184" s="45"/>
    </row>
    <row r="185" s="1" customFormat="1" ht="35" customHeight="1" spans="1:9">
      <c r="A185" s="58"/>
      <c r="B185" s="59"/>
      <c r="C185" s="60"/>
      <c r="D185" s="61"/>
      <c r="E185" s="78">
        <v>0</v>
      </c>
      <c r="F185" s="15"/>
      <c r="G185" s="15"/>
      <c r="H185" s="15"/>
      <c r="I185" s="45"/>
    </row>
    <row r="186" s="1" customFormat="1" ht="35" customHeight="1" spans="1:9">
      <c r="A186" s="58"/>
      <c r="B186" s="59"/>
      <c r="C186" s="60"/>
      <c r="D186" s="61"/>
      <c r="E186" s="78">
        <v>0</v>
      </c>
      <c r="F186" s="15"/>
      <c r="G186" s="15"/>
      <c r="H186" s="15"/>
      <c r="I186" s="45"/>
    </row>
    <row r="187" s="1" customFormat="1" ht="35" customHeight="1" spans="1:9">
      <c r="A187" s="58"/>
      <c r="B187" s="59"/>
      <c r="C187" s="60"/>
      <c r="D187" s="61"/>
      <c r="E187" s="78">
        <v>0</v>
      </c>
      <c r="F187" s="15"/>
      <c r="G187" s="15"/>
      <c r="H187" s="15"/>
      <c r="I187" s="45"/>
    </row>
    <row r="188" s="1" customFormat="1" ht="35" customHeight="1" spans="1:9">
      <c r="A188" s="67"/>
      <c r="B188" s="68"/>
      <c r="C188" s="60"/>
      <c r="D188" s="61"/>
      <c r="E188" s="78">
        <v>0</v>
      </c>
      <c r="F188" s="15"/>
      <c r="G188" s="15"/>
      <c r="H188" s="15"/>
      <c r="I188" s="45"/>
    </row>
    <row r="189" s="1" customFormat="1" ht="35" customHeight="1" spans="1:9">
      <c r="A189" s="51" t="s">
        <v>60</v>
      </c>
      <c r="B189" s="69"/>
      <c r="C189" s="70"/>
      <c r="D189" s="71"/>
      <c r="E189" s="78">
        <f>C96</f>
        <v>0</v>
      </c>
      <c r="F189" s="15"/>
      <c r="G189" s="15"/>
      <c r="H189" s="15"/>
      <c r="I189" s="45"/>
    </row>
    <row r="190" s="1" customFormat="1" ht="35" customHeight="1" spans="1:9">
      <c r="A190" s="72"/>
      <c r="B190" s="73"/>
      <c r="C190" s="37" t="s">
        <v>61</v>
      </c>
      <c r="D190" s="37"/>
      <c r="E190" s="65">
        <f ca="1">(F40+E170)-(SUM(E172:E181)+SUM(E183:E189))</f>
        <v>0</v>
      </c>
      <c r="F190" s="15"/>
      <c r="G190" s="15"/>
      <c r="H190" s="15"/>
      <c r="I190" s="45"/>
    </row>
    <row r="191" s="1" customFormat="1" ht="35" customHeight="1" spans="1:9">
      <c r="A191" s="15"/>
      <c r="B191" s="15"/>
      <c r="C191" s="15"/>
      <c r="D191" s="15"/>
      <c r="E191" s="15"/>
      <c r="F191" s="15"/>
      <c r="G191" s="15"/>
      <c r="H191" s="15"/>
      <c r="I191" s="45"/>
    </row>
    <row r="192" s="1" customFormat="1" ht="35" customHeight="1" spans="1:9">
      <c r="A192" s="38"/>
      <c r="B192" s="38"/>
      <c r="C192" s="38"/>
      <c r="D192" s="38"/>
      <c r="E192" s="38"/>
      <c r="F192" s="38"/>
      <c r="G192" s="38"/>
      <c r="H192" s="38"/>
      <c r="I192" s="38"/>
    </row>
    <row r="193" ht="24.75" customHeight="1" spans="1:9">
      <c r="A193" s="82"/>
      <c r="B193" s="82"/>
      <c r="C193" s="82"/>
      <c r="D193" s="82"/>
      <c r="E193" s="82"/>
      <c r="F193" s="82"/>
      <c r="G193" s="82"/>
      <c r="H193" s="82"/>
      <c r="I193" s="82"/>
    </row>
    <row r="194" ht="24.75" customHeight="1"/>
  </sheetData>
  <sheetProtection sheet="1" formatCells="0" formatColumns="0" formatRows="0" objects="1"/>
  <protectedRanges>
    <protectedRange sqref="A10:G15" name="R1"/>
    <protectedRange sqref="A22:G27" name="R2"/>
    <protectedRange sqref="A34:G39" name="R3"/>
    <protectedRange sqref="A46:C46 C47:C54" name="F1"/>
    <protectedRange sqref="C56:C65" name="F2"/>
    <protectedRange sqref="C76:C84" name="F3"/>
    <protectedRange sqref="C86:C94" name="F5"/>
    <protectedRange sqref="C117:E134" name="E1"/>
    <protectedRange sqref="C144:E161" name="E2"/>
    <protectedRange sqref="C171:E188" name="E3"/>
    <protectedRange sqref="C68:C74" name="F4"/>
    <protectedRange sqref="A56:B56" name="F2_1"/>
    <protectedRange sqref="A67:B67" name="F3_1"/>
    <protectedRange sqref="A76:B76" name="F4_1"/>
    <protectedRange sqref="A86:B86" name="F5_1"/>
  </protectedRanges>
  <mergeCells count="174">
    <mergeCell ref="A1:G1"/>
    <mergeCell ref="C2:G2"/>
    <mergeCell ref="C3:G3"/>
    <mergeCell ref="A4:B4"/>
    <mergeCell ref="C4:G4"/>
    <mergeCell ref="A5:B5"/>
    <mergeCell ref="C5:G5"/>
    <mergeCell ref="A8:G8"/>
    <mergeCell ref="B9:C9"/>
    <mergeCell ref="D9:E9"/>
    <mergeCell ref="F9:G9"/>
    <mergeCell ref="B10:C10"/>
    <mergeCell ref="D10:E10"/>
    <mergeCell ref="F10:G10"/>
    <mergeCell ref="B11:C11"/>
    <mergeCell ref="D11:E11"/>
    <mergeCell ref="F11:G11"/>
    <mergeCell ref="B12:C12"/>
    <mergeCell ref="D12:E12"/>
    <mergeCell ref="F12:G12"/>
    <mergeCell ref="B13:C13"/>
    <mergeCell ref="D13:E13"/>
    <mergeCell ref="F13:G13"/>
    <mergeCell ref="B14:C14"/>
    <mergeCell ref="D14:E14"/>
    <mergeCell ref="F14:G14"/>
    <mergeCell ref="B15:C15"/>
    <mergeCell ref="D15:E15"/>
    <mergeCell ref="F15:G15"/>
    <mergeCell ref="B16:C16"/>
    <mergeCell ref="D16:E16"/>
    <mergeCell ref="F16:G16"/>
    <mergeCell ref="A20:G20"/>
    <mergeCell ref="B21:C21"/>
    <mergeCell ref="D21:E21"/>
    <mergeCell ref="F21:G21"/>
    <mergeCell ref="B22:C22"/>
    <mergeCell ref="D22:E22"/>
    <mergeCell ref="F22:G22"/>
    <mergeCell ref="B23:C23"/>
    <mergeCell ref="D23:E23"/>
    <mergeCell ref="F23:G23"/>
    <mergeCell ref="B24:C24"/>
    <mergeCell ref="D24:E24"/>
    <mergeCell ref="F24:G24"/>
    <mergeCell ref="B25:C25"/>
    <mergeCell ref="D25:E25"/>
    <mergeCell ref="F25:G25"/>
    <mergeCell ref="B26:C26"/>
    <mergeCell ref="D26:E26"/>
    <mergeCell ref="F26:G26"/>
    <mergeCell ref="B27:C27"/>
    <mergeCell ref="D27:E27"/>
    <mergeCell ref="F27:G27"/>
    <mergeCell ref="B28:C28"/>
    <mergeCell ref="D28:E28"/>
    <mergeCell ref="F28:G28"/>
    <mergeCell ref="A32:G32"/>
    <mergeCell ref="B33:C33"/>
    <mergeCell ref="D33:E33"/>
    <mergeCell ref="F33:G33"/>
    <mergeCell ref="B34:C34"/>
    <mergeCell ref="D34:E34"/>
    <mergeCell ref="F34:G34"/>
    <mergeCell ref="B35:C35"/>
    <mergeCell ref="D35:E35"/>
    <mergeCell ref="F35:G35"/>
    <mergeCell ref="B36:C36"/>
    <mergeCell ref="D36:E36"/>
    <mergeCell ref="F36:G36"/>
    <mergeCell ref="B37:C37"/>
    <mergeCell ref="D37:E37"/>
    <mergeCell ref="F37:G37"/>
    <mergeCell ref="B38:C38"/>
    <mergeCell ref="D38:E38"/>
    <mergeCell ref="F38:G38"/>
    <mergeCell ref="B39:C39"/>
    <mergeCell ref="D39:E39"/>
    <mergeCell ref="F39:G39"/>
    <mergeCell ref="B40:C40"/>
    <mergeCell ref="D40:E40"/>
    <mergeCell ref="F40:G40"/>
    <mergeCell ref="A44:C44"/>
    <mergeCell ref="A46:C46"/>
    <mergeCell ref="A56:C56"/>
    <mergeCell ref="A67:C67"/>
    <mergeCell ref="A76:C76"/>
    <mergeCell ref="A86:C86"/>
    <mergeCell ref="A97:C97"/>
    <mergeCell ref="A114:E114"/>
    <mergeCell ref="A115:B115"/>
    <mergeCell ref="C115:D115"/>
    <mergeCell ref="A116:B116"/>
    <mergeCell ref="C116:D116"/>
    <mergeCell ref="C117:D117"/>
    <mergeCell ref="C118:D118"/>
    <mergeCell ref="C119:D119"/>
    <mergeCell ref="C120:D120"/>
    <mergeCell ref="C121:D121"/>
    <mergeCell ref="C122:D122"/>
    <mergeCell ref="C123:D123"/>
    <mergeCell ref="C124:D124"/>
    <mergeCell ref="C125:D125"/>
    <mergeCell ref="C126:D126"/>
    <mergeCell ref="C127:D127"/>
    <mergeCell ref="C128:D128"/>
    <mergeCell ref="C129:D129"/>
    <mergeCell ref="C130:D130"/>
    <mergeCell ref="C131:D131"/>
    <mergeCell ref="C132:D132"/>
    <mergeCell ref="C133:D133"/>
    <mergeCell ref="C134:D134"/>
    <mergeCell ref="A135:B135"/>
    <mergeCell ref="C135:D135"/>
    <mergeCell ref="A136:B136"/>
    <mergeCell ref="C136:D136"/>
    <mergeCell ref="A141:E141"/>
    <mergeCell ref="A142:B142"/>
    <mergeCell ref="C142:D142"/>
    <mergeCell ref="A143:B143"/>
    <mergeCell ref="C143:D143"/>
    <mergeCell ref="C144:D144"/>
    <mergeCell ref="C145:D145"/>
    <mergeCell ref="C146:D146"/>
    <mergeCell ref="C147:D147"/>
    <mergeCell ref="C148:D148"/>
    <mergeCell ref="C149:D149"/>
    <mergeCell ref="C150:D150"/>
    <mergeCell ref="C151:D151"/>
    <mergeCell ref="C152:D152"/>
    <mergeCell ref="C153:D153"/>
    <mergeCell ref="C154:D154"/>
    <mergeCell ref="C155:D155"/>
    <mergeCell ref="C156:D156"/>
    <mergeCell ref="C157:D157"/>
    <mergeCell ref="C158:D158"/>
    <mergeCell ref="C159:D159"/>
    <mergeCell ref="C160:D160"/>
    <mergeCell ref="C161:D161"/>
    <mergeCell ref="A162:B162"/>
    <mergeCell ref="C162:D162"/>
    <mergeCell ref="A163:B163"/>
    <mergeCell ref="C163:D163"/>
    <mergeCell ref="A168:E168"/>
    <mergeCell ref="A169:B169"/>
    <mergeCell ref="C169:D169"/>
    <mergeCell ref="A170:B170"/>
    <mergeCell ref="C170:D170"/>
    <mergeCell ref="C171:D171"/>
    <mergeCell ref="C172:D172"/>
    <mergeCell ref="C173:D173"/>
    <mergeCell ref="C174:D174"/>
    <mergeCell ref="C175:D175"/>
    <mergeCell ref="C176:D176"/>
    <mergeCell ref="C177:D177"/>
    <mergeCell ref="C178:D178"/>
    <mergeCell ref="C179:D179"/>
    <mergeCell ref="C180:D180"/>
    <mergeCell ref="C181:D181"/>
    <mergeCell ref="C182:D182"/>
    <mergeCell ref="C183:D183"/>
    <mergeCell ref="C184:D184"/>
    <mergeCell ref="C185:D185"/>
    <mergeCell ref="C186:D186"/>
    <mergeCell ref="C187:D187"/>
    <mergeCell ref="C188:D188"/>
    <mergeCell ref="A189:B189"/>
    <mergeCell ref="C189:D189"/>
    <mergeCell ref="A190:B190"/>
    <mergeCell ref="C190:D190"/>
    <mergeCell ref="A2:A3"/>
    <mergeCell ref="A171:B188"/>
    <mergeCell ref="A144:B161"/>
    <mergeCell ref="A117:B134"/>
  </mergeCells>
  <conditionalFormatting sqref="C5">
    <cfRule type="cellIs" dxfId="0" priority="6" operator="equal">
      <formula>0</formula>
    </cfRule>
    <cfRule type="cellIs" dxfId="1" priority="5" operator="greaterThan">
      <formula>0</formula>
    </cfRule>
  </conditionalFormatting>
  <conditionalFormatting sqref="C75">
    <cfRule type="cellIs" dxfId="0" priority="51" operator="equal">
      <formula>0</formula>
    </cfRule>
    <cfRule type="cellIs" dxfId="1" priority="50" operator="greaterThan">
      <formula>0</formula>
    </cfRule>
  </conditionalFormatting>
  <conditionalFormatting sqref="C77">
    <cfRule type="cellIs" dxfId="0" priority="49" operator="equal">
      <formula>0</formula>
    </cfRule>
    <cfRule type="cellIs" dxfId="1" priority="48" operator="greaterThan">
      <formula>0</formula>
    </cfRule>
  </conditionalFormatting>
  <conditionalFormatting sqref="C108">
    <cfRule type="cellIs" dxfId="0" priority="4" operator="greaterThanOrEqual">
      <formula>0</formula>
    </cfRule>
    <cfRule type="cellIs" dxfId="1" priority="3" operator="lessThan">
      <formula>0</formula>
    </cfRule>
  </conditionalFormatting>
  <conditionalFormatting sqref="C109">
    <cfRule type="cellIs" dxfId="0" priority="2" operator="greaterThanOrEqual">
      <formula>0</formula>
    </cfRule>
    <cfRule type="cellIs" dxfId="1" priority="1" operator="lessThan">
      <formula>0</formula>
    </cfRule>
  </conditionalFormatting>
  <conditionalFormatting sqref="E116">
    <cfRule type="cellIs" dxfId="3" priority="12" operator="greaterThanOrEqual">
      <formula>0</formula>
    </cfRule>
    <cfRule type="cellIs" dxfId="4" priority="11" operator="lessThan">
      <formula>0</formula>
    </cfRule>
  </conditionalFormatting>
  <conditionalFormatting sqref="E136">
    <cfRule type="cellIs" dxfId="3" priority="43" operator="greaterThanOrEqual">
      <formula>0</formula>
    </cfRule>
    <cfRule type="cellIs" dxfId="4" priority="42" operator="lessThan">
      <formula>0</formula>
    </cfRule>
  </conditionalFormatting>
  <conditionalFormatting sqref="E143">
    <cfRule type="cellIs" dxfId="3" priority="30" operator="greaterThanOrEqual">
      <formula>0</formula>
    </cfRule>
    <cfRule type="cellIs" dxfId="4" priority="29" operator="lessThan">
      <formula>0</formula>
    </cfRule>
  </conditionalFormatting>
  <conditionalFormatting sqref="E163">
    <cfRule type="cellIs" dxfId="3" priority="32" operator="greaterThanOrEqual">
      <formula>0</formula>
    </cfRule>
    <cfRule type="cellIs" dxfId="4" priority="31" operator="lessThan">
      <formula>0</formula>
    </cfRule>
  </conditionalFormatting>
  <conditionalFormatting sqref="E170">
    <cfRule type="cellIs" dxfId="3" priority="24" operator="greaterThanOrEqual">
      <formula>0</formula>
    </cfRule>
    <cfRule type="cellIs" dxfId="4" priority="23" operator="lessThan">
      <formula>0</formula>
    </cfRule>
  </conditionalFormatting>
  <conditionalFormatting sqref="E190">
    <cfRule type="cellIs" dxfId="3" priority="26" operator="greaterThanOrEqual">
      <formula>0</formula>
    </cfRule>
    <cfRule type="cellIs" dxfId="4" priority="25" operator="lessThan">
      <formula>0</formula>
    </cfRule>
  </conditionalFormatting>
  <conditionalFormatting sqref="C57:C66">
    <cfRule type="cellIs" dxfId="0" priority="55" operator="equal">
      <formula>0</formula>
    </cfRule>
    <cfRule type="cellIs" dxfId="1" priority="54" operator="greaterThan">
      <formula>0</formula>
    </cfRule>
  </conditionalFormatting>
  <conditionalFormatting sqref="C68:C69">
    <cfRule type="cellIs" dxfId="0" priority="53" operator="equal">
      <formula>0</formula>
    </cfRule>
    <cfRule type="cellIs" dxfId="1" priority="52" operator="greaterThan">
      <formula>0</formula>
    </cfRule>
  </conditionalFormatting>
  <conditionalFormatting sqref="C70:C74">
    <cfRule type="cellIs" dxfId="0" priority="41" operator="equal">
      <formula>0</formula>
    </cfRule>
    <cfRule type="cellIs" dxfId="1" priority="40" operator="greaterThan">
      <formula>0</formula>
    </cfRule>
  </conditionalFormatting>
  <conditionalFormatting sqref="C78:C79">
    <cfRule type="cellIs" dxfId="0" priority="10" operator="equal">
      <formula>0</formula>
    </cfRule>
    <cfRule type="cellIs" dxfId="1" priority="9" operator="greaterThan">
      <formula>0</formula>
    </cfRule>
  </conditionalFormatting>
  <conditionalFormatting sqref="C80:C84">
    <cfRule type="cellIs" dxfId="0" priority="39" operator="equal">
      <formula>0</formula>
    </cfRule>
    <cfRule type="cellIs" dxfId="1" priority="38" operator="greaterThan">
      <formula>0</formula>
    </cfRule>
  </conditionalFormatting>
  <conditionalFormatting sqref="C87:C89">
    <cfRule type="cellIs" dxfId="0" priority="47" operator="equal">
      <formula>0</formula>
    </cfRule>
    <cfRule type="cellIs" dxfId="1" priority="46" operator="greaterThan">
      <formula>0</formula>
    </cfRule>
  </conditionalFormatting>
  <conditionalFormatting sqref="C90:C91">
    <cfRule type="cellIs" dxfId="0" priority="8" operator="equal">
      <formula>0</formula>
    </cfRule>
    <cfRule type="cellIs" dxfId="1" priority="7" operator="greaterThan">
      <formula>0</formula>
    </cfRule>
  </conditionalFormatting>
  <conditionalFormatting sqref="C92:C94">
    <cfRule type="cellIs" dxfId="0" priority="37" operator="equal">
      <formula>0</formula>
    </cfRule>
    <cfRule type="cellIs" dxfId="1" priority="36" operator="greaterThan">
      <formula>0</formula>
    </cfRule>
  </conditionalFormatting>
  <conditionalFormatting sqref="C98:C107">
    <cfRule type="cellIs" dxfId="1" priority="20" operator="lessThan">
      <formula>0</formula>
    </cfRule>
    <cfRule type="cellIs" dxfId="2" priority="19" operator="greaterThanOrEqual">
      <formula>0</formula>
    </cfRule>
  </conditionalFormatting>
  <conditionalFormatting sqref="E118:E127">
    <cfRule type="cellIs" dxfId="0" priority="18" operator="equal">
      <formula>0</formula>
    </cfRule>
    <cfRule type="cellIs" dxfId="1" priority="17" operator="greaterThan">
      <formula>0</formula>
    </cfRule>
  </conditionalFormatting>
  <conditionalFormatting sqref="E145:E154">
    <cfRule type="cellIs" dxfId="0" priority="16" operator="equal">
      <formula>0</formula>
    </cfRule>
    <cfRule type="cellIs" dxfId="1" priority="15" operator="greaterThan">
      <formula>0</formula>
    </cfRule>
  </conditionalFormatting>
  <conditionalFormatting sqref="E172:E181">
    <cfRule type="cellIs" dxfId="0" priority="14" operator="equal">
      <formula>0</formula>
    </cfRule>
    <cfRule type="cellIs" dxfId="1" priority="13" operator="greaterThan">
      <formula>0</formula>
    </cfRule>
  </conditionalFormatting>
  <conditionalFormatting sqref="C47:C55 C85 C95:C96">
    <cfRule type="cellIs" dxfId="0" priority="57" operator="equal">
      <formula>0</formula>
    </cfRule>
  </conditionalFormatting>
  <conditionalFormatting sqref="C47:C55 C85 C95:C96 E144 E155:E162">
    <cfRule type="cellIs" dxfId="1" priority="56" operator="greaterThan">
      <formula>0</formula>
    </cfRule>
  </conditionalFormatting>
  <conditionalFormatting sqref="E117 E128:E135">
    <cfRule type="cellIs" dxfId="0" priority="45" operator="equal">
      <formula>0</formula>
    </cfRule>
    <cfRule type="cellIs" dxfId="1" priority="44" operator="greaterThan">
      <formula>0</formula>
    </cfRule>
  </conditionalFormatting>
  <conditionalFormatting sqref="E144 E155:E162">
    <cfRule type="cellIs" dxfId="2" priority="33" operator="equal">
      <formula>0</formula>
    </cfRule>
  </conditionalFormatting>
  <conditionalFormatting sqref="E171 E182:E189">
    <cfRule type="cellIs" dxfId="2" priority="28" operator="equal">
      <formula>0</formula>
    </cfRule>
    <cfRule type="cellIs" dxfId="1" priority="27" operator="greaterThan">
      <formula>0</formula>
    </cfRule>
  </conditionalFormatting>
  <pageMargins left="0.7" right="0.7" top="0.75" bottom="0.75" header="0.3" footer="0.3"/>
  <headerFooter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93"/>
  <sheetViews>
    <sheetView topLeftCell="A169" workbookViewId="0">
      <selection activeCell="G174" sqref="G174"/>
    </sheetView>
  </sheetViews>
  <sheetFormatPr defaultColWidth="9" defaultRowHeight="17.6"/>
  <cols>
    <col min="1" max="7" width="25.6111111111111" customWidth="1"/>
    <col min="8" max="9" width="20.625" customWidth="1"/>
  </cols>
  <sheetData>
    <row r="1" s="1" customFormat="1" ht="35" customHeight="1" spans="1:9">
      <c r="A1" s="2" t="str">
        <f>"Forecasts For the Year "&amp;IF(Main!B2,TEXT(EDATE(Main!B3,39),"mmmm yyyy"),TEXT(Main!B3+((Main!B5-Main!B3)*39+39),"mmmm yyyy"))&amp;" to "&amp;IF(Main!B2,TEXT(EDATE(Main!B3,42)-1,"mmmm yyyy"),TEXT(Main!B3+((Main!B5-Main!B3)*42+41),"mmmm yyyy"))</f>
        <v>Forecasts For the Year August 2028 to October 2028</v>
      </c>
      <c r="B1" s="2"/>
      <c r="C1" s="2"/>
      <c r="D1" s="2"/>
      <c r="E1" s="2"/>
      <c r="F1" s="2"/>
      <c r="G1" s="2"/>
      <c r="H1" s="38"/>
      <c r="I1" s="38"/>
    </row>
    <row r="2" s="1" customFormat="1" ht="35" customHeight="1" spans="1:9">
      <c r="A2" s="3" t="s">
        <v>33</v>
      </c>
      <c r="B2" s="4" t="s">
        <v>62</v>
      </c>
      <c r="C2" s="5" cm="1">
        <f ca="1" t="array" ref="C2">INDIRECT("'"&amp;Main!B9&amp;"'!$C$16")</f>
        <v>0</v>
      </c>
      <c r="D2" s="5"/>
      <c r="E2" s="5"/>
      <c r="F2" s="5"/>
      <c r="G2" s="5"/>
      <c r="H2" s="38"/>
      <c r="I2" s="38"/>
    </row>
    <row r="3" s="1" customFormat="1" ht="35" customHeight="1" spans="1:9">
      <c r="A3" s="6"/>
      <c r="B3" s="7" t="s">
        <v>63</v>
      </c>
      <c r="C3" s="8">
        <f ca="1">E190</f>
        <v>0</v>
      </c>
      <c r="D3" s="8"/>
      <c r="E3" s="8"/>
      <c r="F3" s="8"/>
      <c r="G3" s="8"/>
      <c r="H3" s="38"/>
      <c r="I3" s="38"/>
    </row>
    <row r="4" s="1" customFormat="1" ht="35" customHeight="1" spans="1:9">
      <c r="A4" s="9" t="s">
        <v>42</v>
      </c>
      <c r="B4" s="10"/>
      <c r="C4" s="11">
        <f ca="1">SUM(C2:G3)</f>
        <v>0</v>
      </c>
      <c r="D4" s="11"/>
      <c r="E4" s="11"/>
      <c r="F4" s="11"/>
      <c r="G4" s="11"/>
      <c r="H4" s="15"/>
      <c r="I4" s="45"/>
    </row>
    <row r="5" s="1" customFormat="1" ht="35" customHeight="1" spans="1:9">
      <c r="A5" s="12" t="s">
        <v>64</v>
      </c>
      <c r="B5" s="12"/>
      <c r="C5" s="13">
        <f ca="1">C108</f>
        <v>0</v>
      </c>
      <c r="D5" s="14"/>
      <c r="E5" s="14"/>
      <c r="F5" s="14"/>
      <c r="G5" s="14"/>
      <c r="H5" s="15"/>
      <c r="I5" s="45"/>
    </row>
    <row r="6" s="1" customFormat="1" ht="35" customHeight="1" spans="1:9">
      <c r="A6" s="15"/>
      <c r="B6" s="15"/>
      <c r="C6" s="15"/>
      <c r="D6" s="15"/>
      <c r="E6" s="15"/>
      <c r="F6" s="15"/>
      <c r="G6" s="15"/>
      <c r="H6" s="15"/>
      <c r="I6" s="45"/>
    </row>
    <row r="7" s="1" customFormat="1" ht="35" customHeight="1" spans="1:9">
      <c r="A7" s="15"/>
      <c r="B7" s="15"/>
      <c r="C7" s="15"/>
      <c r="D7" s="15"/>
      <c r="E7" s="15"/>
      <c r="F7" s="15"/>
      <c r="G7" s="15"/>
      <c r="H7" s="15"/>
      <c r="I7" s="45"/>
    </row>
    <row r="8" s="1" customFormat="1" ht="35" customHeight="1" spans="1:9">
      <c r="A8" s="16" t="str">
        <f>IF(Main!B2,TEXT(EDATE(Main!B3,39),"dd mmmm yyyy"),TEXT(Main!B3+((Main!B5-Main!B3)*39+39),"dd mmmm yyyy"))&amp;" - "&amp;IF(Main!B2,TEXT(EDATE(Main!B3,40)-1,"dd mmmm yyyy"),TEXT(Main!B3+((Main!B5-Main!B3)*40+39),"dd mmmm yyyy"))&amp;" / "&amp;" (Revenue / Deferred Debts Or Expenses)"</f>
        <v>01 August 2028 - 31 August 2028 /  (Revenue / Deferred Debts Or Expenses)</v>
      </c>
      <c r="B8" s="17"/>
      <c r="C8" s="17"/>
      <c r="D8" s="17"/>
      <c r="E8" s="17"/>
      <c r="F8" s="17"/>
      <c r="G8" s="17"/>
      <c r="H8" s="15"/>
      <c r="I8" s="45"/>
    </row>
    <row r="9" s="1" customFormat="1" ht="35" customHeight="1" spans="1:9">
      <c r="A9" s="18" t="s">
        <v>29</v>
      </c>
      <c r="B9" s="18" t="s">
        <v>43</v>
      </c>
      <c r="C9" s="18"/>
      <c r="D9" s="18" t="s">
        <v>44</v>
      </c>
      <c r="E9" s="18"/>
      <c r="F9" s="18" t="s">
        <v>45</v>
      </c>
      <c r="G9" s="18"/>
      <c r="H9" s="15"/>
      <c r="I9" s="45"/>
    </row>
    <row r="10" s="1" customFormat="1" ht="35" customHeight="1" spans="1:9">
      <c r="A10" s="19"/>
      <c r="B10" s="20"/>
      <c r="C10" s="20"/>
      <c r="D10" s="20"/>
      <c r="E10" s="20"/>
      <c r="F10" s="39">
        <v>0</v>
      </c>
      <c r="G10" s="40"/>
      <c r="H10" s="15"/>
      <c r="I10" s="45"/>
    </row>
    <row r="11" s="1" customFormat="1" ht="35" customHeight="1" spans="1:9">
      <c r="A11" s="19"/>
      <c r="B11" s="21"/>
      <c r="C11" s="22"/>
      <c r="D11" s="23"/>
      <c r="E11" s="41"/>
      <c r="F11" s="39">
        <v>0</v>
      </c>
      <c r="G11" s="40"/>
      <c r="H11" s="15"/>
      <c r="I11" s="45"/>
    </row>
    <row r="12" s="1" customFormat="1" ht="35" customHeight="1" spans="1:9">
      <c r="A12" s="19"/>
      <c r="B12" s="21"/>
      <c r="C12" s="22"/>
      <c r="D12" s="23"/>
      <c r="E12" s="41"/>
      <c r="F12" s="39">
        <v>0</v>
      </c>
      <c r="G12" s="40"/>
      <c r="H12" s="15"/>
      <c r="I12" s="45"/>
    </row>
    <row r="13" s="1" customFormat="1" ht="35" customHeight="1" spans="1:9">
      <c r="A13" s="19"/>
      <c r="B13" s="21"/>
      <c r="C13" s="22"/>
      <c r="D13" s="23"/>
      <c r="E13" s="41"/>
      <c r="F13" s="39">
        <v>0</v>
      </c>
      <c r="G13" s="40"/>
      <c r="H13" s="15"/>
      <c r="I13" s="45"/>
    </row>
    <row r="14" s="1" customFormat="1" ht="35" customHeight="1" spans="1:9">
      <c r="A14" s="19"/>
      <c r="B14" s="21"/>
      <c r="C14" s="22"/>
      <c r="D14" s="23"/>
      <c r="E14" s="41"/>
      <c r="F14" s="39">
        <v>0</v>
      </c>
      <c r="G14" s="40"/>
      <c r="H14" s="15"/>
      <c r="I14" s="45"/>
    </row>
    <row r="15" s="1" customFormat="1" ht="35" customHeight="1" spans="1:9">
      <c r="A15" s="19"/>
      <c r="B15" s="21"/>
      <c r="C15" s="22"/>
      <c r="D15" s="23"/>
      <c r="E15" s="41"/>
      <c r="F15" s="39">
        <v>0</v>
      </c>
      <c r="G15" s="40"/>
      <c r="H15" s="15"/>
      <c r="I15" s="45"/>
    </row>
    <row r="16" s="1" customFormat="1" ht="35" customHeight="1" spans="1:9">
      <c r="A16" s="24"/>
      <c r="B16" s="25"/>
      <c r="C16" s="26"/>
      <c r="D16" s="27" t="s">
        <v>46</v>
      </c>
      <c r="E16" s="42"/>
      <c r="F16" s="43">
        <f>SUM(F10:G15)</f>
        <v>0</v>
      </c>
      <c r="G16" s="44"/>
      <c r="H16" s="15"/>
      <c r="I16" s="45"/>
    </row>
    <row r="17" s="1" customFormat="1" ht="35" customHeight="1" spans="1:9">
      <c r="A17" s="15"/>
      <c r="B17" s="15"/>
      <c r="C17" s="15"/>
      <c r="D17" s="15"/>
      <c r="E17" s="15"/>
      <c r="F17" s="15"/>
      <c r="G17" s="15"/>
      <c r="H17" s="15"/>
      <c r="I17" s="45"/>
    </row>
    <row r="18" s="1" customFormat="1" ht="35" customHeight="1" spans="1:9">
      <c r="A18" s="15"/>
      <c r="B18" s="15"/>
      <c r="C18" s="15"/>
      <c r="D18" s="15"/>
      <c r="E18" s="15"/>
      <c r="F18" s="15"/>
      <c r="G18" s="15"/>
      <c r="H18" s="15"/>
      <c r="I18" s="45"/>
    </row>
    <row r="19" s="1" customFormat="1" ht="35" customHeight="1" spans="1:9">
      <c r="A19" s="15"/>
      <c r="B19" s="15"/>
      <c r="C19" s="15"/>
      <c r="D19" s="15"/>
      <c r="E19" s="15"/>
      <c r="F19" s="15"/>
      <c r="G19" s="15"/>
      <c r="H19" s="15"/>
      <c r="I19" s="45"/>
    </row>
    <row r="20" s="1" customFormat="1" ht="35" customHeight="1" spans="1:9">
      <c r="A20" s="16" t="str">
        <f>IF(Main!B2,TEXT(EDATE(Main!B3,40),"dd mmmm yyyy"),TEXT(Main!B3+((Main!B5-Main!B3)*40+40),"dd mmmm yyyy"))&amp;" - "&amp;IF(Main!B2,TEXT(EDATE(Main!B3,41)-1,"dd mmmm yyyy"),TEXT(Main!B3+((Main!B5-Main!B3)*41+40),"dd mmmm yyyy"))&amp;" / "&amp;" (Revenue / Deferred Debts Or Expenses)"</f>
        <v>01 September 2028 - 30 September 2028 /  (Revenue / Deferred Debts Or Expenses)</v>
      </c>
      <c r="B20" s="17"/>
      <c r="C20" s="17"/>
      <c r="D20" s="17"/>
      <c r="E20" s="17"/>
      <c r="F20" s="17"/>
      <c r="G20" s="17"/>
      <c r="H20" s="15"/>
      <c r="I20" s="45"/>
    </row>
    <row r="21" s="1" customFormat="1" ht="35" customHeight="1" spans="1:9">
      <c r="A21" s="18" t="s">
        <v>29</v>
      </c>
      <c r="B21" s="18" t="s">
        <v>43</v>
      </c>
      <c r="C21" s="18"/>
      <c r="D21" s="18" t="s">
        <v>44</v>
      </c>
      <c r="E21" s="18"/>
      <c r="F21" s="18" t="s">
        <v>45</v>
      </c>
      <c r="G21" s="18"/>
      <c r="H21" s="15"/>
      <c r="I21" s="45"/>
    </row>
    <row r="22" s="1" customFormat="1" ht="35" customHeight="1" spans="1:9">
      <c r="A22" s="19"/>
      <c r="B22" s="20"/>
      <c r="C22" s="20"/>
      <c r="D22" s="20"/>
      <c r="E22" s="20"/>
      <c r="F22" s="39">
        <v>0</v>
      </c>
      <c r="G22" s="40"/>
      <c r="H22" s="15"/>
      <c r="I22" s="45"/>
    </row>
    <row r="23" s="1" customFormat="1" ht="35" customHeight="1" spans="1:9">
      <c r="A23" s="19"/>
      <c r="B23" s="21"/>
      <c r="C23" s="22"/>
      <c r="D23" s="23"/>
      <c r="E23" s="41"/>
      <c r="F23" s="39">
        <v>0</v>
      </c>
      <c r="G23" s="40"/>
      <c r="H23" s="15"/>
      <c r="I23" s="45"/>
    </row>
    <row r="24" s="1" customFormat="1" ht="35" customHeight="1" spans="1:9">
      <c r="A24" s="19"/>
      <c r="B24" s="21"/>
      <c r="C24" s="22"/>
      <c r="D24" s="23"/>
      <c r="E24" s="41"/>
      <c r="F24" s="39">
        <v>0</v>
      </c>
      <c r="G24" s="40"/>
      <c r="H24" s="15"/>
      <c r="I24" s="45"/>
    </row>
    <row r="25" s="1" customFormat="1" ht="35" customHeight="1" spans="1:9">
      <c r="A25" s="19"/>
      <c r="B25" s="21"/>
      <c r="C25" s="22"/>
      <c r="D25" s="23"/>
      <c r="E25" s="41"/>
      <c r="F25" s="39">
        <v>0</v>
      </c>
      <c r="G25" s="40"/>
      <c r="H25" s="15"/>
      <c r="I25" s="45"/>
    </row>
    <row r="26" s="1" customFormat="1" ht="35" customHeight="1" spans="1:9">
      <c r="A26" s="19"/>
      <c r="B26" s="21"/>
      <c r="C26" s="22"/>
      <c r="D26" s="23"/>
      <c r="E26" s="41"/>
      <c r="F26" s="39">
        <v>0</v>
      </c>
      <c r="G26" s="40"/>
      <c r="H26" s="15"/>
      <c r="I26" s="45"/>
    </row>
    <row r="27" s="1" customFormat="1" ht="35" customHeight="1" spans="1:9">
      <c r="A27" s="19"/>
      <c r="B27" s="21"/>
      <c r="C27" s="22"/>
      <c r="D27" s="23"/>
      <c r="E27" s="41"/>
      <c r="F27" s="39">
        <v>0</v>
      </c>
      <c r="G27" s="40"/>
      <c r="H27" s="15"/>
      <c r="I27" s="45"/>
    </row>
    <row r="28" s="1" customFormat="1" ht="35" customHeight="1" spans="1:9">
      <c r="A28" s="24"/>
      <c r="B28" s="25"/>
      <c r="C28" s="26"/>
      <c r="D28" s="27" t="s">
        <v>46</v>
      </c>
      <c r="E28" s="42"/>
      <c r="F28" s="43">
        <f>SUM(F22:G27)</f>
        <v>0</v>
      </c>
      <c r="G28" s="44"/>
      <c r="H28" s="15"/>
      <c r="I28" s="45"/>
    </row>
    <row r="29" s="1" customFormat="1" ht="35" customHeight="1" spans="1:9">
      <c r="A29" s="15"/>
      <c r="B29" s="15"/>
      <c r="C29" s="15"/>
      <c r="D29" s="15"/>
      <c r="E29" s="15"/>
      <c r="F29" s="15"/>
      <c r="G29" s="15"/>
      <c r="H29" s="15"/>
      <c r="I29" s="45"/>
    </row>
    <row r="30" s="1" customFormat="1" ht="35" customHeight="1" spans="1:9">
      <c r="A30" s="15"/>
      <c r="B30" s="15"/>
      <c r="C30" s="15"/>
      <c r="D30" s="15"/>
      <c r="E30" s="15"/>
      <c r="F30" s="15"/>
      <c r="G30" s="15"/>
      <c r="H30" s="15"/>
      <c r="I30" s="45"/>
    </row>
    <row r="31" s="1" customFormat="1" ht="35" customHeight="1" spans="1:9">
      <c r="A31" s="15"/>
      <c r="B31" s="15"/>
      <c r="C31" s="15"/>
      <c r="D31" s="15"/>
      <c r="E31" s="15"/>
      <c r="F31" s="15"/>
      <c r="G31" s="15"/>
      <c r="H31" s="15"/>
      <c r="I31" s="45"/>
    </row>
    <row r="32" s="1" customFormat="1" ht="35" customHeight="1" spans="1:9">
      <c r="A32" s="16" t="str">
        <f>IF(Main!B2,TEXT(EDATE(Main!B3,41),"dd mmmm yyyy"),TEXT(Main!B3+((Main!B5-Main!B3)*41+41),"dd mmmm yyyy"))&amp;" - "&amp;IF(Main!B2,TEXT(EDATE(Main!B3,42)-1,"dd mmmm yyyy"),TEXT(Main!B3+((Main!B5-Main!B3)*42+41),"dd mmmm yyyy"))&amp;" / "&amp;" (Revenue / Deferred Debts Or Expenses)"</f>
        <v>01 October 2028 - 31 October 2028 /  (Revenue / Deferred Debts Or Expenses)</v>
      </c>
      <c r="B32" s="17"/>
      <c r="C32" s="17"/>
      <c r="D32" s="17"/>
      <c r="E32" s="17"/>
      <c r="F32" s="17"/>
      <c r="G32" s="17"/>
      <c r="H32" s="15"/>
      <c r="I32" s="45"/>
    </row>
    <row r="33" s="1" customFormat="1" ht="35" customHeight="1" spans="1:9">
      <c r="A33" s="18" t="s">
        <v>29</v>
      </c>
      <c r="B33" s="18" t="s">
        <v>43</v>
      </c>
      <c r="C33" s="18"/>
      <c r="D33" s="18" t="s">
        <v>44</v>
      </c>
      <c r="E33" s="18"/>
      <c r="F33" s="18" t="s">
        <v>45</v>
      </c>
      <c r="G33" s="18"/>
      <c r="H33" s="15"/>
      <c r="I33" s="45"/>
    </row>
    <row r="34" s="1" customFormat="1" ht="35" customHeight="1" spans="1:9">
      <c r="A34" s="19"/>
      <c r="B34" s="20"/>
      <c r="C34" s="20"/>
      <c r="D34" s="20"/>
      <c r="E34" s="20"/>
      <c r="F34" s="39">
        <v>0</v>
      </c>
      <c r="G34" s="40"/>
      <c r="H34" s="15"/>
      <c r="I34" s="45"/>
    </row>
    <row r="35" s="1" customFormat="1" ht="35" customHeight="1" spans="1:9">
      <c r="A35" s="19"/>
      <c r="B35" s="21"/>
      <c r="C35" s="22"/>
      <c r="D35" s="23"/>
      <c r="E35" s="41"/>
      <c r="F35" s="39">
        <v>0</v>
      </c>
      <c r="G35" s="40"/>
      <c r="H35" s="15"/>
      <c r="I35" s="45"/>
    </row>
    <row r="36" s="1" customFormat="1" ht="35" customHeight="1" spans="1:9">
      <c r="A36" s="19"/>
      <c r="B36" s="21"/>
      <c r="C36" s="22"/>
      <c r="D36" s="23"/>
      <c r="E36" s="41"/>
      <c r="F36" s="39">
        <v>0</v>
      </c>
      <c r="G36" s="40"/>
      <c r="H36" s="15"/>
      <c r="I36" s="45"/>
    </row>
    <row r="37" s="1" customFormat="1" ht="35" customHeight="1" spans="1:9">
      <c r="A37" s="19"/>
      <c r="B37" s="21"/>
      <c r="C37" s="22"/>
      <c r="D37" s="23"/>
      <c r="E37" s="41"/>
      <c r="F37" s="39">
        <v>0</v>
      </c>
      <c r="G37" s="40"/>
      <c r="H37" s="15"/>
      <c r="I37" s="45"/>
    </row>
    <row r="38" s="1" customFormat="1" ht="35" customHeight="1" spans="1:9">
      <c r="A38" s="19"/>
      <c r="B38" s="21"/>
      <c r="C38" s="22"/>
      <c r="D38" s="23"/>
      <c r="E38" s="41"/>
      <c r="F38" s="39">
        <v>0</v>
      </c>
      <c r="G38" s="40"/>
      <c r="H38" s="15"/>
      <c r="I38" s="45"/>
    </row>
    <row r="39" s="1" customFormat="1" ht="35" customHeight="1" spans="1:9">
      <c r="A39" s="19"/>
      <c r="B39" s="21"/>
      <c r="C39" s="22"/>
      <c r="D39" s="23"/>
      <c r="E39" s="41"/>
      <c r="F39" s="39">
        <v>0</v>
      </c>
      <c r="G39" s="40"/>
      <c r="H39" s="15"/>
      <c r="I39" s="45"/>
    </row>
    <row r="40" s="1" customFormat="1" ht="35" customHeight="1" spans="1:9">
      <c r="A40" s="24"/>
      <c r="B40" s="25"/>
      <c r="C40" s="26"/>
      <c r="D40" s="27" t="s">
        <v>46</v>
      </c>
      <c r="E40" s="42"/>
      <c r="F40" s="43">
        <f>SUM(F34:G39)</f>
        <v>0</v>
      </c>
      <c r="G40" s="44"/>
      <c r="H40" s="15"/>
      <c r="I40" s="45"/>
    </row>
    <row r="41" s="1" customFormat="1" ht="35" customHeight="1" spans="1:9">
      <c r="A41" s="15"/>
      <c r="B41" s="15"/>
      <c r="C41" s="15"/>
      <c r="D41" s="15"/>
      <c r="E41" s="15"/>
      <c r="F41" s="15"/>
      <c r="G41" s="15"/>
      <c r="H41" s="15"/>
      <c r="I41" s="45"/>
    </row>
    <row r="42" s="1" customFormat="1" ht="35" customHeight="1" spans="1:9">
      <c r="A42" s="15"/>
      <c r="B42" s="15"/>
      <c r="C42" s="15"/>
      <c r="D42" s="15"/>
      <c r="E42" s="15"/>
      <c r="F42" s="15"/>
      <c r="G42" s="15"/>
      <c r="H42" s="15"/>
      <c r="I42" s="45"/>
    </row>
    <row r="43" s="1" customFormat="1" ht="35" customHeight="1" spans="1:9">
      <c r="A43" s="15"/>
      <c r="B43" s="15"/>
      <c r="C43" s="15"/>
      <c r="D43" s="15"/>
      <c r="E43" s="15"/>
      <c r="F43" s="15"/>
      <c r="G43" s="15"/>
      <c r="H43" s="15"/>
      <c r="I43" s="45"/>
    </row>
    <row r="44" s="1" customFormat="1" ht="35" customHeight="1" spans="1:9">
      <c r="A44" s="28" t="str">
        <f>"Fixed Expense For the Year "&amp;IF(Main!B2,TEXT(EDATE(Main!B3,39),"mmmm yyyy"),TEXT(Main!B3+((Main!B5-Main!B3)*39+39),"mmmm yyyy"))&amp;" to "&amp;IF(Main!B2,TEXT(EDATE(Main!B3,42)-1,"mmmm yyyy"),TEXT(Main!B3+((Main!B5-Main!B3)*42+41),"mmmm yyyy"))</f>
        <v>Fixed Expense For the Year August 2028 to October 2028</v>
      </c>
      <c r="B44" s="29"/>
      <c r="C44" s="30"/>
      <c r="D44" s="15"/>
      <c r="E44" s="15"/>
      <c r="F44" s="15"/>
      <c r="G44" s="15"/>
      <c r="H44" s="15"/>
      <c r="I44" s="45"/>
    </row>
    <row r="45" s="1" customFormat="1" ht="35" customHeight="1" spans="1:9">
      <c r="A45" s="2" t="s">
        <v>43</v>
      </c>
      <c r="B45" s="2" t="s">
        <v>44</v>
      </c>
      <c r="C45" s="2" t="s">
        <v>45</v>
      </c>
      <c r="D45" s="15"/>
      <c r="E45" s="15"/>
      <c r="F45" s="15"/>
      <c r="G45" s="15"/>
      <c r="H45" s="15"/>
      <c r="I45" s="45"/>
    </row>
    <row r="46" s="1" customFormat="1" ht="35" customHeight="1" spans="1:9">
      <c r="A46" s="31" t="s">
        <v>47</v>
      </c>
      <c r="B46" s="32"/>
      <c r="C46" s="33"/>
      <c r="D46" s="15"/>
      <c r="E46" s="15"/>
      <c r="F46" s="15"/>
      <c r="G46" s="15"/>
      <c r="H46" s="15"/>
      <c r="I46" s="45"/>
    </row>
    <row r="47" s="1" customFormat="1" ht="35" customHeight="1" spans="1:9">
      <c r="A47" s="34" t="str" cm="1">
        <f ca="1" t="array" ref="A47">IF((INDIRECT("'"&amp;INDIRECT("Main!B9")&amp;"'!A61"))=0,"",(INDIRECT("'"&amp;INDIRECT("Main!B9")&amp;"'!A61")))</f>
        <v/>
      </c>
      <c r="B47" s="34" t="str" cm="1">
        <f ca="1" t="array" ref="B47">IF((INDIRECT("'"&amp;INDIRECT("Main!B9")&amp;"'!B61"))=0,"",(INDIRECT("'"&amp;INDIRECT("Main!B9")&amp;"'!B61")))</f>
        <v/>
      </c>
      <c r="C47" s="35">
        <v>0</v>
      </c>
      <c r="D47" s="15"/>
      <c r="E47" s="15"/>
      <c r="F47" s="15"/>
      <c r="G47" s="15"/>
      <c r="H47" s="15"/>
      <c r="I47" s="45"/>
    </row>
    <row r="48" s="1" customFormat="1" ht="35" customHeight="1" spans="1:9">
      <c r="A48" s="34" t="str" cm="1">
        <f ca="1" t="array" ref="A48">IF((INDIRECT("'"&amp;INDIRECT("Main!B9")&amp;"'!A62"))=0,"",(INDIRECT("'"&amp;INDIRECT("Main!B9")&amp;"'!A62")))</f>
        <v/>
      </c>
      <c r="B48" s="34" t="str" cm="1">
        <f ca="1" t="array" ref="B48">IF((INDIRECT("'"&amp;INDIRECT("Main!B9")&amp;"'!B62"))=0,"",(INDIRECT("'"&amp;INDIRECT("Main!B9")&amp;"'!B62")))</f>
        <v/>
      </c>
      <c r="C48" s="35">
        <v>0</v>
      </c>
      <c r="D48" s="15"/>
      <c r="E48" s="15"/>
      <c r="F48" s="15"/>
      <c r="G48" s="15"/>
      <c r="H48" s="15"/>
      <c r="I48" s="45"/>
    </row>
    <row r="49" s="1" customFormat="1" ht="35" customHeight="1" spans="1:9">
      <c r="A49" s="34" t="str" cm="1">
        <f ca="1" t="array" ref="A49">IF((INDIRECT("'"&amp;INDIRECT("Main!B9")&amp;"'!A63"))=0,"",(INDIRECT("'"&amp;INDIRECT("Main!B9")&amp;"'!A63")))</f>
        <v/>
      </c>
      <c r="B49" s="34" t="str" cm="1">
        <f ca="1" t="array" ref="B49">IF((INDIRECT("'"&amp;INDIRECT("Main!B9")&amp;"'!B63"))=0,"",(INDIRECT("'"&amp;INDIRECT("Main!B9")&amp;"'!B63")))</f>
        <v/>
      </c>
      <c r="C49" s="35">
        <v>0</v>
      </c>
      <c r="D49" s="15"/>
      <c r="E49" s="15"/>
      <c r="F49" s="15"/>
      <c r="G49" s="15"/>
      <c r="H49" s="15"/>
      <c r="I49" s="45"/>
    </row>
    <row r="50" s="1" customFormat="1" ht="35" customHeight="1" spans="1:9">
      <c r="A50" s="34" t="str" cm="1">
        <f ca="1" t="array" ref="A50">IF((INDIRECT("'"&amp;INDIRECT("Main!B9")&amp;"'!A64"))=0,"",(INDIRECT("'"&amp;INDIRECT("Main!B9")&amp;"'!A64")))</f>
        <v/>
      </c>
      <c r="B50" s="34" t="str" cm="1">
        <f ca="1" t="array" ref="B50">IF((INDIRECT("'"&amp;INDIRECT("Main!B9")&amp;"'!B64"))=0,"",(INDIRECT("'"&amp;INDIRECT("Main!B9")&amp;"'!B64")))</f>
        <v/>
      </c>
      <c r="C50" s="35">
        <v>0</v>
      </c>
      <c r="D50" s="15"/>
      <c r="E50" s="15"/>
      <c r="F50" s="15"/>
      <c r="G50" s="15"/>
      <c r="H50" s="15"/>
      <c r="I50" s="45"/>
    </row>
    <row r="51" s="1" customFormat="1" ht="35" customHeight="1" spans="1:9">
      <c r="A51" s="34" t="str" cm="1">
        <f ca="1" t="array" ref="A51">IF((INDIRECT("'"&amp;INDIRECT("Main!B9")&amp;"'!A65"))=0,"",(INDIRECT("'"&amp;INDIRECT("Main!B9")&amp;"'!A65")))</f>
        <v/>
      </c>
      <c r="B51" s="34" t="str" cm="1">
        <f ca="1" t="array" ref="B51">IF((INDIRECT("'"&amp;INDIRECT("Main!B9")&amp;"'!B65"))=0,"",(INDIRECT("'"&amp;INDIRECT("Main!B9")&amp;"'!B65")))</f>
        <v/>
      </c>
      <c r="C51" s="35">
        <v>0</v>
      </c>
      <c r="D51" s="15"/>
      <c r="E51" s="15"/>
      <c r="F51" s="15"/>
      <c r="G51" s="15"/>
      <c r="H51" s="15"/>
      <c r="I51" s="45"/>
    </row>
    <row r="52" s="1" customFormat="1" ht="35" customHeight="1" spans="1:9">
      <c r="A52" s="34" t="str" cm="1">
        <f ca="1" t="array" ref="A52">IF((INDIRECT("'"&amp;INDIRECT("Main!B9")&amp;"'!A66"))=0,"",(INDIRECT("'"&amp;INDIRECT("Main!B9")&amp;"'!A66")))</f>
        <v/>
      </c>
      <c r="B52" s="34" t="str" cm="1">
        <f ca="1" t="array" ref="B52">IF((INDIRECT("'"&amp;INDIRECT("Main!B9")&amp;"'!B66"))=0,"",(INDIRECT("'"&amp;INDIRECT("Main!B9")&amp;"'!B66")))</f>
        <v/>
      </c>
      <c r="C52" s="35">
        <v>0</v>
      </c>
      <c r="D52" s="15"/>
      <c r="E52" s="15"/>
      <c r="F52" s="15"/>
      <c r="G52" s="15"/>
      <c r="H52" s="15"/>
      <c r="I52" s="45"/>
    </row>
    <row r="53" s="1" customFormat="1" ht="35" customHeight="1" spans="1:9">
      <c r="A53" s="34" t="str" cm="1">
        <f ca="1" t="array" ref="A53">IF((INDIRECT("'"&amp;INDIRECT("Main!B9")&amp;"'!A67"))=0,"",(INDIRECT("'"&amp;INDIRECT("Main!B9")&amp;"'!A67")))</f>
        <v/>
      </c>
      <c r="B53" s="34" t="str" cm="1">
        <f ca="1" t="array" ref="B53">IF((INDIRECT("'"&amp;INDIRECT("Main!B9")&amp;"'!B67"))=0,"",(INDIRECT("'"&amp;INDIRECT("Main!B9")&amp;"'!B67")))</f>
        <v/>
      </c>
      <c r="C53" s="35">
        <v>0</v>
      </c>
      <c r="D53" s="15"/>
      <c r="E53" s="15"/>
      <c r="F53" s="15"/>
      <c r="G53" s="15"/>
      <c r="H53" s="15"/>
      <c r="I53" s="45"/>
    </row>
    <row r="54" s="1" customFormat="1" ht="35" customHeight="1" spans="1:9">
      <c r="A54" s="34" t="str" cm="1">
        <f ca="1" t="array" ref="A54">IF((INDIRECT("'"&amp;INDIRECT("Main!B9")&amp;"'!A68"))=0,"",(INDIRECT("'"&amp;INDIRECT("Main!B9")&amp;"'!A68")))</f>
        <v/>
      </c>
      <c r="B54" s="34" t="str" cm="1">
        <f ca="1" t="array" ref="B54">IF((INDIRECT("'"&amp;INDIRECT("Main!B9")&amp;"'!B68"))=0,"",(INDIRECT("'"&amp;INDIRECT("Main!B9")&amp;"'!B68")))</f>
        <v/>
      </c>
      <c r="C54" s="35">
        <v>0</v>
      </c>
      <c r="D54" s="15"/>
      <c r="E54" s="15"/>
      <c r="F54" s="15"/>
      <c r="G54" s="15"/>
      <c r="H54" s="15"/>
      <c r="I54" s="45"/>
    </row>
    <row r="55" s="1" customFormat="1" ht="35" customHeight="1" spans="1:9">
      <c r="A55" s="36"/>
      <c r="B55" s="37" t="s">
        <v>48</v>
      </c>
      <c r="C55" s="35">
        <f>SUM(C47:C54)</f>
        <v>0</v>
      </c>
      <c r="D55" s="15"/>
      <c r="E55" s="15"/>
      <c r="F55" s="15"/>
      <c r="G55" s="15"/>
      <c r="H55" s="15"/>
      <c r="I55" s="45"/>
    </row>
    <row r="56" s="1" customFormat="1" ht="35" customHeight="1" spans="1:9">
      <c r="A56" s="83" t="s">
        <v>49</v>
      </c>
      <c r="B56" s="84"/>
      <c r="C56" s="85"/>
      <c r="D56" s="15"/>
      <c r="E56" s="15"/>
      <c r="F56" s="15"/>
      <c r="G56" s="15"/>
      <c r="H56" s="15"/>
      <c r="I56" s="45"/>
    </row>
    <row r="57" s="1" customFormat="1" ht="35" customHeight="1" spans="1:9">
      <c r="A57" s="34" t="str" cm="1">
        <f ca="1" t="array" ref="A57">IF((INDIRECT("'"&amp;INDIRECT("Main!B9")&amp;"'!A71"))=0,"",(INDIRECT("'"&amp;INDIRECT("Main!B9")&amp;"'!A71")))</f>
        <v/>
      </c>
      <c r="B57" s="34" t="str" cm="1">
        <f ca="1" t="array" ref="B57">IF((INDIRECT("'"&amp;INDIRECT("Main!B9")&amp;"'!B71"))=0,"",(INDIRECT("'"&amp;INDIRECT("Main!B9")&amp;"'!B71")))</f>
        <v/>
      </c>
      <c r="C57" s="35">
        <v>0</v>
      </c>
      <c r="D57" s="15"/>
      <c r="E57" s="15"/>
      <c r="F57" s="15"/>
      <c r="G57" s="15"/>
      <c r="H57" s="15"/>
      <c r="I57" s="45"/>
    </row>
    <row r="58" s="1" customFormat="1" ht="35" customHeight="1" spans="1:9">
      <c r="A58" s="34" t="str" cm="1">
        <f ca="1" t="array" ref="A58">IF((INDIRECT("'"&amp;INDIRECT("Main!B9")&amp;"'!A72"))=0,"",(INDIRECT("'"&amp;INDIRECT("Main!B9")&amp;"'!A72")))</f>
        <v/>
      </c>
      <c r="B58" s="34" t="str" cm="1">
        <f ca="1" t="array" ref="B58">IF((INDIRECT("'"&amp;INDIRECT("Main!B9")&amp;"'!B72"))=0,"",(INDIRECT("'"&amp;INDIRECT("Main!B9")&amp;"'!B72")))</f>
        <v/>
      </c>
      <c r="C58" s="35">
        <v>0</v>
      </c>
      <c r="D58" s="15"/>
      <c r="E58" s="15"/>
      <c r="F58" s="15"/>
      <c r="G58" s="15"/>
      <c r="H58" s="15"/>
      <c r="I58" s="45"/>
    </row>
    <row r="59" s="1" customFormat="1" ht="35" customHeight="1" spans="1:9">
      <c r="A59" s="34" t="str" cm="1">
        <f ca="1" t="array" ref="A59">IF((INDIRECT("'"&amp;INDIRECT("Main!B9")&amp;"'!A73"))=0,"",(INDIRECT("'"&amp;INDIRECT("Main!B9")&amp;"'!A73")))</f>
        <v/>
      </c>
      <c r="B59" s="34" t="str" cm="1">
        <f ca="1" t="array" ref="B59">IF((INDIRECT("'"&amp;INDIRECT("Main!B9")&amp;"'!B73"))=0,"",(INDIRECT("'"&amp;INDIRECT("Main!B9")&amp;"'!B73")))</f>
        <v/>
      </c>
      <c r="C59" s="35">
        <v>0</v>
      </c>
      <c r="D59" s="15"/>
      <c r="E59" s="15"/>
      <c r="F59" s="15"/>
      <c r="G59" s="15"/>
      <c r="H59" s="15"/>
      <c r="I59" s="45"/>
    </row>
    <row r="60" s="1" customFormat="1" ht="35" customHeight="1" spans="1:9">
      <c r="A60" s="34" t="str" cm="1">
        <f ca="1" t="array" ref="A60">IF((INDIRECT("'"&amp;INDIRECT("Main!B9")&amp;"'!A74"))=0,"",(INDIRECT("'"&amp;INDIRECT("Main!B9")&amp;"'!A74")))</f>
        <v/>
      </c>
      <c r="B60" s="34" t="str" cm="1">
        <f ca="1" t="array" ref="B60">IF((INDIRECT("'"&amp;INDIRECT("Main!B9")&amp;"'!B74"))=0,"",(INDIRECT("'"&amp;INDIRECT("Main!B9")&amp;"'!B74")))</f>
        <v/>
      </c>
      <c r="C60" s="35">
        <v>0</v>
      </c>
      <c r="D60" s="15"/>
      <c r="E60" s="15"/>
      <c r="F60" s="15"/>
      <c r="G60" s="15"/>
      <c r="H60" s="15"/>
      <c r="I60" s="45"/>
    </row>
    <row r="61" s="1" customFormat="1" ht="35" customHeight="1" spans="1:9">
      <c r="A61" s="34" t="str" cm="1">
        <f ca="1" t="array" ref="A61">IF((INDIRECT("'"&amp;INDIRECT("Main!B9")&amp;"'!A75"))=0,"",(INDIRECT("'"&amp;INDIRECT("Main!B9")&amp;"'!A75")))</f>
        <v/>
      </c>
      <c r="B61" s="34" t="str" cm="1">
        <f ca="1" t="array" ref="B61">IF((INDIRECT("'"&amp;INDIRECT("Main!B9")&amp;"'!B75"))=0,"",(INDIRECT("'"&amp;INDIRECT("Main!B9")&amp;"'!B75")))</f>
        <v/>
      </c>
      <c r="C61" s="35">
        <v>0</v>
      </c>
      <c r="D61" s="15"/>
      <c r="E61" s="15"/>
      <c r="F61" s="15"/>
      <c r="G61" s="15"/>
      <c r="H61" s="15"/>
      <c r="I61" s="45"/>
    </row>
    <row r="62" s="1" customFormat="1" ht="35" customHeight="1" spans="1:9">
      <c r="A62" s="34" t="str" cm="1">
        <f ca="1" t="array" ref="A62">IF((INDIRECT("'"&amp;INDIRECT("Main!B9")&amp;"'!A76"))=0,"",(INDIRECT("'"&amp;INDIRECT("Main!B9")&amp;"'!A76")))</f>
        <v/>
      </c>
      <c r="B62" s="34" t="str" cm="1">
        <f ca="1" t="array" ref="B62">IF((INDIRECT("'"&amp;INDIRECT("Main!B9")&amp;"'!B76"))=0,"",(INDIRECT("'"&amp;INDIRECT("Main!B9")&amp;"'!B76")))</f>
        <v/>
      </c>
      <c r="C62" s="35">
        <v>0</v>
      </c>
      <c r="D62" s="15"/>
      <c r="E62" s="15"/>
      <c r="F62" s="15"/>
      <c r="G62" s="15"/>
      <c r="H62" s="15"/>
      <c r="I62" s="45"/>
    </row>
    <row r="63" s="1" customFormat="1" ht="35" customHeight="1" spans="1:9">
      <c r="A63" s="34" t="str" cm="1">
        <f ca="1" t="array" ref="A63">IF((INDIRECT("'"&amp;INDIRECT("Main!B9")&amp;"'!A77"))=0,"",(INDIRECT("'"&amp;INDIRECT("Main!B9")&amp;"'!A77")))</f>
        <v/>
      </c>
      <c r="B63" s="34" t="str" cm="1">
        <f ca="1" t="array" ref="B63">IF((INDIRECT("'"&amp;INDIRECT("Main!B9")&amp;"'!B77"))=0,"",(INDIRECT("'"&amp;INDIRECT("Main!B9")&amp;"'!B77")))</f>
        <v/>
      </c>
      <c r="C63" s="35">
        <v>0</v>
      </c>
      <c r="D63" s="15"/>
      <c r="E63" s="15"/>
      <c r="F63" s="15"/>
      <c r="G63" s="15"/>
      <c r="H63" s="15"/>
      <c r="I63" s="45"/>
    </row>
    <row r="64" s="1" customFormat="1" ht="35" customHeight="1" spans="1:9">
      <c r="A64" s="34" t="str" cm="1">
        <f ca="1" t="array" ref="A64">IF((INDIRECT("'"&amp;INDIRECT("Main!B9")&amp;"'!A78"))=0,"",(INDIRECT("'"&amp;INDIRECT("Main!B9")&amp;"'!A78")))</f>
        <v/>
      </c>
      <c r="B64" s="34" t="str" cm="1">
        <f ca="1" t="array" ref="B64">IF((INDIRECT("'"&amp;INDIRECT("Main!B9")&amp;"'!B78"))=0,"",(INDIRECT("'"&amp;INDIRECT("Main!B9")&amp;"'!B78")))</f>
        <v/>
      </c>
      <c r="C64" s="35">
        <v>0</v>
      </c>
      <c r="D64" s="15"/>
      <c r="E64" s="15"/>
      <c r="F64" s="15"/>
      <c r="G64" s="15"/>
      <c r="H64" s="15"/>
      <c r="I64" s="45"/>
    </row>
    <row r="65" s="1" customFormat="1" ht="35" customHeight="1" spans="1:9">
      <c r="A65" s="34" t="str" cm="1">
        <f ca="1" t="array" ref="A65">IF((INDIRECT("'"&amp;INDIRECT("Main!B9")&amp;"'!A79"))=0,"",(INDIRECT("'"&amp;INDIRECT("Main!B9")&amp;"'!A79")))</f>
        <v/>
      </c>
      <c r="B65" s="34" t="str" cm="1">
        <f ca="1" t="array" ref="B65">IF((INDIRECT("'"&amp;INDIRECT("Main!B9")&amp;"'!B79"))=0,"",(INDIRECT("'"&amp;INDIRECT("Main!B9")&amp;"'!B79")))</f>
        <v/>
      </c>
      <c r="C65" s="35">
        <v>0</v>
      </c>
      <c r="D65" s="15"/>
      <c r="E65" s="15"/>
      <c r="F65" s="15"/>
      <c r="G65" s="15"/>
      <c r="H65" s="15"/>
      <c r="I65" s="45"/>
    </row>
    <row r="66" s="1" customFormat="1" ht="35" customHeight="1" spans="1:9">
      <c r="A66" s="46"/>
      <c r="B66" s="37" t="s">
        <v>48</v>
      </c>
      <c r="C66" s="35">
        <f>SUM(C57:C65)</f>
        <v>0</v>
      </c>
      <c r="D66" s="15"/>
      <c r="E66" s="15"/>
      <c r="F66" s="15"/>
      <c r="G66" s="15"/>
      <c r="H66" s="15"/>
      <c r="I66" s="45"/>
    </row>
    <row r="67" s="1" customFormat="1" ht="35" customHeight="1" spans="1:9">
      <c r="A67" s="83" t="s">
        <v>50</v>
      </c>
      <c r="B67" s="84"/>
      <c r="C67" s="85"/>
      <c r="D67" s="15"/>
      <c r="E67" s="15"/>
      <c r="F67" s="15"/>
      <c r="G67" s="15"/>
      <c r="H67" s="15"/>
      <c r="I67" s="45"/>
    </row>
    <row r="68" s="1" customFormat="1" ht="35" customHeight="1" spans="1:9">
      <c r="A68" s="47" t="str" cm="1">
        <f ca="1" t="array" ref="A68">IF((INDIRECT("'"&amp;INDIRECT("Main!B9")&amp;"'!A82"))=0,"",(INDIRECT("'"&amp;INDIRECT("Main!B9")&amp;"'!A82")))</f>
        <v/>
      </c>
      <c r="B68" s="47" t="str" cm="1">
        <f ca="1" t="array" ref="B68">IF((INDIRECT("'"&amp;INDIRECT("Main!B9")&amp;"'!B82"))=0,"",(INDIRECT("'"&amp;INDIRECT("Main!B9")&amp;"'!B82")))</f>
        <v/>
      </c>
      <c r="C68" s="35">
        <v>0</v>
      </c>
      <c r="D68" s="15"/>
      <c r="E68" s="15"/>
      <c r="F68" s="15"/>
      <c r="G68" s="15"/>
      <c r="H68" s="15"/>
      <c r="I68" s="45"/>
    </row>
    <row r="69" s="1" customFormat="1" ht="35" customHeight="1" spans="1:9">
      <c r="A69" s="47" t="str" cm="1">
        <f ca="1" t="array" ref="A69">IF((INDIRECT("'"&amp;INDIRECT("Main!B9")&amp;"'!A83"))=0,"",(INDIRECT("'"&amp;INDIRECT("Main!B9")&amp;"'!A83")))</f>
        <v/>
      </c>
      <c r="B69" s="47" t="str" cm="1">
        <f ca="1" t="array" ref="B69">IF((INDIRECT("'"&amp;INDIRECT("Main!B9")&amp;"'!B83"))=0,"",(INDIRECT("'"&amp;INDIRECT("Main!B9")&amp;"'!B83")))</f>
        <v/>
      </c>
      <c r="C69" s="35">
        <v>0</v>
      </c>
      <c r="D69" s="15"/>
      <c r="E69" s="15"/>
      <c r="F69" s="15"/>
      <c r="G69" s="15"/>
      <c r="H69" s="15"/>
      <c r="I69" s="45"/>
    </row>
    <row r="70" s="1" customFormat="1" ht="35" customHeight="1" spans="1:9">
      <c r="A70" s="47" t="str" cm="1">
        <f ca="1" t="array" ref="A70">IF((INDIRECT("'"&amp;INDIRECT("Main!B9")&amp;"'!A84"))=0,"",(INDIRECT("'"&amp;INDIRECT("Main!B9")&amp;"'!A84")))</f>
        <v/>
      </c>
      <c r="B70" s="47" t="str" cm="1">
        <f ca="1" t="array" ref="B70">IF((INDIRECT("'"&amp;INDIRECT("Main!B9")&amp;"'!B84"))=0,"",(INDIRECT("'"&amp;INDIRECT("Main!B9")&amp;"'!B84")))</f>
        <v/>
      </c>
      <c r="C70" s="35">
        <v>0</v>
      </c>
      <c r="D70" s="15"/>
      <c r="E70" s="15"/>
      <c r="F70" s="15"/>
      <c r="G70" s="15"/>
      <c r="H70" s="15"/>
      <c r="I70" s="45"/>
    </row>
    <row r="71" s="1" customFormat="1" ht="35" customHeight="1" spans="1:9">
      <c r="A71" s="47" t="str" cm="1">
        <f ca="1" t="array" ref="A71">IF((INDIRECT("'"&amp;INDIRECT("Main!B9")&amp;"'!A85"))=0,"",(INDIRECT("'"&amp;INDIRECT("Main!B9")&amp;"'!A85")))</f>
        <v/>
      </c>
      <c r="B71" s="47" t="str" cm="1">
        <f ca="1" t="array" ref="B71">IF((INDIRECT("'"&amp;INDIRECT("Main!B9")&amp;"'!B85"))=0,"",(INDIRECT("'"&amp;INDIRECT("Main!B9")&amp;"'!B85")))</f>
        <v/>
      </c>
      <c r="C71" s="35">
        <v>0</v>
      </c>
      <c r="D71" s="15"/>
      <c r="E71" s="15"/>
      <c r="F71" s="15"/>
      <c r="G71" s="15"/>
      <c r="H71" s="15"/>
      <c r="I71" s="45"/>
    </row>
    <row r="72" s="1" customFormat="1" ht="35" customHeight="1" spans="1:9">
      <c r="A72" s="47" t="str" cm="1">
        <f ca="1" t="array" ref="A72">IF((INDIRECT("'"&amp;INDIRECT("Main!B9")&amp;"'!A86"))=0,"",(INDIRECT("'"&amp;INDIRECT("Main!B9")&amp;"'!A86")))</f>
        <v/>
      </c>
      <c r="B72" s="47" t="str" cm="1">
        <f ca="1" t="array" ref="B72">IF((INDIRECT("'"&amp;INDIRECT("Main!B9")&amp;"'!B86"))=0,"",(INDIRECT("'"&amp;INDIRECT("Main!B9")&amp;"'!B86")))</f>
        <v/>
      </c>
      <c r="C72" s="35">
        <v>0</v>
      </c>
      <c r="D72" s="15"/>
      <c r="E72" s="15"/>
      <c r="F72" s="15"/>
      <c r="G72" s="15"/>
      <c r="H72" s="15"/>
      <c r="I72" s="45"/>
    </row>
    <row r="73" s="1" customFormat="1" ht="35" customHeight="1" spans="1:9">
      <c r="A73" s="47" t="str" cm="1">
        <f ca="1" t="array" ref="A73">IF((INDIRECT("'"&amp;INDIRECT("Main!B9")&amp;"'!A87"))=0,"",(INDIRECT("'"&amp;INDIRECT("Main!B9")&amp;"'!A87")))</f>
        <v/>
      </c>
      <c r="B73" s="47" t="str" cm="1">
        <f ca="1" t="array" ref="B73">IF((INDIRECT("'"&amp;INDIRECT("Main!B9")&amp;"'!B87"))=0,"",(INDIRECT("'"&amp;INDIRECT("Main!B9")&amp;"'!B87")))</f>
        <v/>
      </c>
      <c r="C73" s="35">
        <v>0</v>
      </c>
      <c r="D73" s="15"/>
      <c r="E73" s="15"/>
      <c r="F73" s="15"/>
      <c r="G73" s="15"/>
      <c r="H73" s="15"/>
      <c r="I73" s="45"/>
    </row>
    <row r="74" s="1" customFormat="1" ht="35" customHeight="1" spans="1:9">
      <c r="A74" s="47" t="str" cm="1">
        <f ca="1" t="array" ref="A74">IF((INDIRECT("'"&amp;INDIRECT("Main!B9")&amp;"'!A88"))=0,"",(INDIRECT("'"&amp;INDIRECT("Main!B9")&amp;"'!A88")))</f>
        <v/>
      </c>
      <c r="B74" s="47" t="str" cm="1">
        <f ca="1" t="array" ref="B74">IF((INDIRECT("'"&amp;INDIRECT("Main!B9")&amp;"'!B88"))=0,"",(INDIRECT("'"&amp;INDIRECT("Main!B9")&amp;"'!B88")))</f>
        <v/>
      </c>
      <c r="C74" s="35">
        <v>0</v>
      </c>
      <c r="D74" s="15"/>
      <c r="E74" s="15"/>
      <c r="F74" s="15"/>
      <c r="G74" s="15"/>
      <c r="H74" s="15"/>
      <c r="I74" s="45"/>
    </row>
    <row r="75" s="1" customFormat="1" ht="35" customHeight="1" spans="1:9">
      <c r="A75" s="46"/>
      <c r="B75" s="37" t="s">
        <v>48</v>
      </c>
      <c r="C75" s="35">
        <f>SUM(C68:C74)</f>
        <v>0</v>
      </c>
      <c r="D75" s="15"/>
      <c r="E75" s="15"/>
      <c r="F75" s="15"/>
      <c r="G75" s="15"/>
      <c r="H75" s="15"/>
      <c r="I75" s="45"/>
    </row>
    <row r="76" s="1" customFormat="1" ht="35" customHeight="1" spans="1:9">
      <c r="A76" s="83" t="s">
        <v>51</v>
      </c>
      <c r="B76" s="84"/>
      <c r="C76" s="85"/>
      <c r="D76" s="15"/>
      <c r="E76" s="15"/>
      <c r="F76" s="15"/>
      <c r="G76" s="15"/>
      <c r="H76" s="15"/>
      <c r="I76" s="45"/>
    </row>
    <row r="77" s="1" customFormat="1" ht="35" customHeight="1" spans="1:9">
      <c r="A77" s="34" t="str" cm="1">
        <f ca="1" t="array" ref="A77">IF((INDIRECT("'"&amp;INDIRECT("Main!B9")&amp;"'!A91"))=0,"",(INDIRECT("'"&amp;INDIRECT("Main!B9")&amp;"'!A91")))</f>
        <v/>
      </c>
      <c r="B77" s="34" t="str" cm="1">
        <f ca="1" t="array" ref="B77">IF((INDIRECT("'"&amp;INDIRECT("Main!B9")&amp;"'!B91"))=0,"",(INDIRECT("'"&amp;INDIRECT("Main!B9")&amp;"'!B91")))</f>
        <v/>
      </c>
      <c r="C77" s="35">
        <v>0</v>
      </c>
      <c r="D77" s="15"/>
      <c r="E77" s="15"/>
      <c r="F77" s="15"/>
      <c r="G77" s="15"/>
      <c r="H77" s="15"/>
      <c r="I77" s="45"/>
    </row>
    <row r="78" s="1" customFormat="1" ht="35" customHeight="1" spans="1:9">
      <c r="A78" s="34" t="str" cm="1">
        <f ca="1" t="array" ref="A78">IF((INDIRECT("'"&amp;INDIRECT("Main!B9")&amp;"'!A92"))=0,"",(INDIRECT("'"&amp;INDIRECT("Main!B9")&amp;"'!A92")))</f>
        <v/>
      </c>
      <c r="B78" s="34" t="str" cm="1">
        <f ca="1" t="array" ref="B78">IF((INDIRECT("'"&amp;INDIRECT("Main!B9")&amp;"'!B92"))=0,"",(INDIRECT("'"&amp;INDIRECT("Main!B9")&amp;"'!B92")))</f>
        <v/>
      </c>
      <c r="C78" s="35">
        <v>0</v>
      </c>
      <c r="D78" s="15"/>
      <c r="E78" s="15"/>
      <c r="F78" s="15"/>
      <c r="G78" s="15"/>
      <c r="H78" s="15"/>
      <c r="I78" s="45"/>
    </row>
    <row r="79" s="1" customFormat="1" ht="35" customHeight="1" spans="1:9">
      <c r="A79" s="34" t="str" cm="1">
        <f ca="1" t="array" ref="A79">IF((INDIRECT("'"&amp;INDIRECT("Main!B9")&amp;"'!A93"))=0,"",(INDIRECT("'"&amp;INDIRECT("Main!B9")&amp;"'!A93")))</f>
        <v/>
      </c>
      <c r="B79" s="34" t="str" cm="1">
        <f ca="1" t="array" ref="B79">IF((INDIRECT("'"&amp;INDIRECT("Main!B9")&amp;"'!B93"))=0,"",(INDIRECT("'"&amp;INDIRECT("Main!B9")&amp;"'!B93")))</f>
        <v/>
      </c>
      <c r="C79" s="35">
        <v>0</v>
      </c>
      <c r="D79" s="15"/>
      <c r="E79" s="15"/>
      <c r="F79" s="15"/>
      <c r="G79" s="15"/>
      <c r="H79" s="15"/>
      <c r="I79" s="45"/>
    </row>
    <row r="80" s="1" customFormat="1" ht="35" customHeight="1" spans="1:9">
      <c r="A80" s="34" t="str" cm="1">
        <f ca="1" t="array" ref="A80">IF((INDIRECT("'"&amp;INDIRECT("Main!B9")&amp;"'!A94"))=0,"",(INDIRECT("'"&amp;INDIRECT("Main!B9")&amp;"'!A94")))</f>
        <v/>
      </c>
      <c r="B80" s="34" t="str" cm="1">
        <f ca="1" t="array" ref="B80">IF((INDIRECT("'"&amp;INDIRECT("Main!B9")&amp;"'!B94"))=0,"",(INDIRECT("'"&amp;INDIRECT("Main!B9")&amp;"'!B94")))</f>
        <v/>
      </c>
      <c r="C80" s="35">
        <v>0</v>
      </c>
      <c r="D80" s="15"/>
      <c r="E80" s="15"/>
      <c r="F80" s="15"/>
      <c r="G80" s="15"/>
      <c r="H80" s="15"/>
      <c r="I80" s="45"/>
    </row>
    <row r="81" s="1" customFormat="1" ht="35" customHeight="1" spans="1:9">
      <c r="A81" s="34" t="str" cm="1">
        <f ca="1" t="array" ref="A81">IF((INDIRECT("'"&amp;INDIRECT("Main!B9")&amp;"'!A95"))=0,"",(INDIRECT("'"&amp;INDIRECT("Main!B9")&amp;"'!A95")))</f>
        <v/>
      </c>
      <c r="B81" s="34" t="str" cm="1">
        <f ca="1" t="array" ref="B81">IF((INDIRECT("'"&amp;INDIRECT("Main!B9")&amp;"'!B95"))=0,"",(INDIRECT("'"&amp;INDIRECT("Main!B9")&amp;"'!B95")))</f>
        <v/>
      </c>
      <c r="C81" s="35">
        <v>0</v>
      </c>
      <c r="D81" s="15"/>
      <c r="E81" s="15"/>
      <c r="F81" s="15"/>
      <c r="G81" s="15"/>
      <c r="H81" s="15"/>
      <c r="I81" s="45"/>
    </row>
    <row r="82" s="1" customFormat="1" ht="35" customHeight="1" spans="1:9">
      <c r="A82" s="34" t="str" cm="1">
        <f ca="1" t="array" ref="A82">IF((INDIRECT("'"&amp;INDIRECT("Main!B9")&amp;"'!A96"))=0,"",(INDIRECT("'"&amp;INDIRECT("Main!B9")&amp;"'!A96")))</f>
        <v/>
      </c>
      <c r="B82" s="34" t="str" cm="1">
        <f ca="1" t="array" ref="B82">IF((INDIRECT("'"&amp;INDIRECT("Main!B9")&amp;"'!B96"))=0,"",(INDIRECT("'"&amp;INDIRECT("Main!B9")&amp;"'!B96")))</f>
        <v/>
      </c>
      <c r="C82" s="35">
        <v>0</v>
      </c>
      <c r="D82" s="15"/>
      <c r="E82" s="15"/>
      <c r="F82" s="15"/>
      <c r="G82" s="15"/>
      <c r="H82" s="15"/>
      <c r="I82" s="45"/>
    </row>
    <row r="83" s="1" customFormat="1" ht="35" customHeight="1" spans="1:9">
      <c r="A83" s="34" t="str" cm="1">
        <f ca="1" t="array" ref="A83">IF((INDIRECT("'"&amp;INDIRECT("Main!B9")&amp;"'!A97"))=0,"",(INDIRECT("'"&amp;INDIRECT("Main!B9")&amp;"'!A97")))</f>
        <v/>
      </c>
      <c r="B83" s="34" t="str" cm="1">
        <f ca="1" t="array" ref="B83">IF((INDIRECT("'"&amp;INDIRECT("Main!B9")&amp;"'!B97"))=0,"",(INDIRECT("'"&amp;INDIRECT("Main!B9")&amp;"'!B97")))</f>
        <v/>
      </c>
      <c r="C83" s="35">
        <v>0</v>
      </c>
      <c r="D83" s="15"/>
      <c r="E83" s="15"/>
      <c r="F83" s="15"/>
      <c r="G83" s="15"/>
      <c r="H83" s="15"/>
      <c r="I83" s="45"/>
    </row>
    <row r="84" s="1" customFormat="1" ht="35" customHeight="1" spans="1:9">
      <c r="A84" s="34" t="str" cm="1">
        <f ca="1" t="array" ref="A84">IF((INDIRECT("'"&amp;INDIRECT("Main!B9")&amp;"'!A98"))=0,"",(INDIRECT("'"&amp;INDIRECT("Main!B9")&amp;"'!A98")))</f>
        <v/>
      </c>
      <c r="B84" s="34" t="str" cm="1">
        <f ca="1" t="array" ref="B84">IF((INDIRECT("'"&amp;INDIRECT("Main!B9")&amp;"'!B98"))=0,"",(INDIRECT("'"&amp;INDIRECT("Main!B9")&amp;"'!B98")))</f>
        <v/>
      </c>
      <c r="C84" s="35">
        <v>0</v>
      </c>
      <c r="D84" s="15"/>
      <c r="E84" s="15"/>
      <c r="F84" s="15"/>
      <c r="G84" s="15"/>
      <c r="H84" s="15"/>
      <c r="I84" s="45"/>
    </row>
    <row r="85" s="1" customFormat="1" ht="35" customHeight="1" spans="1:9">
      <c r="A85" s="46"/>
      <c r="B85" s="37" t="s">
        <v>48</v>
      </c>
      <c r="C85" s="35">
        <f>SUM(C77:C84)</f>
        <v>0</v>
      </c>
      <c r="D85" s="15"/>
      <c r="E85" s="15"/>
      <c r="F85" s="15"/>
      <c r="G85" s="15"/>
      <c r="H85" s="15"/>
      <c r="I85" s="45"/>
    </row>
    <row r="86" s="1" customFormat="1" ht="35" customHeight="1" spans="1:9">
      <c r="A86" s="83" t="s">
        <v>52</v>
      </c>
      <c r="B86" s="84"/>
      <c r="C86" s="85"/>
      <c r="D86" s="15"/>
      <c r="E86" s="15"/>
      <c r="F86" s="15"/>
      <c r="G86" s="15"/>
      <c r="H86" s="15"/>
      <c r="I86" s="45"/>
    </row>
    <row r="87" s="1" customFormat="1" ht="35" customHeight="1" spans="1:9">
      <c r="A87" s="34" t="str" cm="1">
        <f ca="1" t="array" ref="A87">IF((INDIRECT("'"&amp;INDIRECT("Main!B9")&amp;"'!A101"))=0,"",(INDIRECT("'"&amp;INDIRECT("Main!B9")&amp;"'!A101")))</f>
        <v/>
      </c>
      <c r="B87" s="34" t="str" cm="1">
        <f ca="1" t="array" ref="B87">IF((INDIRECT("'"&amp;INDIRECT("Main!B9")&amp;"'!B101"))=0,"",(INDIRECT("'"&amp;INDIRECT("Main!B9")&amp;"'!B101")))</f>
        <v/>
      </c>
      <c r="C87" s="35">
        <v>0</v>
      </c>
      <c r="D87" s="15"/>
      <c r="E87" s="15"/>
      <c r="F87" s="15"/>
      <c r="G87" s="15"/>
      <c r="H87" s="15"/>
      <c r="I87" s="45"/>
    </row>
    <row r="88" s="1" customFormat="1" ht="35" customHeight="1" spans="1:9">
      <c r="A88" s="34" t="str" cm="1">
        <f ca="1" t="array" ref="A88">IF((INDIRECT("'"&amp;INDIRECT("Main!B9")&amp;"'!A102"))=0,"",(INDIRECT("'"&amp;INDIRECT("Main!B9")&amp;"'!A102")))</f>
        <v/>
      </c>
      <c r="B88" s="34" t="str" cm="1">
        <f ca="1" t="array" ref="B88">IF((INDIRECT("'"&amp;INDIRECT("Main!B9")&amp;"'!B102"))=0,"",(INDIRECT("'"&amp;INDIRECT("Main!B9")&amp;"'!B102")))</f>
        <v/>
      </c>
      <c r="C88" s="35">
        <v>0</v>
      </c>
      <c r="D88" s="15"/>
      <c r="E88" s="15"/>
      <c r="F88" s="15"/>
      <c r="G88" s="15"/>
      <c r="H88" s="15"/>
      <c r="I88" s="45"/>
    </row>
    <row r="89" s="1" customFormat="1" ht="35" customHeight="1" spans="1:9">
      <c r="A89" s="34" t="str" cm="1">
        <f ca="1" t="array" ref="A89">IF((INDIRECT("'"&amp;INDIRECT("Main!B9")&amp;"'!A103"))=0,"",(INDIRECT("'"&amp;INDIRECT("Main!B9")&amp;"'!A103")))</f>
        <v/>
      </c>
      <c r="B89" s="34" t="str" cm="1">
        <f ca="1" t="array" ref="B89">IF((INDIRECT("'"&amp;INDIRECT("Main!B9")&amp;"'!B103"))=0,"",(INDIRECT("'"&amp;INDIRECT("Main!B9")&amp;"'!B103")))</f>
        <v/>
      </c>
      <c r="C89" s="35">
        <v>0</v>
      </c>
      <c r="D89" s="15"/>
      <c r="E89" s="15"/>
      <c r="F89" s="15"/>
      <c r="G89" s="15"/>
      <c r="H89" s="15"/>
      <c r="I89" s="45"/>
    </row>
    <row r="90" s="1" customFormat="1" ht="35" customHeight="1" spans="1:9">
      <c r="A90" s="34" t="str" cm="1">
        <f ca="1" t="array" ref="A90">IF((INDIRECT("'"&amp;INDIRECT("Main!B9")&amp;"'!A104"))=0,"",(INDIRECT("'"&amp;INDIRECT("Main!B9")&amp;"'!A104")))</f>
        <v/>
      </c>
      <c r="B90" s="34" t="str" cm="1">
        <f ca="1" t="array" ref="B90">IF((INDIRECT("'"&amp;INDIRECT("Main!B9")&amp;"'!B104"))=0,"",(INDIRECT("'"&amp;INDIRECT("Main!B9")&amp;"'!B104")))</f>
        <v/>
      </c>
      <c r="C90" s="35">
        <v>0</v>
      </c>
      <c r="D90" s="15"/>
      <c r="E90" s="62"/>
      <c r="F90" s="15"/>
      <c r="G90" s="15"/>
      <c r="H90" s="15"/>
      <c r="I90" s="45"/>
    </row>
    <row r="91" s="1" customFormat="1" ht="35" customHeight="1" spans="1:9">
      <c r="A91" s="34" t="str" cm="1">
        <f ca="1" t="array" ref="A91">IF((INDIRECT("'"&amp;INDIRECT("Main!B9")&amp;"'!A105"))=0,"",(INDIRECT("'"&amp;INDIRECT("Main!B9")&amp;"'!A105")))</f>
        <v/>
      </c>
      <c r="B91" s="34" t="str" cm="1">
        <f ca="1" t="array" ref="B91">IF((INDIRECT("'"&amp;INDIRECT("Main!B9")&amp;"'!B105"))=0,"",(INDIRECT("'"&amp;INDIRECT("Main!B9")&amp;"'!B105")))</f>
        <v/>
      </c>
      <c r="C91" s="35">
        <v>0</v>
      </c>
      <c r="D91" s="15"/>
      <c r="E91" s="15"/>
      <c r="F91" s="15"/>
      <c r="G91" s="15"/>
      <c r="H91" s="15"/>
      <c r="I91" s="45"/>
    </row>
    <row r="92" s="1" customFormat="1" ht="35" customHeight="1" spans="1:9">
      <c r="A92" s="34" t="str" cm="1">
        <f ca="1" t="array" ref="A92">IF((INDIRECT("'"&amp;INDIRECT("Main!B9")&amp;"'!A106"))=0,"",(INDIRECT("'"&amp;INDIRECT("Main!B9")&amp;"'!A106")))</f>
        <v/>
      </c>
      <c r="B92" s="34" t="str" cm="1">
        <f ca="1" t="array" ref="B92">IF((INDIRECT("'"&amp;INDIRECT("Main!B9")&amp;"'!B106"))=0,"",(INDIRECT("'"&amp;INDIRECT("Main!B9")&amp;"'!B106")))</f>
        <v/>
      </c>
      <c r="C92" s="35">
        <v>0</v>
      </c>
      <c r="D92" s="15"/>
      <c r="E92" s="15"/>
      <c r="F92" s="15"/>
      <c r="G92" s="15"/>
      <c r="H92" s="15"/>
      <c r="I92" s="45"/>
    </row>
    <row r="93" s="1" customFormat="1" ht="35" customHeight="1" spans="1:9">
      <c r="A93" s="34" t="str" cm="1">
        <f ca="1" t="array" ref="A93">IF((INDIRECT("'"&amp;INDIRECT("Main!B9")&amp;"'!A107"))=0,"",(INDIRECT("'"&amp;INDIRECT("Main!B9")&amp;"'!A107")))</f>
        <v/>
      </c>
      <c r="B93" s="34" t="str" cm="1">
        <f ca="1" t="array" ref="B93">IF((INDIRECT("'"&amp;INDIRECT("Main!B9")&amp;"'!B107"))=0,"",(INDIRECT("'"&amp;INDIRECT("Main!B9")&amp;"'!B107")))</f>
        <v/>
      </c>
      <c r="C93" s="35">
        <v>0</v>
      </c>
      <c r="D93" s="15"/>
      <c r="E93" s="15"/>
      <c r="F93" s="15"/>
      <c r="G93" s="15"/>
      <c r="H93" s="15"/>
      <c r="I93" s="45"/>
    </row>
    <row r="94" s="1" customFormat="1" ht="35" customHeight="1" spans="1:9">
      <c r="A94" s="34" t="str" cm="1">
        <f ca="1" t="array" ref="A94">IF((INDIRECT("'"&amp;INDIRECT("Main!B9")&amp;"'!A108"))=0,"",(INDIRECT("'"&amp;INDIRECT("Main!B9")&amp;"'!A108")))</f>
        <v/>
      </c>
      <c r="B94" s="34" t="str" cm="1">
        <f ca="1" t="array" ref="B94">IF((INDIRECT("'"&amp;INDIRECT("Main!B9")&amp;"'!B108"))=0,"",(INDIRECT("'"&amp;INDIRECT("Main!B9")&amp;"'!B108")))</f>
        <v/>
      </c>
      <c r="C94" s="35">
        <v>0</v>
      </c>
      <c r="D94" s="15"/>
      <c r="E94" s="15"/>
      <c r="F94" s="15"/>
      <c r="G94" s="15"/>
      <c r="H94" s="15"/>
      <c r="I94" s="45"/>
    </row>
    <row r="95" s="1" customFormat="1" ht="35" customHeight="1" spans="1:9">
      <c r="A95" s="47"/>
      <c r="B95" s="37" t="s">
        <v>48</v>
      </c>
      <c r="C95" s="35">
        <f>SUM(C87:C94)</f>
        <v>0</v>
      </c>
      <c r="D95" s="15"/>
      <c r="E95" s="15"/>
      <c r="F95" s="15"/>
      <c r="G95" s="15"/>
      <c r="H95" s="15"/>
      <c r="I95" s="45"/>
    </row>
    <row r="96" s="1" customFormat="1" ht="35" customHeight="1" spans="1:9">
      <c r="A96" s="46"/>
      <c r="B96" s="37" t="s">
        <v>53</v>
      </c>
      <c r="C96" s="35">
        <f>C55+C66+C75+C85+C95</f>
        <v>0</v>
      </c>
      <c r="D96" s="15"/>
      <c r="E96" s="15"/>
      <c r="F96" s="15"/>
      <c r="G96" s="15"/>
      <c r="H96" s="15"/>
      <c r="I96" s="45"/>
    </row>
    <row r="97" s="1" customFormat="1" ht="35" customHeight="1" spans="1:9">
      <c r="A97" s="83" t="s">
        <v>54</v>
      </c>
      <c r="B97" s="84"/>
      <c r="C97" s="85"/>
      <c r="D97" s="15"/>
      <c r="E97" s="15"/>
      <c r="F97" s="15"/>
      <c r="G97" s="15"/>
      <c r="H97" s="15"/>
      <c r="I97" s="45"/>
    </row>
    <row r="98" s="1" customFormat="1" ht="35" customHeight="1" spans="1:9">
      <c r="A98" s="34" t="str" cm="1">
        <f ca="1" t="array" ref="A98">IF((INDIRECT("'"&amp;INDIRECT("Main!B9")&amp;"'!A112"))=0,"",(INDIRECT("'"&amp;INDIRECT("Main!B9")&amp;"'!A112")))</f>
        <v/>
      </c>
      <c r="B98" s="34" t="str" cm="1">
        <f ca="1" t="array" ref="B98">IF((INDIRECT("'"&amp;INDIRECT("Main!B9")&amp;"'!B112"))=0,"",(INDIRECT("'"&amp;INDIRECT("Main!B9")&amp;"'!B112")))</f>
        <v/>
      </c>
      <c r="C98" s="35" cm="1">
        <f ca="1" t="array" ref="C98">INDIRECT("'"&amp;INDIRECT("Main!B45")&amp;"'!C98")+SUM(E118+E145+E172)</f>
        <v>0</v>
      </c>
      <c r="D98" s="15"/>
      <c r="E98" s="15"/>
      <c r="F98" s="15"/>
      <c r="G98" s="15"/>
      <c r="H98" s="15"/>
      <c r="I98" s="45"/>
    </row>
    <row r="99" s="1" customFormat="1" ht="35" customHeight="1" spans="1:9">
      <c r="A99" s="34" t="str" cm="1">
        <f ca="1" t="array" ref="A99">IF((INDIRECT("'"&amp;INDIRECT("Main!B9")&amp;"'!A113"))=0,"",(INDIRECT("'"&amp;INDIRECT("Main!B9")&amp;"'!A113")))</f>
        <v/>
      </c>
      <c r="B99" s="34" t="str" cm="1">
        <f ca="1" t="array" ref="B99">IF((INDIRECT("'"&amp;INDIRECT("Main!B9")&amp;"'!B113"))=0,"",(INDIRECT("'"&amp;INDIRECT("Main!B9")&amp;"'!B113")))</f>
        <v/>
      </c>
      <c r="C99" s="35" cm="1">
        <f ca="1" t="array" ref="C99">INDIRECT("'"&amp;INDIRECT("Main!B45")&amp;"'!C99")+SUM(E119+E146+E173)</f>
        <v>0</v>
      </c>
      <c r="D99" s="15"/>
      <c r="E99" s="15"/>
      <c r="F99" s="15"/>
      <c r="G99" s="15"/>
      <c r="H99" s="15"/>
      <c r="I99" s="45"/>
    </row>
    <row r="100" s="1" customFormat="1" ht="35" customHeight="1" spans="1:9">
      <c r="A100" s="34" t="str" cm="1">
        <f ca="1" t="array" ref="A100">IF((INDIRECT("'"&amp;INDIRECT("Main!B9")&amp;"'!A114"))=0,"",(INDIRECT("'"&amp;INDIRECT("Main!B9")&amp;"'!A114")))</f>
        <v/>
      </c>
      <c r="B100" s="34" t="str" cm="1">
        <f ca="1" t="array" ref="B100">IF((INDIRECT("'"&amp;INDIRECT("Main!B9")&amp;"'!B114"))=0,"",(INDIRECT("'"&amp;INDIRECT("Main!B9")&amp;"'!B114")))</f>
        <v/>
      </c>
      <c r="C100" s="35" cm="1">
        <f ca="1" t="array" ref="C100">INDIRECT("'"&amp;INDIRECT("Main!B45")&amp;"'!C100")+SUM(E120+E147+E174)</f>
        <v>0</v>
      </c>
      <c r="D100" s="15"/>
      <c r="E100" s="15"/>
      <c r="F100" s="15"/>
      <c r="G100" s="15"/>
      <c r="H100" s="15"/>
      <c r="I100" s="45"/>
    </row>
    <row r="101" s="1" customFormat="1" ht="35" customHeight="1" spans="1:9">
      <c r="A101" s="34" t="str" cm="1">
        <f ca="1" t="array" ref="A101">IF((INDIRECT("'"&amp;INDIRECT("Main!B9")&amp;"'!A115"))=0,"",(INDIRECT("'"&amp;INDIRECT("Main!B9")&amp;"'!A115")))</f>
        <v/>
      </c>
      <c r="B101" s="34" t="str" cm="1">
        <f ca="1" t="array" ref="B101">IF((INDIRECT("'"&amp;INDIRECT("Main!B9")&amp;"'!B115"))=0,"",(INDIRECT("'"&amp;INDIRECT("Main!B9")&amp;"'!B115")))</f>
        <v/>
      </c>
      <c r="C101" s="35" cm="1">
        <f ca="1" t="array" ref="C101">INDIRECT("'"&amp;INDIRECT("Main!B45")&amp;"'!C101")+SUM(E121+E148+E175)</f>
        <v>0</v>
      </c>
      <c r="D101" s="15"/>
      <c r="E101" s="15"/>
      <c r="F101" s="15"/>
      <c r="G101" s="15"/>
      <c r="H101" s="15"/>
      <c r="I101" s="45"/>
    </row>
    <row r="102" s="1" customFormat="1" ht="35" customHeight="1" spans="1:9">
      <c r="A102" s="34" t="str" cm="1">
        <f ca="1" t="array" ref="A102">IF((INDIRECT("'"&amp;INDIRECT("Main!B9")&amp;"'!A116"))=0,"",(INDIRECT("'"&amp;INDIRECT("Main!B9")&amp;"'!A116")))</f>
        <v/>
      </c>
      <c r="B102" s="34" t="str" cm="1">
        <f ca="1" t="array" ref="B102">IF((INDIRECT("'"&amp;INDIRECT("Main!B9")&amp;"'!B116"))=0,"",(INDIRECT("'"&amp;INDIRECT("Main!B9")&amp;"'!B116")))</f>
        <v/>
      </c>
      <c r="C102" s="35" cm="1">
        <f ca="1" t="array" ref="C102">INDIRECT("'"&amp;INDIRECT("Main!B45")&amp;"'!C102")+SUM(E122+E149+E176)</f>
        <v>0</v>
      </c>
      <c r="D102" s="15"/>
      <c r="E102" s="15"/>
      <c r="F102" s="15"/>
      <c r="G102" s="15"/>
      <c r="H102" s="15"/>
      <c r="I102" s="45"/>
    </row>
    <row r="103" s="1" customFormat="1" ht="35" customHeight="1" spans="1:9">
      <c r="A103" s="34" t="str" cm="1">
        <f ca="1" t="array" ref="A103">IF((INDIRECT("'"&amp;INDIRECT("Main!B9")&amp;"'!A117"))=0,"",(INDIRECT("'"&amp;INDIRECT("Main!B9")&amp;"'!A117")))</f>
        <v/>
      </c>
      <c r="B103" s="34" t="str" cm="1">
        <f ca="1" t="array" ref="B103">IF((INDIRECT("'"&amp;INDIRECT("Main!B9")&amp;"'!B117"))=0,"",(INDIRECT("'"&amp;INDIRECT("Main!B9")&amp;"'!B117")))</f>
        <v/>
      </c>
      <c r="C103" s="35" cm="1">
        <f ca="1" t="array" ref="C103">INDIRECT("'"&amp;INDIRECT("Main!B45")&amp;"'!C103")+SUM(E123+E150+E177)</f>
        <v>0</v>
      </c>
      <c r="D103" s="15"/>
      <c r="E103" s="15"/>
      <c r="F103" s="15"/>
      <c r="G103" s="15"/>
      <c r="H103" s="15"/>
      <c r="I103" s="45"/>
    </row>
    <row r="104" s="1" customFormat="1" ht="35" customHeight="1" spans="1:9">
      <c r="A104" s="34" t="str" cm="1">
        <f ca="1" t="array" ref="A104">IF((INDIRECT("'"&amp;INDIRECT("Main!B9")&amp;"'!A118"))=0,"",(INDIRECT("'"&amp;INDIRECT("Main!B9")&amp;"'!A118")))</f>
        <v/>
      </c>
      <c r="B104" s="34" t="str" cm="1">
        <f ca="1" t="array" ref="B104">IF((INDIRECT("'"&amp;INDIRECT("Main!B9")&amp;"'!B118"))=0,"",(INDIRECT("'"&amp;INDIRECT("Main!B9")&amp;"'!B118")))</f>
        <v/>
      </c>
      <c r="C104" s="35" cm="1">
        <f ca="1" t="array" ref="C104">INDIRECT("'"&amp;INDIRECT("Main!B45")&amp;"'!C104")+SUM(E124+E151+E178)</f>
        <v>0</v>
      </c>
      <c r="D104" s="15"/>
      <c r="E104" s="15"/>
      <c r="F104" s="15"/>
      <c r="G104" s="15"/>
      <c r="H104" s="15"/>
      <c r="I104" s="45"/>
    </row>
    <row r="105" s="1" customFormat="1" ht="35" customHeight="1" spans="1:9">
      <c r="A105" s="34" t="str" cm="1">
        <f ca="1" t="array" ref="A105">IF((INDIRECT("'"&amp;INDIRECT("Main!B9")&amp;"'!A119"))=0,"",(INDIRECT("'"&amp;INDIRECT("Main!B9")&amp;"'!A119")))</f>
        <v/>
      </c>
      <c r="B105" s="34" t="str" cm="1">
        <f ca="1" t="array" ref="B105">IF((INDIRECT("'"&amp;INDIRECT("Main!B9")&amp;"'!B119"))=0,"",(INDIRECT("'"&amp;INDIRECT("Main!B9")&amp;"'!B119")))</f>
        <v/>
      </c>
      <c r="C105" s="35" cm="1">
        <f ca="1" t="array" ref="C105">INDIRECT("'"&amp;INDIRECT("Main!B45")&amp;"'!C105")+SUM(E125+E152+E179)</f>
        <v>0</v>
      </c>
      <c r="D105" s="15"/>
      <c r="E105" s="15"/>
      <c r="F105" s="15"/>
      <c r="G105" s="15"/>
      <c r="H105" s="15"/>
      <c r="I105" s="45"/>
    </row>
    <row r="106" s="1" customFormat="1" ht="35" customHeight="1" spans="1:9">
      <c r="A106" s="34" t="str" cm="1">
        <f ca="1" t="array" ref="A106">IF((INDIRECT("'"&amp;INDIRECT("Main!B9")&amp;"'!A120"))=0,"",(INDIRECT("'"&amp;INDIRECT("Main!B9")&amp;"'!A120")))</f>
        <v/>
      </c>
      <c r="B106" s="34" t="str" cm="1">
        <f ca="1" t="array" ref="B106">IF((INDIRECT("'"&amp;INDIRECT("Main!B9")&amp;"'!B120"))=0,"",(INDIRECT("'"&amp;INDIRECT("Main!B9")&amp;"'!B120")))</f>
        <v/>
      </c>
      <c r="C106" s="35" cm="1">
        <f ca="1" t="array" ref="C106">INDIRECT("'"&amp;INDIRECT("Main!B45")&amp;"'!C106")+SUM(E125+E152+E179)</f>
        <v>0</v>
      </c>
      <c r="D106" s="15"/>
      <c r="E106" s="15"/>
      <c r="F106" s="15"/>
      <c r="G106" s="15"/>
      <c r="H106" s="15"/>
      <c r="I106" s="45"/>
    </row>
    <row r="107" s="1" customFormat="1" ht="35" customHeight="1" spans="1:9">
      <c r="A107" s="34" t="str" cm="1">
        <f ca="1" t="array" ref="A107">IF((INDIRECT("'"&amp;INDIRECT("Main!B9")&amp;"'!A121"))=0,"",(INDIRECT("'"&amp;INDIRECT("Main!B9")&amp;"'!A121")))</f>
        <v/>
      </c>
      <c r="B107" s="34" t="str" cm="1">
        <f ca="1" t="array" ref="B107">IF((INDIRECT("'"&amp;INDIRECT("Main!B9")&amp;"'!B121"))=0,"",(INDIRECT("'"&amp;INDIRECT("Main!B9")&amp;"'!B121")))</f>
        <v/>
      </c>
      <c r="C107" s="35" cm="1">
        <f ca="1" t="array" ref="C107">INDIRECT("'"&amp;INDIRECT("Main!B45")&amp;"'!C107")+SUM(E127+E154+E181)</f>
        <v>0</v>
      </c>
      <c r="D107" s="15"/>
      <c r="E107" s="15"/>
      <c r="F107" s="15"/>
      <c r="G107" s="15"/>
      <c r="H107" s="15"/>
      <c r="I107" s="45"/>
    </row>
    <row r="108" s="1" customFormat="1" ht="35" customHeight="1" spans="1:9">
      <c r="A108" s="46"/>
      <c r="B108" s="37" t="s">
        <v>55</v>
      </c>
      <c r="C108" s="35">
        <f ca="1">SUM(C98:C107)</f>
        <v>0</v>
      </c>
      <c r="D108" s="15"/>
      <c r="E108" s="15"/>
      <c r="F108" s="15"/>
      <c r="G108" s="15"/>
      <c r="H108" s="15"/>
      <c r="I108" s="45"/>
    </row>
    <row r="109" s="1" customFormat="1" ht="35" customHeight="1" spans="1:9">
      <c r="A109" s="46"/>
      <c r="B109" s="37" t="s">
        <v>56</v>
      </c>
      <c r="C109" s="35">
        <f ca="1">C108-C96</f>
        <v>0</v>
      </c>
      <c r="D109" s="15"/>
      <c r="E109" s="15"/>
      <c r="F109" s="15"/>
      <c r="G109" s="15"/>
      <c r="H109" s="15"/>
      <c r="I109" s="45"/>
    </row>
    <row r="110" s="1" customFormat="1" ht="35" customHeight="1" spans="1:9">
      <c r="A110" s="15"/>
      <c r="B110" s="15"/>
      <c r="C110" s="15"/>
      <c r="D110" s="15"/>
      <c r="E110" s="15"/>
      <c r="F110" s="15"/>
      <c r="G110" s="15"/>
      <c r="H110" s="15"/>
      <c r="I110" s="45"/>
    </row>
    <row r="111" s="1" customFormat="1" ht="35" customHeight="1" spans="1:9">
      <c r="A111" s="15"/>
      <c r="B111" s="15"/>
      <c r="C111" s="15"/>
      <c r="D111" s="15"/>
      <c r="E111" s="15"/>
      <c r="F111" s="15"/>
      <c r="G111" s="15"/>
      <c r="H111" s="15"/>
      <c r="I111" s="45"/>
    </row>
    <row r="112" s="1" customFormat="1" ht="35" customHeight="1" spans="1:9">
      <c r="A112" s="15"/>
      <c r="B112" s="15"/>
      <c r="C112" s="15"/>
      <c r="D112" s="15"/>
      <c r="E112" s="15"/>
      <c r="F112" s="15"/>
      <c r="G112" s="15"/>
      <c r="H112" s="15"/>
      <c r="I112" s="45"/>
    </row>
    <row r="113" s="1" customFormat="1" ht="35" customHeight="1" spans="1:9">
      <c r="A113" s="15"/>
      <c r="B113" s="15"/>
      <c r="C113" s="15"/>
      <c r="D113" s="15"/>
      <c r="E113" s="15"/>
      <c r="F113" s="15"/>
      <c r="G113" s="15"/>
      <c r="H113" s="15"/>
      <c r="I113" s="45"/>
    </row>
    <row r="114" s="1" customFormat="1" ht="35" customHeight="1" spans="1:9">
      <c r="A114" s="48" t="str">
        <f>"Debts Or Credits For the Comming "&amp;IF(Main!B2,TEXT(EDATE(Main!B3,39),"mmmm dd yyyy"),TEXT(Main!B3+((Main!B5-Main!B3)*39+39),"mmmm dd yyyy"))&amp;" to "&amp;IF(Main!B2,TEXT(EDATE(Main!B3,40)-1,"mmmm dd yyyy"),TEXT(Main!B3+((Main!B5-Main!B3)*40+39),"mmmm dd yyyy"))</f>
        <v>Debts Or Credits For the Comming August 01 2028 to August 31 2028</v>
      </c>
      <c r="B114" s="49"/>
      <c r="C114" s="49"/>
      <c r="D114" s="49"/>
      <c r="E114" s="50"/>
      <c r="F114" s="15"/>
      <c r="G114" s="15"/>
      <c r="H114" s="15"/>
      <c r="I114" s="45"/>
    </row>
    <row r="115" s="1" customFormat="1" ht="35" customHeight="1" spans="1:9">
      <c r="A115" s="48" t="s">
        <v>57</v>
      </c>
      <c r="B115" s="50"/>
      <c r="C115" s="48" t="s">
        <v>44</v>
      </c>
      <c r="D115" s="50"/>
      <c r="E115" s="64" t="s">
        <v>45</v>
      </c>
      <c r="F115" s="15"/>
      <c r="G115" s="15"/>
      <c r="H115" s="15"/>
      <c r="I115" s="45"/>
    </row>
    <row r="116" s="1" customFormat="1" ht="35" customHeight="1" spans="1:9">
      <c r="A116" s="51" t="str">
        <f>"Balance Brought Forward From "&amp;IF(Main!B2,TEXT(EDATE(Main!B3,39)-1,"mmmm yyyy"),TEXT(Main!B3+((Main!B5-Main!B3)*39+38),"mmmm yyyy"))</f>
        <v>Balance Brought Forward From July 2028</v>
      </c>
      <c r="B116" s="52"/>
      <c r="C116" s="53"/>
      <c r="D116" s="53"/>
      <c r="E116" s="65" cm="1">
        <f ca="1" t="array" ref="E116">INDIRECT("'"&amp;INDIRECT("Main!B45")&amp;"'!E190")</f>
        <v>0</v>
      </c>
      <c r="F116" s="15"/>
      <c r="G116" s="15"/>
      <c r="H116" s="15"/>
      <c r="I116" s="45"/>
    </row>
    <row r="117" s="1" customFormat="1" ht="35" customHeight="1" spans="1:9">
      <c r="A117" s="54" t="s">
        <v>52</v>
      </c>
      <c r="B117" s="55"/>
      <c r="C117" s="56" t="s">
        <v>58</v>
      </c>
      <c r="D117" s="57"/>
      <c r="E117" s="66"/>
      <c r="F117" s="15"/>
      <c r="G117" s="15"/>
      <c r="H117" s="15"/>
      <c r="I117" s="45"/>
    </row>
    <row r="118" s="1" customFormat="1" ht="35" customHeight="1" spans="1:9">
      <c r="A118" s="58"/>
      <c r="B118" s="59"/>
      <c r="C118" s="60"/>
      <c r="D118" s="61"/>
      <c r="E118" s="35">
        <v>0</v>
      </c>
      <c r="F118" s="15"/>
      <c r="G118" s="15"/>
      <c r="H118" s="15"/>
      <c r="I118" s="45"/>
    </row>
    <row r="119" s="1" customFormat="1" ht="35" customHeight="1" spans="1:9">
      <c r="A119" s="58"/>
      <c r="B119" s="59"/>
      <c r="C119" s="60"/>
      <c r="D119" s="61"/>
      <c r="E119" s="35">
        <v>0</v>
      </c>
      <c r="F119" s="15"/>
      <c r="G119" s="15"/>
      <c r="H119" s="15"/>
      <c r="I119" s="45"/>
    </row>
    <row r="120" s="1" customFormat="1" ht="35" customHeight="1" spans="1:9">
      <c r="A120" s="58"/>
      <c r="B120" s="59"/>
      <c r="C120" s="60"/>
      <c r="D120" s="61"/>
      <c r="E120" s="35">
        <v>0</v>
      </c>
      <c r="F120" s="15"/>
      <c r="G120" s="15"/>
      <c r="H120" s="15"/>
      <c r="I120" s="45"/>
    </row>
    <row r="121" s="1" customFormat="1" ht="35" customHeight="1" spans="1:9">
      <c r="A121" s="58"/>
      <c r="B121" s="59"/>
      <c r="C121" s="60"/>
      <c r="D121" s="61"/>
      <c r="E121" s="35">
        <v>0</v>
      </c>
      <c r="F121" s="15"/>
      <c r="G121" s="15"/>
      <c r="H121" s="15"/>
      <c r="I121" s="45"/>
    </row>
    <row r="122" s="1" customFormat="1" ht="35" customHeight="1" spans="1:9">
      <c r="A122" s="58"/>
      <c r="B122" s="59"/>
      <c r="C122" s="60"/>
      <c r="D122" s="61"/>
      <c r="E122" s="35">
        <v>0</v>
      </c>
      <c r="F122" s="15"/>
      <c r="G122" s="15"/>
      <c r="H122" s="15"/>
      <c r="I122" s="45"/>
    </row>
    <row r="123" s="1" customFormat="1" ht="35" customHeight="1" spans="1:9">
      <c r="A123" s="58"/>
      <c r="B123" s="59"/>
      <c r="C123" s="60"/>
      <c r="D123" s="61"/>
      <c r="E123" s="35">
        <v>0</v>
      </c>
      <c r="F123" s="15"/>
      <c r="G123" s="15"/>
      <c r="H123" s="15"/>
      <c r="I123" s="45"/>
    </row>
    <row r="124" s="1" customFormat="1" ht="35" customHeight="1" spans="1:9">
      <c r="A124" s="58"/>
      <c r="B124" s="59"/>
      <c r="C124" s="60"/>
      <c r="D124" s="61"/>
      <c r="E124" s="35">
        <v>0</v>
      </c>
      <c r="F124" s="15"/>
      <c r="G124" s="15"/>
      <c r="H124" s="15"/>
      <c r="I124" s="45"/>
    </row>
    <row r="125" s="1" customFormat="1" ht="35" customHeight="1" spans="1:9">
      <c r="A125" s="58"/>
      <c r="B125" s="59"/>
      <c r="C125" s="60"/>
      <c r="D125" s="61"/>
      <c r="E125" s="35">
        <v>0</v>
      </c>
      <c r="F125" s="15"/>
      <c r="G125" s="15"/>
      <c r="H125" s="15"/>
      <c r="I125" s="45"/>
    </row>
    <row r="126" s="1" customFormat="1" ht="35" customHeight="1" spans="1:9">
      <c r="A126" s="58"/>
      <c r="B126" s="59"/>
      <c r="C126" s="60"/>
      <c r="D126" s="61"/>
      <c r="E126" s="35">
        <v>0</v>
      </c>
      <c r="F126" s="15"/>
      <c r="G126" s="15"/>
      <c r="H126" s="15"/>
      <c r="I126" s="45"/>
    </row>
    <row r="127" s="1" customFormat="1" ht="35" customHeight="1" spans="1:9">
      <c r="A127" s="58"/>
      <c r="B127" s="59"/>
      <c r="C127" s="60"/>
      <c r="D127" s="61"/>
      <c r="E127" s="35">
        <v>0</v>
      </c>
      <c r="F127" s="15"/>
      <c r="G127" s="15"/>
      <c r="H127" s="15"/>
      <c r="I127" s="45"/>
    </row>
    <row r="128" s="1" customFormat="1" ht="35" customHeight="1" spans="1:9">
      <c r="A128" s="58"/>
      <c r="B128" s="59"/>
      <c r="C128" s="56" t="s">
        <v>59</v>
      </c>
      <c r="D128" s="57"/>
      <c r="E128" s="66"/>
      <c r="F128" s="15"/>
      <c r="G128" s="15"/>
      <c r="H128" s="15"/>
      <c r="I128" s="45"/>
    </row>
    <row r="129" s="1" customFormat="1" ht="35" customHeight="1" spans="1:9">
      <c r="A129" s="58"/>
      <c r="B129" s="59"/>
      <c r="C129" s="60"/>
      <c r="D129" s="61"/>
      <c r="E129" s="78">
        <v>0</v>
      </c>
      <c r="F129" s="15"/>
      <c r="G129" s="15"/>
      <c r="H129" s="15"/>
      <c r="I129" s="45"/>
    </row>
    <row r="130" s="1" customFormat="1" ht="35" customHeight="1" spans="1:9">
      <c r="A130" s="58"/>
      <c r="B130" s="59"/>
      <c r="C130" s="60"/>
      <c r="D130" s="61"/>
      <c r="E130" s="78">
        <v>0</v>
      </c>
      <c r="F130" s="15"/>
      <c r="G130" s="15"/>
      <c r="H130" s="15"/>
      <c r="I130" s="45"/>
    </row>
    <row r="131" s="1" customFormat="1" ht="35" customHeight="1" spans="1:9">
      <c r="A131" s="58"/>
      <c r="B131" s="59"/>
      <c r="C131" s="60"/>
      <c r="D131" s="61"/>
      <c r="E131" s="78">
        <v>0</v>
      </c>
      <c r="F131" s="15"/>
      <c r="G131" s="15"/>
      <c r="H131" s="15"/>
      <c r="I131" s="45"/>
    </row>
    <row r="132" s="1" customFormat="1" ht="35" customHeight="1" spans="1:9">
      <c r="A132" s="58"/>
      <c r="B132" s="59"/>
      <c r="C132" s="60"/>
      <c r="D132" s="61"/>
      <c r="E132" s="78">
        <v>0</v>
      </c>
      <c r="F132" s="15"/>
      <c r="G132" s="15"/>
      <c r="H132" s="15"/>
      <c r="I132" s="45"/>
    </row>
    <row r="133" s="1" customFormat="1" ht="35" customHeight="1" spans="1:9">
      <c r="A133" s="58"/>
      <c r="B133" s="59"/>
      <c r="C133" s="60"/>
      <c r="D133" s="61"/>
      <c r="E133" s="78">
        <v>0</v>
      </c>
      <c r="F133" s="15"/>
      <c r="G133" s="15"/>
      <c r="H133" s="15"/>
      <c r="I133" s="45"/>
    </row>
    <row r="134" s="1" customFormat="1" ht="35" customHeight="1" spans="1:9">
      <c r="A134" s="67"/>
      <c r="B134" s="68"/>
      <c r="C134" s="60"/>
      <c r="D134" s="61"/>
      <c r="E134" s="78">
        <v>0</v>
      </c>
      <c r="F134" s="15"/>
      <c r="G134" s="15"/>
      <c r="H134" s="15"/>
      <c r="I134" s="45"/>
    </row>
    <row r="135" s="1" customFormat="1" ht="35" customHeight="1" spans="1:9">
      <c r="A135" s="51" t="s">
        <v>60</v>
      </c>
      <c r="B135" s="69"/>
      <c r="C135" s="70"/>
      <c r="D135" s="71"/>
      <c r="E135" s="78">
        <f>C96</f>
        <v>0</v>
      </c>
      <c r="F135" s="15"/>
      <c r="G135" s="15"/>
      <c r="H135" s="15"/>
      <c r="I135" s="45"/>
    </row>
    <row r="136" s="1" customFormat="1" ht="35" customHeight="1" spans="1:9">
      <c r="A136" s="72"/>
      <c r="B136" s="73"/>
      <c r="C136" s="37" t="s">
        <v>61</v>
      </c>
      <c r="D136" s="37"/>
      <c r="E136" s="79">
        <f ca="1">(F16+E116)-(SUM(E118:E127)+SUM(E129:E135))</f>
        <v>0</v>
      </c>
      <c r="F136" s="15"/>
      <c r="G136" s="15"/>
      <c r="H136" s="15"/>
      <c r="I136" s="45"/>
    </row>
    <row r="137" s="1" customFormat="1" ht="35" customHeight="1" spans="1:9">
      <c r="A137" s="15"/>
      <c r="B137" s="15"/>
      <c r="C137" s="15"/>
      <c r="D137" s="15"/>
      <c r="E137" s="15"/>
      <c r="F137" s="15"/>
      <c r="G137" s="15"/>
      <c r="H137" s="15"/>
      <c r="I137" s="45"/>
    </row>
    <row r="138" s="1" customFormat="1" ht="35" customHeight="1" spans="1:9">
      <c r="A138" s="15"/>
      <c r="B138" s="15"/>
      <c r="C138" s="15"/>
      <c r="D138" s="15"/>
      <c r="E138" s="15"/>
      <c r="F138" s="15"/>
      <c r="G138" s="15"/>
      <c r="H138" s="15"/>
      <c r="I138" s="45"/>
    </row>
    <row r="139" s="1" customFormat="1" ht="35" customHeight="1" spans="1:9">
      <c r="A139" s="15"/>
      <c r="B139" s="15"/>
      <c r="C139" s="15"/>
      <c r="D139" s="15"/>
      <c r="E139" s="15"/>
      <c r="F139" s="15"/>
      <c r="G139" s="15"/>
      <c r="H139" s="15"/>
      <c r="I139" s="45"/>
    </row>
    <row r="140" s="1" customFormat="1" ht="35" customHeight="1" spans="1:9">
      <c r="A140" s="15"/>
      <c r="B140" s="15"/>
      <c r="C140" s="15"/>
      <c r="D140" s="15"/>
      <c r="E140" s="15"/>
      <c r="F140" s="15"/>
      <c r="G140" s="15"/>
      <c r="H140" s="15"/>
      <c r="I140" s="45"/>
    </row>
    <row r="141" s="1" customFormat="1" ht="35" customHeight="1" spans="1:9">
      <c r="A141" s="48" t="str">
        <f>"Debts Or Credits For the Comming "&amp;IF(Main!B2,TEXT(EDATE(Main!B3,40),"mmmm dd yyyy"),TEXT(Main!B3+((Main!B5-Main!B3)*40+40),"dd mmmm yyyy"))&amp;" to "&amp;IF(Main!B2,TEXT(EDATE(Main!B3,41)-1,"mmmm dd yyyy"),TEXT(Main!B3+((Main!B5-Main!B3)*41+40),"mmmm dd yyyy"))</f>
        <v>Debts Or Credits For the Comming September 01 2028 to September 30 2028</v>
      </c>
      <c r="B141" s="49"/>
      <c r="C141" s="49"/>
      <c r="D141" s="49"/>
      <c r="E141" s="50"/>
      <c r="F141" s="15"/>
      <c r="G141" s="15"/>
      <c r="H141" s="15"/>
      <c r="I141" s="45"/>
    </row>
    <row r="142" s="1" customFormat="1" ht="35" customHeight="1" spans="1:9">
      <c r="A142" s="48" t="s">
        <v>57</v>
      </c>
      <c r="B142" s="50"/>
      <c r="C142" s="74" t="s">
        <v>44</v>
      </c>
      <c r="D142" s="75"/>
      <c r="E142" s="80" t="s">
        <v>45</v>
      </c>
      <c r="F142" s="15"/>
      <c r="G142" s="15"/>
      <c r="H142" s="15"/>
      <c r="I142" s="45"/>
    </row>
    <row r="143" s="1" customFormat="1" ht="35" customHeight="1" spans="1:9">
      <c r="A143" s="51" t="str">
        <f>"Balance Brought Forward From "&amp;IF(Main!B2,TEXT(EDATE(Main!B3,40)-1,"mmmm yyyy"),TEXT(Main!B3+((Main!B5-Main!B3)*40+39),"mmmm yyyy"))</f>
        <v>Balance Brought Forward From August 2028</v>
      </c>
      <c r="B143" s="52"/>
      <c r="C143" s="53"/>
      <c r="D143" s="53"/>
      <c r="E143" s="79">
        <f ca="1">E136</f>
        <v>0</v>
      </c>
      <c r="F143" s="15"/>
      <c r="G143" s="15"/>
      <c r="H143" s="15"/>
      <c r="I143" s="45"/>
    </row>
    <row r="144" s="1" customFormat="1" ht="35" customHeight="1" spans="1:9">
      <c r="A144" s="54" t="s">
        <v>52</v>
      </c>
      <c r="B144" s="55"/>
      <c r="C144" s="76" t="s">
        <v>58</v>
      </c>
      <c r="D144" s="77"/>
      <c r="E144" s="81"/>
      <c r="F144" s="15"/>
      <c r="G144" s="15"/>
      <c r="H144" s="15"/>
      <c r="I144" s="45"/>
    </row>
    <row r="145" s="1" customFormat="1" ht="35" customHeight="1" spans="1:9">
      <c r="A145" s="58"/>
      <c r="B145" s="59"/>
      <c r="C145" s="60"/>
      <c r="D145" s="61"/>
      <c r="E145" s="35">
        <v>0</v>
      </c>
      <c r="F145" s="15"/>
      <c r="G145" s="15"/>
      <c r="H145" s="15"/>
      <c r="I145" s="45"/>
    </row>
    <row r="146" s="1" customFormat="1" ht="35" customHeight="1" spans="1:9">
      <c r="A146" s="58"/>
      <c r="B146" s="59"/>
      <c r="C146" s="60"/>
      <c r="D146" s="61"/>
      <c r="E146" s="35">
        <v>0</v>
      </c>
      <c r="F146" s="15"/>
      <c r="G146" s="15"/>
      <c r="H146" s="15"/>
      <c r="I146" s="45"/>
    </row>
    <row r="147" s="1" customFormat="1" ht="35" customHeight="1" spans="1:9">
      <c r="A147" s="58"/>
      <c r="B147" s="59"/>
      <c r="C147" s="60"/>
      <c r="D147" s="61"/>
      <c r="E147" s="35">
        <v>0</v>
      </c>
      <c r="F147" s="15"/>
      <c r="G147" s="15"/>
      <c r="H147" s="15"/>
      <c r="I147" s="45"/>
    </row>
    <row r="148" s="1" customFormat="1" ht="35" customHeight="1" spans="1:9">
      <c r="A148" s="58"/>
      <c r="B148" s="59"/>
      <c r="C148" s="60"/>
      <c r="D148" s="61"/>
      <c r="E148" s="35">
        <v>0</v>
      </c>
      <c r="F148" s="15"/>
      <c r="G148" s="15"/>
      <c r="H148" s="15"/>
      <c r="I148" s="45"/>
    </row>
    <row r="149" s="1" customFormat="1" ht="35" customHeight="1" spans="1:9">
      <c r="A149" s="58"/>
      <c r="B149" s="59"/>
      <c r="C149" s="60"/>
      <c r="D149" s="61"/>
      <c r="E149" s="35">
        <v>0</v>
      </c>
      <c r="F149" s="15"/>
      <c r="G149" s="15"/>
      <c r="H149" s="15"/>
      <c r="I149" s="45"/>
    </row>
    <row r="150" s="1" customFormat="1" ht="35" customHeight="1" spans="1:9">
      <c r="A150" s="58"/>
      <c r="B150" s="59"/>
      <c r="C150" s="60"/>
      <c r="D150" s="61"/>
      <c r="E150" s="35">
        <v>0</v>
      </c>
      <c r="F150" s="15"/>
      <c r="G150" s="15"/>
      <c r="H150" s="15"/>
      <c r="I150" s="45"/>
    </row>
    <row r="151" s="1" customFormat="1" ht="35" customHeight="1" spans="1:9">
      <c r="A151" s="58"/>
      <c r="B151" s="59"/>
      <c r="C151" s="60"/>
      <c r="D151" s="61"/>
      <c r="E151" s="35">
        <v>0</v>
      </c>
      <c r="F151" s="15"/>
      <c r="G151" s="15"/>
      <c r="H151" s="15"/>
      <c r="I151" s="45"/>
    </row>
    <row r="152" s="1" customFormat="1" ht="35" customHeight="1" spans="1:9">
      <c r="A152" s="58"/>
      <c r="B152" s="59"/>
      <c r="C152" s="60"/>
      <c r="D152" s="61"/>
      <c r="E152" s="35">
        <v>0</v>
      </c>
      <c r="F152" s="15"/>
      <c r="G152" s="15"/>
      <c r="H152" s="15"/>
      <c r="I152" s="45"/>
    </row>
    <row r="153" s="1" customFormat="1" ht="35" customHeight="1" spans="1:9">
      <c r="A153" s="58"/>
      <c r="B153" s="59"/>
      <c r="C153" s="60"/>
      <c r="D153" s="61"/>
      <c r="E153" s="35">
        <v>0</v>
      </c>
      <c r="F153" s="15"/>
      <c r="G153" s="15"/>
      <c r="H153" s="15"/>
      <c r="I153" s="45"/>
    </row>
    <row r="154" s="1" customFormat="1" ht="35" customHeight="1" spans="1:9">
      <c r="A154" s="58"/>
      <c r="B154" s="59"/>
      <c r="C154" s="60"/>
      <c r="D154" s="61"/>
      <c r="E154" s="35">
        <v>0</v>
      </c>
      <c r="F154" s="15"/>
      <c r="G154" s="15"/>
      <c r="H154" s="15"/>
      <c r="I154" s="45"/>
    </row>
    <row r="155" s="1" customFormat="1" ht="35" customHeight="1" spans="1:9">
      <c r="A155" s="58"/>
      <c r="B155" s="59"/>
      <c r="C155" s="56" t="s">
        <v>59</v>
      </c>
      <c r="D155" s="57"/>
      <c r="E155" s="66"/>
      <c r="F155" s="15"/>
      <c r="G155" s="15"/>
      <c r="H155" s="15"/>
      <c r="I155" s="45"/>
    </row>
    <row r="156" s="1" customFormat="1" ht="35" customHeight="1" spans="1:9">
      <c r="A156" s="58"/>
      <c r="B156" s="59"/>
      <c r="C156" s="60"/>
      <c r="D156" s="61"/>
      <c r="E156" s="78">
        <v>0</v>
      </c>
      <c r="F156" s="15"/>
      <c r="G156" s="15"/>
      <c r="H156" s="15"/>
      <c r="I156" s="45"/>
    </row>
    <row r="157" s="1" customFormat="1" ht="35" customHeight="1" spans="1:9">
      <c r="A157" s="58"/>
      <c r="B157" s="59"/>
      <c r="C157" s="60"/>
      <c r="D157" s="61"/>
      <c r="E157" s="78">
        <v>0</v>
      </c>
      <c r="F157" s="15"/>
      <c r="G157" s="15"/>
      <c r="H157" s="15"/>
      <c r="I157" s="45"/>
    </row>
    <row r="158" s="1" customFormat="1" ht="35" customHeight="1" spans="1:9">
      <c r="A158" s="58"/>
      <c r="B158" s="59"/>
      <c r="C158" s="60"/>
      <c r="D158" s="61"/>
      <c r="E158" s="78">
        <v>0</v>
      </c>
      <c r="F158" s="15"/>
      <c r="G158" s="15"/>
      <c r="H158" s="15"/>
      <c r="I158" s="45"/>
    </row>
    <row r="159" s="1" customFormat="1" ht="35" customHeight="1" spans="1:9">
      <c r="A159" s="58"/>
      <c r="B159" s="59"/>
      <c r="C159" s="60"/>
      <c r="D159" s="61"/>
      <c r="E159" s="78">
        <v>0</v>
      </c>
      <c r="F159" s="15"/>
      <c r="G159" s="15"/>
      <c r="H159" s="15"/>
      <c r="I159" s="45"/>
    </row>
    <row r="160" s="1" customFormat="1" ht="35" customHeight="1" spans="1:9">
      <c r="A160" s="58"/>
      <c r="B160" s="59"/>
      <c r="C160" s="60"/>
      <c r="D160" s="61"/>
      <c r="E160" s="78">
        <v>0</v>
      </c>
      <c r="F160" s="15"/>
      <c r="G160" s="15"/>
      <c r="H160" s="15"/>
      <c r="I160" s="45"/>
    </row>
    <row r="161" s="1" customFormat="1" ht="35" customHeight="1" spans="1:9">
      <c r="A161" s="67"/>
      <c r="B161" s="68"/>
      <c r="C161" s="60"/>
      <c r="D161" s="61"/>
      <c r="E161" s="78">
        <v>0</v>
      </c>
      <c r="F161" s="15"/>
      <c r="G161" s="15"/>
      <c r="H161" s="15"/>
      <c r="I161" s="45"/>
    </row>
    <row r="162" s="1" customFormat="1" ht="35" customHeight="1" spans="1:9">
      <c r="A162" s="51" t="s">
        <v>60</v>
      </c>
      <c r="B162" s="69"/>
      <c r="C162" s="70"/>
      <c r="D162" s="71"/>
      <c r="E162" s="78">
        <f>C96</f>
        <v>0</v>
      </c>
      <c r="F162" s="15"/>
      <c r="G162" s="15"/>
      <c r="H162" s="15"/>
      <c r="I162" s="45"/>
    </row>
    <row r="163" s="1" customFormat="1" ht="35" customHeight="1" spans="1:9">
      <c r="A163" s="72"/>
      <c r="B163" s="73"/>
      <c r="C163" s="37" t="s">
        <v>61</v>
      </c>
      <c r="D163" s="37"/>
      <c r="E163" s="65">
        <f ca="1">(F28+E143)-(SUM(E145:E154)+SUM(E156:E162))</f>
        <v>0</v>
      </c>
      <c r="F163" s="15"/>
      <c r="G163" s="15"/>
      <c r="H163" s="15"/>
      <c r="I163" s="45"/>
    </row>
    <row r="164" s="1" customFormat="1" ht="35" customHeight="1" spans="1:9">
      <c r="A164" s="15"/>
      <c r="B164" s="15"/>
      <c r="C164" s="15"/>
      <c r="D164" s="15"/>
      <c r="E164" s="15"/>
      <c r="F164" s="15"/>
      <c r="G164" s="15"/>
      <c r="H164" s="15"/>
      <c r="I164" s="45"/>
    </row>
    <row r="165" s="1" customFormat="1" ht="35" customHeight="1" spans="1:9">
      <c r="A165" s="15"/>
      <c r="B165" s="15"/>
      <c r="C165" s="15"/>
      <c r="D165" s="15"/>
      <c r="E165" s="15"/>
      <c r="F165" s="15"/>
      <c r="G165" s="15"/>
      <c r="H165" s="15"/>
      <c r="I165" s="45"/>
    </row>
    <row r="166" s="1" customFormat="1" ht="35" customHeight="1" spans="1:9">
      <c r="A166" s="15"/>
      <c r="B166" s="15"/>
      <c r="C166" s="15"/>
      <c r="D166" s="15"/>
      <c r="E166" s="15"/>
      <c r="F166" s="15"/>
      <c r="G166" s="15"/>
      <c r="H166" s="15"/>
      <c r="I166" s="45"/>
    </row>
    <row r="167" s="1" customFormat="1" ht="35" customHeight="1" spans="1:9">
      <c r="A167" s="15"/>
      <c r="B167" s="15"/>
      <c r="C167" s="15"/>
      <c r="D167" s="15"/>
      <c r="E167" s="15"/>
      <c r="F167" s="15"/>
      <c r="G167" s="15"/>
      <c r="H167" s="15"/>
      <c r="I167" s="45"/>
    </row>
    <row r="168" s="1" customFormat="1" ht="35" customHeight="1" spans="1:9">
      <c r="A168" s="48" t="str">
        <f>"Debts Or Credits For the Comming "&amp;IF(Main!B2,TEXT(EDATE(Main!B3,41),"mmmm dd yyyy"),TEXT(Main!B3+((Main!B5-Main!B3)*41+41),"mmmm dd yyyy"))&amp;" to "&amp;IF(Main!B2,TEXT(EDATE(Main!B3,42)-1,"mmmm dd yyyy"),TEXT(Main!B3+((Main!B5-Main!B3)*42+41),"mmmm dd yyyy"))</f>
        <v>Debts Or Credits For the Comming October 01 2028 to October 31 2028</v>
      </c>
      <c r="B168" s="49"/>
      <c r="C168" s="49"/>
      <c r="D168" s="49"/>
      <c r="E168" s="50"/>
      <c r="F168" s="15"/>
      <c r="G168" s="15"/>
      <c r="H168" s="15"/>
      <c r="I168" s="45"/>
    </row>
    <row r="169" s="1" customFormat="1" ht="35" customHeight="1" spans="1:9">
      <c r="A169" s="48" t="s">
        <v>57</v>
      </c>
      <c r="B169" s="50"/>
      <c r="C169" s="74" t="s">
        <v>44</v>
      </c>
      <c r="D169" s="75"/>
      <c r="E169" s="80" t="s">
        <v>45</v>
      </c>
      <c r="F169" s="15"/>
      <c r="G169" s="15"/>
      <c r="H169" s="15"/>
      <c r="I169" s="45"/>
    </row>
    <row r="170" s="1" customFormat="1" ht="35" customHeight="1" spans="1:9">
      <c r="A170" s="51" t="str">
        <f>"Balance Brought Forward From "&amp;IF(Main!B2,TEXT(EDATE(Main!B3,41)-1,"mmmm yyyy"),TEXT(Main!B3+((Main!B5-Main!B3)*41+40),"mmmm yyyy"))</f>
        <v>Balance Brought Forward From September 2028</v>
      </c>
      <c r="B170" s="52"/>
      <c r="C170" s="53"/>
      <c r="D170" s="53"/>
      <c r="E170" s="65">
        <f ca="1">E163</f>
        <v>0</v>
      </c>
      <c r="F170" s="15"/>
      <c r="G170" s="15"/>
      <c r="H170" s="15"/>
      <c r="I170" s="45"/>
    </row>
    <row r="171" s="1" customFormat="1" ht="35" customHeight="1" spans="1:9">
      <c r="A171" s="54" t="s">
        <v>52</v>
      </c>
      <c r="B171" s="55"/>
      <c r="C171" s="76" t="s">
        <v>58</v>
      </c>
      <c r="D171" s="77"/>
      <c r="E171" s="81"/>
      <c r="F171" s="15"/>
      <c r="G171" s="15"/>
      <c r="H171" s="15"/>
      <c r="I171" s="45"/>
    </row>
    <row r="172" s="1" customFormat="1" ht="35" customHeight="1" spans="1:9">
      <c r="A172" s="58"/>
      <c r="B172" s="59"/>
      <c r="C172" s="60"/>
      <c r="D172" s="61"/>
      <c r="E172" s="35">
        <v>0</v>
      </c>
      <c r="F172" s="15"/>
      <c r="G172" s="15"/>
      <c r="H172" s="15"/>
      <c r="I172" s="45"/>
    </row>
    <row r="173" s="1" customFormat="1" ht="35" customHeight="1" spans="1:9">
      <c r="A173" s="58"/>
      <c r="B173" s="59"/>
      <c r="C173" s="60"/>
      <c r="D173" s="61"/>
      <c r="E173" s="35">
        <v>0</v>
      </c>
      <c r="F173" s="15"/>
      <c r="G173" s="15"/>
      <c r="H173" s="15"/>
      <c r="I173" s="45"/>
    </row>
    <row r="174" s="1" customFormat="1" ht="35" customHeight="1" spans="1:9">
      <c r="A174" s="58"/>
      <c r="B174" s="59"/>
      <c r="C174" s="60"/>
      <c r="D174" s="61"/>
      <c r="E174" s="35">
        <v>0</v>
      </c>
      <c r="F174" s="15"/>
      <c r="G174" s="15"/>
      <c r="H174" s="15"/>
      <c r="I174" s="45"/>
    </row>
    <row r="175" s="1" customFormat="1" ht="35" customHeight="1" spans="1:9">
      <c r="A175" s="58"/>
      <c r="B175" s="59"/>
      <c r="C175" s="60"/>
      <c r="D175" s="61"/>
      <c r="E175" s="35">
        <v>0</v>
      </c>
      <c r="F175" s="15"/>
      <c r="G175" s="15"/>
      <c r="H175" s="15"/>
      <c r="I175" s="45"/>
    </row>
    <row r="176" s="1" customFormat="1" ht="35" customHeight="1" spans="1:9">
      <c r="A176" s="58"/>
      <c r="B176" s="59"/>
      <c r="C176" s="60"/>
      <c r="D176" s="61"/>
      <c r="E176" s="35">
        <v>0</v>
      </c>
      <c r="F176" s="15"/>
      <c r="G176" s="15"/>
      <c r="H176" s="15"/>
      <c r="I176" s="45"/>
    </row>
    <row r="177" s="1" customFormat="1" ht="35" customHeight="1" spans="1:9">
      <c r="A177" s="58"/>
      <c r="B177" s="59"/>
      <c r="C177" s="60"/>
      <c r="D177" s="61"/>
      <c r="E177" s="35">
        <v>0</v>
      </c>
      <c r="F177" s="15"/>
      <c r="G177" s="15"/>
      <c r="H177" s="15"/>
      <c r="I177" s="45"/>
    </row>
    <row r="178" s="1" customFormat="1" ht="35" customHeight="1" spans="1:9">
      <c r="A178" s="58"/>
      <c r="B178" s="59"/>
      <c r="C178" s="60"/>
      <c r="D178" s="61"/>
      <c r="E178" s="35">
        <v>0</v>
      </c>
      <c r="F178" s="15"/>
      <c r="G178" s="15"/>
      <c r="H178" s="15"/>
      <c r="I178" s="45"/>
    </row>
    <row r="179" s="1" customFormat="1" ht="35" customHeight="1" spans="1:9">
      <c r="A179" s="58"/>
      <c r="B179" s="59"/>
      <c r="C179" s="60"/>
      <c r="D179" s="61"/>
      <c r="E179" s="35">
        <v>0</v>
      </c>
      <c r="F179" s="15"/>
      <c r="G179" s="15"/>
      <c r="H179" s="15"/>
      <c r="I179" s="45"/>
    </row>
    <row r="180" s="1" customFormat="1" ht="35" customHeight="1" spans="1:9">
      <c r="A180" s="58"/>
      <c r="B180" s="59"/>
      <c r="C180" s="60"/>
      <c r="D180" s="61"/>
      <c r="E180" s="35">
        <v>0</v>
      </c>
      <c r="F180" s="15"/>
      <c r="G180" s="15"/>
      <c r="H180" s="15"/>
      <c r="I180" s="45"/>
    </row>
    <row r="181" s="1" customFormat="1" ht="35" customHeight="1" spans="1:9">
      <c r="A181" s="58"/>
      <c r="B181" s="59"/>
      <c r="C181" s="60"/>
      <c r="D181" s="61"/>
      <c r="E181" s="35">
        <v>0</v>
      </c>
      <c r="F181" s="15"/>
      <c r="G181" s="15"/>
      <c r="H181" s="15"/>
      <c r="I181" s="45"/>
    </row>
    <row r="182" s="1" customFormat="1" ht="35" customHeight="1" spans="1:9">
      <c r="A182" s="58"/>
      <c r="B182" s="59"/>
      <c r="C182" s="56" t="s">
        <v>59</v>
      </c>
      <c r="D182" s="57"/>
      <c r="E182" s="66"/>
      <c r="F182" s="15"/>
      <c r="G182" s="15"/>
      <c r="H182" s="15"/>
      <c r="I182" s="45"/>
    </row>
    <row r="183" s="1" customFormat="1" ht="35" customHeight="1" spans="1:9">
      <c r="A183" s="58"/>
      <c r="B183" s="59"/>
      <c r="C183" s="60"/>
      <c r="D183" s="61"/>
      <c r="E183" s="78">
        <v>0</v>
      </c>
      <c r="F183" s="15"/>
      <c r="G183" s="15"/>
      <c r="H183" s="15"/>
      <c r="I183" s="45"/>
    </row>
    <row r="184" s="1" customFormat="1" ht="35" customHeight="1" spans="1:9">
      <c r="A184" s="58"/>
      <c r="B184" s="59"/>
      <c r="C184" s="60"/>
      <c r="D184" s="61"/>
      <c r="E184" s="78">
        <v>0</v>
      </c>
      <c r="F184" s="15"/>
      <c r="G184" s="15"/>
      <c r="H184" s="15"/>
      <c r="I184" s="45"/>
    </row>
    <row r="185" s="1" customFormat="1" ht="35" customHeight="1" spans="1:9">
      <c r="A185" s="58"/>
      <c r="B185" s="59"/>
      <c r="C185" s="60"/>
      <c r="D185" s="61"/>
      <c r="E185" s="78">
        <v>0</v>
      </c>
      <c r="F185" s="15"/>
      <c r="G185" s="15"/>
      <c r="H185" s="15"/>
      <c r="I185" s="45"/>
    </row>
    <row r="186" s="1" customFormat="1" ht="35" customHeight="1" spans="1:9">
      <c r="A186" s="58"/>
      <c r="B186" s="59"/>
      <c r="C186" s="60"/>
      <c r="D186" s="61"/>
      <c r="E186" s="78">
        <v>0</v>
      </c>
      <c r="F186" s="15"/>
      <c r="G186" s="15"/>
      <c r="H186" s="15"/>
      <c r="I186" s="45"/>
    </row>
    <row r="187" s="1" customFormat="1" ht="35" customHeight="1" spans="1:9">
      <c r="A187" s="58"/>
      <c r="B187" s="59"/>
      <c r="C187" s="60"/>
      <c r="D187" s="61"/>
      <c r="E187" s="78">
        <v>0</v>
      </c>
      <c r="F187" s="15"/>
      <c r="G187" s="15"/>
      <c r="H187" s="15"/>
      <c r="I187" s="45"/>
    </row>
    <row r="188" s="1" customFormat="1" ht="35" customHeight="1" spans="1:9">
      <c r="A188" s="67"/>
      <c r="B188" s="68"/>
      <c r="C188" s="60"/>
      <c r="D188" s="61"/>
      <c r="E188" s="78">
        <v>0</v>
      </c>
      <c r="F188" s="15"/>
      <c r="G188" s="15"/>
      <c r="H188" s="15"/>
      <c r="I188" s="45"/>
    </row>
    <row r="189" s="1" customFormat="1" ht="35" customHeight="1" spans="1:9">
      <c r="A189" s="51" t="s">
        <v>60</v>
      </c>
      <c r="B189" s="69"/>
      <c r="C189" s="70"/>
      <c r="D189" s="71"/>
      <c r="E189" s="78">
        <f>C96</f>
        <v>0</v>
      </c>
      <c r="F189" s="15"/>
      <c r="G189" s="15"/>
      <c r="H189" s="15"/>
      <c r="I189" s="45"/>
    </row>
    <row r="190" s="1" customFormat="1" ht="35" customHeight="1" spans="1:9">
      <c r="A190" s="72"/>
      <c r="B190" s="73"/>
      <c r="C190" s="37" t="s">
        <v>61</v>
      </c>
      <c r="D190" s="37"/>
      <c r="E190" s="65">
        <f ca="1">(F40+E170)-(SUM(E172:E181)+SUM(E183:E189))</f>
        <v>0</v>
      </c>
      <c r="F190" s="15"/>
      <c r="G190" s="15"/>
      <c r="H190" s="15"/>
      <c r="I190" s="45"/>
    </row>
    <row r="191" s="1" customFormat="1" ht="35" customHeight="1" spans="1:9">
      <c r="A191" s="15"/>
      <c r="B191" s="15"/>
      <c r="C191" s="15"/>
      <c r="D191" s="15"/>
      <c r="E191" s="15"/>
      <c r="F191" s="15"/>
      <c r="G191" s="15"/>
      <c r="H191" s="15"/>
      <c r="I191" s="45"/>
    </row>
    <row r="192" s="1" customFormat="1" ht="35" customHeight="1" spans="1:9">
      <c r="A192" s="38"/>
      <c r="B192" s="38"/>
      <c r="C192" s="38"/>
      <c r="D192" s="38"/>
      <c r="E192" s="38"/>
      <c r="F192" s="38"/>
      <c r="G192" s="38"/>
      <c r="H192" s="38"/>
      <c r="I192" s="38"/>
    </row>
    <row r="193" ht="24.75" customHeight="1" spans="1:9">
      <c r="A193" s="82"/>
      <c r="B193" s="82"/>
      <c r="C193" s="82"/>
      <c r="D193" s="82"/>
      <c r="E193" s="82"/>
      <c r="F193" s="82"/>
      <c r="G193" s="82"/>
      <c r="H193" s="82"/>
      <c r="I193" s="82"/>
    </row>
  </sheetData>
  <sheetProtection sheet="1" formatCells="0" formatColumns="0" formatRows="0" objects="1"/>
  <protectedRanges>
    <protectedRange sqref="A10:G15" name="R1"/>
    <protectedRange sqref="A22:G27" name="R2"/>
    <protectedRange sqref="A34:G39" name="R3"/>
    <protectedRange sqref="A46:C46 C47:C54" name="F1"/>
    <protectedRange sqref="C56:C65" name="F2"/>
    <protectedRange sqref="C67:C74" name="F3"/>
    <protectedRange sqref="C76:C84" name="F4"/>
    <protectedRange sqref="C86:C94" name="F5"/>
    <protectedRange sqref="C117:E134" name="E1"/>
    <protectedRange sqref="C144:E161" name="E2"/>
    <protectedRange sqref="C171:E188" name="E3"/>
    <protectedRange sqref="A56:B56" name="F2_1"/>
    <protectedRange sqref="A67:B67" name="F3_1"/>
    <protectedRange sqref="A76:B76" name="F4_1"/>
    <protectedRange sqref="A86:B86" name="F5_1"/>
  </protectedRanges>
  <mergeCells count="174">
    <mergeCell ref="A1:G1"/>
    <mergeCell ref="C2:G2"/>
    <mergeCell ref="C3:G3"/>
    <mergeCell ref="A4:B4"/>
    <mergeCell ref="C4:G4"/>
    <mergeCell ref="A5:B5"/>
    <mergeCell ref="C5:G5"/>
    <mergeCell ref="A8:G8"/>
    <mergeCell ref="B9:C9"/>
    <mergeCell ref="D9:E9"/>
    <mergeCell ref="F9:G9"/>
    <mergeCell ref="B10:C10"/>
    <mergeCell ref="D10:E10"/>
    <mergeCell ref="F10:G10"/>
    <mergeCell ref="B11:C11"/>
    <mergeCell ref="D11:E11"/>
    <mergeCell ref="F11:G11"/>
    <mergeCell ref="B12:C12"/>
    <mergeCell ref="D12:E12"/>
    <mergeCell ref="F12:G12"/>
    <mergeCell ref="B13:C13"/>
    <mergeCell ref="D13:E13"/>
    <mergeCell ref="F13:G13"/>
    <mergeCell ref="B14:C14"/>
    <mergeCell ref="D14:E14"/>
    <mergeCell ref="F14:G14"/>
    <mergeCell ref="B15:C15"/>
    <mergeCell ref="D15:E15"/>
    <mergeCell ref="F15:G15"/>
    <mergeCell ref="B16:C16"/>
    <mergeCell ref="D16:E16"/>
    <mergeCell ref="F16:G16"/>
    <mergeCell ref="A20:G20"/>
    <mergeCell ref="B21:C21"/>
    <mergeCell ref="D21:E21"/>
    <mergeCell ref="F21:G21"/>
    <mergeCell ref="B22:C22"/>
    <mergeCell ref="D22:E22"/>
    <mergeCell ref="F22:G22"/>
    <mergeCell ref="B23:C23"/>
    <mergeCell ref="D23:E23"/>
    <mergeCell ref="F23:G23"/>
    <mergeCell ref="B24:C24"/>
    <mergeCell ref="D24:E24"/>
    <mergeCell ref="F24:G24"/>
    <mergeCell ref="B25:C25"/>
    <mergeCell ref="D25:E25"/>
    <mergeCell ref="F25:G25"/>
    <mergeCell ref="B26:C26"/>
    <mergeCell ref="D26:E26"/>
    <mergeCell ref="F26:G26"/>
    <mergeCell ref="B27:C27"/>
    <mergeCell ref="D27:E27"/>
    <mergeCell ref="F27:G27"/>
    <mergeCell ref="B28:C28"/>
    <mergeCell ref="D28:E28"/>
    <mergeCell ref="F28:G28"/>
    <mergeCell ref="A32:G32"/>
    <mergeCell ref="B33:C33"/>
    <mergeCell ref="D33:E33"/>
    <mergeCell ref="F33:G33"/>
    <mergeCell ref="B34:C34"/>
    <mergeCell ref="D34:E34"/>
    <mergeCell ref="F34:G34"/>
    <mergeCell ref="B35:C35"/>
    <mergeCell ref="D35:E35"/>
    <mergeCell ref="F35:G35"/>
    <mergeCell ref="B36:C36"/>
    <mergeCell ref="D36:E36"/>
    <mergeCell ref="F36:G36"/>
    <mergeCell ref="B37:C37"/>
    <mergeCell ref="D37:E37"/>
    <mergeCell ref="F37:G37"/>
    <mergeCell ref="B38:C38"/>
    <mergeCell ref="D38:E38"/>
    <mergeCell ref="F38:G38"/>
    <mergeCell ref="B39:C39"/>
    <mergeCell ref="D39:E39"/>
    <mergeCell ref="F39:G39"/>
    <mergeCell ref="B40:C40"/>
    <mergeCell ref="D40:E40"/>
    <mergeCell ref="F40:G40"/>
    <mergeCell ref="A44:C44"/>
    <mergeCell ref="A46:C46"/>
    <mergeCell ref="A56:C56"/>
    <mergeCell ref="A67:C67"/>
    <mergeCell ref="A76:C76"/>
    <mergeCell ref="A86:C86"/>
    <mergeCell ref="A97:C97"/>
    <mergeCell ref="A114:E114"/>
    <mergeCell ref="A115:B115"/>
    <mergeCell ref="C115:D115"/>
    <mergeCell ref="A116:B116"/>
    <mergeCell ref="C116:D116"/>
    <mergeCell ref="C117:D117"/>
    <mergeCell ref="C118:D118"/>
    <mergeCell ref="C119:D119"/>
    <mergeCell ref="C120:D120"/>
    <mergeCell ref="C121:D121"/>
    <mergeCell ref="C122:D122"/>
    <mergeCell ref="C123:D123"/>
    <mergeCell ref="C124:D124"/>
    <mergeCell ref="C125:D125"/>
    <mergeCell ref="C126:D126"/>
    <mergeCell ref="C127:D127"/>
    <mergeCell ref="C128:D128"/>
    <mergeCell ref="C129:D129"/>
    <mergeCell ref="C130:D130"/>
    <mergeCell ref="C131:D131"/>
    <mergeCell ref="C132:D132"/>
    <mergeCell ref="C133:D133"/>
    <mergeCell ref="C134:D134"/>
    <mergeCell ref="A135:B135"/>
    <mergeCell ref="C135:D135"/>
    <mergeCell ref="A136:B136"/>
    <mergeCell ref="C136:D136"/>
    <mergeCell ref="A141:E141"/>
    <mergeCell ref="A142:B142"/>
    <mergeCell ref="C142:D142"/>
    <mergeCell ref="A143:B143"/>
    <mergeCell ref="C143:D143"/>
    <mergeCell ref="C144:D144"/>
    <mergeCell ref="C145:D145"/>
    <mergeCell ref="C146:D146"/>
    <mergeCell ref="C147:D147"/>
    <mergeCell ref="C148:D148"/>
    <mergeCell ref="C149:D149"/>
    <mergeCell ref="C150:D150"/>
    <mergeCell ref="C151:D151"/>
    <mergeCell ref="C152:D152"/>
    <mergeCell ref="C153:D153"/>
    <mergeCell ref="C154:D154"/>
    <mergeCell ref="C155:D155"/>
    <mergeCell ref="C156:D156"/>
    <mergeCell ref="C157:D157"/>
    <mergeCell ref="C158:D158"/>
    <mergeCell ref="C159:D159"/>
    <mergeCell ref="C160:D160"/>
    <mergeCell ref="C161:D161"/>
    <mergeCell ref="A162:B162"/>
    <mergeCell ref="C162:D162"/>
    <mergeCell ref="A163:B163"/>
    <mergeCell ref="C163:D163"/>
    <mergeCell ref="A168:E168"/>
    <mergeCell ref="A169:B169"/>
    <mergeCell ref="C169:D169"/>
    <mergeCell ref="A170:B170"/>
    <mergeCell ref="C170:D170"/>
    <mergeCell ref="C171:D171"/>
    <mergeCell ref="C172:D172"/>
    <mergeCell ref="C173:D173"/>
    <mergeCell ref="C174:D174"/>
    <mergeCell ref="C175:D175"/>
    <mergeCell ref="C176:D176"/>
    <mergeCell ref="C177:D177"/>
    <mergeCell ref="C178:D178"/>
    <mergeCell ref="C179:D179"/>
    <mergeCell ref="C180:D180"/>
    <mergeCell ref="C181:D181"/>
    <mergeCell ref="C182:D182"/>
    <mergeCell ref="C183:D183"/>
    <mergeCell ref="C184:D184"/>
    <mergeCell ref="C185:D185"/>
    <mergeCell ref="C186:D186"/>
    <mergeCell ref="C187:D187"/>
    <mergeCell ref="C188:D188"/>
    <mergeCell ref="A189:B189"/>
    <mergeCell ref="C189:D189"/>
    <mergeCell ref="A190:B190"/>
    <mergeCell ref="C190:D190"/>
    <mergeCell ref="A2:A3"/>
    <mergeCell ref="A171:B188"/>
    <mergeCell ref="A144:B161"/>
    <mergeCell ref="A117:B134"/>
  </mergeCells>
  <conditionalFormatting sqref="C5">
    <cfRule type="cellIs" dxfId="0" priority="6" operator="equal">
      <formula>0</formula>
    </cfRule>
    <cfRule type="cellIs" dxfId="1" priority="5" operator="greaterThan">
      <formula>0</formula>
    </cfRule>
  </conditionalFormatting>
  <conditionalFormatting sqref="C75">
    <cfRule type="cellIs" dxfId="0" priority="51" operator="equal">
      <formula>0</formula>
    </cfRule>
    <cfRule type="cellIs" dxfId="1" priority="50" operator="greaterThan">
      <formula>0</formula>
    </cfRule>
  </conditionalFormatting>
  <conditionalFormatting sqref="C77">
    <cfRule type="cellIs" dxfId="0" priority="49" operator="equal">
      <formula>0</formula>
    </cfRule>
    <cfRule type="cellIs" dxfId="1" priority="48" operator="greaterThan">
      <formula>0</formula>
    </cfRule>
  </conditionalFormatting>
  <conditionalFormatting sqref="C108">
    <cfRule type="cellIs" dxfId="0" priority="4" operator="greaterThanOrEqual">
      <formula>0</formula>
    </cfRule>
    <cfRule type="cellIs" dxfId="1" priority="3" operator="lessThan">
      <formula>0</formula>
    </cfRule>
  </conditionalFormatting>
  <conditionalFormatting sqref="C109">
    <cfRule type="cellIs" dxfId="0" priority="2" operator="greaterThanOrEqual">
      <formula>0</formula>
    </cfRule>
    <cfRule type="cellIs" dxfId="1" priority="1" operator="lessThan">
      <formula>0</formula>
    </cfRule>
  </conditionalFormatting>
  <conditionalFormatting sqref="E116">
    <cfRule type="cellIs" dxfId="3" priority="12" operator="greaterThanOrEqual">
      <formula>0</formula>
    </cfRule>
    <cfRule type="cellIs" dxfId="4" priority="11" operator="lessThan">
      <formula>0</formula>
    </cfRule>
  </conditionalFormatting>
  <conditionalFormatting sqref="E136">
    <cfRule type="cellIs" dxfId="3" priority="43" operator="greaterThanOrEqual">
      <formula>0</formula>
    </cfRule>
    <cfRule type="cellIs" dxfId="4" priority="42" operator="lessThan">
      <formula>0</formula>
    </cfRule>
  </conditionalFormatting>
  <conditionalFormatting sqref="E143">
    <cfRule type="cellIs" dxfId="3" priority="30" operator="greaterThanOrEqual">
      <formula>0</formula>
    </cfRule>
    <cfRule type="cellIs" dxfId="4" priority="29" operator="lessThan">
      <formula>0</formula>
    </cfRule>
  </conditionalFormatting>
  <conditionalFormatting sqref="E163">
    <cfRule type="cellIs" dxfId="3" priority="32" operator="greaterThanOrEqual">
      <formula>0</formula>
    </cfRule>
    <cfRule type="cellIs" dxfId="4" priority="31" operator="lessThan">
      <formula>0</formula>
    </cfRule>
  </conditionalFormatting>
  <conditionalFormatting sqref="E170">
    <cfRule type="cellIs" dxfId="3" priority="24" operator="greaterThanOrEqual">
      <formula>0</formula>
    </cfRule>
    <cfRule type="cellIs" dxfId="4" priority="23" operator="lessThan">
      <formula>0</formula>
    </cfRule>
  </conditionalFormatting>
  <conditionalFormatting sqref="E190">
    <cfRule type="cellIs" dxfId="3" priority="26" operator="greaterThanOrEqual">
      <formula>0</formula>
    </cfRule>
    <cfRule type="cellIs" dxfId="4" priority="25" operator="lessThan">
      <formula>0</formula>
    </cfRule>
  </conditionalFormatting>
  <conditionalFormatting sqref="C57:C66">
    <cfRule type="cellIs" dxfId="0" priority="55" operator="equal">
      <formula>0</formula>
    </cfRule>
    <cfRule type="cellIs" dxfId="1" priority="54" operator="greaterThan">
      <formula>0</formula>
    </cfRule>
  </conditionalFormatting>
  <conditionalFormatting sqref="C68:C69">
    <cfRule type="cellIs" dxfId="0" priority="53" operator="equal">
      <formula>0</formula>
    </cfRule>
    <cfRule type="cellIs" dxfId="1" priority="52" operator="greaterThan">
      <formula>0</formula>
    </cfRule>
  </conditionalFormatting>
  <conditionalFormatting sqref="C70:C74">
    <cfRule type="cellIs" dxfId="0" priority="41" operator="equal">
      <formula>0</formula>
    </cfRule>
    <cfRule type="cellIs" dxfId="1" priority="40" operator="greaterThan">
      <formula>0</formula>
    </cfRule>
  </conditionalFormatting>
  <conditionalFormatting sqref="C78:C79">
    <cfRule type="cellIs" dxfId="0" priority="10" operator="equal">
      <formula>0</formula>
    </cfRule>
    <cfRule type="cellIs" dxfId="1" priority="9" operator="greaterThan">
      <formula>0</formula>
    </cfRule>
  </conditionalFormatting>
  <conditionalFormatting sqref="C80:C84">
    <cfRule type="cellIs" dxfId="0" priority="39" operator="equal">
      <formula>0</formula>
    </cfRule>
    <cfRule type="cellIs" dxfId="1" priority="38" operator="greaterThan">
      <formula>0</formula>
    </cfRule>
  </conditionalFormatting>
  <conditionalFormatting sqref="C87:C89">
    <cfRule type="cellIs" dxfId="0" priority="47" operator="equal">
      <formula>0</formula>
    </cfRule>
    <cfRule type="cellIs" dxfId="1" priority="46" operator="greaterThan">
      <formula>0</formula>
    </cfRule>
  </conditionalFormatting>
  <conditionalFormatting sqref="C90:C91">
    <cfRule type="cellIs" dxfId="0" priority="8" operator="equal">
      <formula>0</formula>
    </cfRule>
    <cfRule type="cellIs" dxfId="1" priority="7" operator="greaterThan">
      <formula>0</formula>
    </cfRule>
  </conditionalFormatting>
  <conditionalFormatting sqref="C92:C94">
    <cfRule type="cellIs" dxfId="0" priority="37" operator="equal">
      <formula>0</formula>
    </cfRule>
    <cfRule type="cellIs" dxfId="1" priority="36" operator="greaterThan">
      <formula>0</formula>
    </cfRule>
  </conditionalFormatting>
  <conditionalFormatting sqref="C98:C107">
    <cfRule type="cellIs" dxfId="1" priority="20" operator="lessThan">
      <formula>0</formula>
    </cfRule>
    <cfRule type="cellIs" dxfId="2" priority="19" operator="greaterThanOrEqual">
      <formula>0</formula>
    </cfRule>
  </conditionalFormatting>
  <conditionalFormatting sqref="E118:E127">
    <cfRule type="cellIs" dxfId="0" priority="18" operator="equal">
      <formula>0</formula>
    </cfRule>
    <cfRule type="cellIs" dxfId="1" priority="17" operator="greaterThan">
      <formula>0</formula>
    </cfRule>
  </conditionalFormatting>
  <conditionalFormatting sqref="E145:E154">
    <cfRule type="cellIs" dxfId="0" priority="16" operator="equal">
      <formula>0</formula>
    </cfRule>
    <cfRule type="cellIs" dxfId="1" priority="15" operator="greaterThan">
      <formula>0</formula>
    </cfRule>
  </conditionalFormatting>
  <conditionalFormatting sqref="E172:E181">
    <cfRule type="cellIs" dxfId="0" priority="14" operator="equal">
      <formula>0</formula>
    </cfRule>
    <cfRule type="cellIs" dxfId="1" priority="13" operator="greaterThan">
      <formula>0</formula>
    </cfRule>
  </conditionalFormatting>
  <conditionalFormatting sqref="C47:C55 C85 C95:C96">
    <cfRule type="cellIs" dxfId="0" priority="57" operator="equal">
      <formula>0</formula>
    </cfRule>
  </conditionalFormatting>
  <conditionalFormatting sqref="C47:C55 C85 C95:C96 E144 E155:E162">
    <cfRule type="cellIs" dxfId="1" priority="56" operator="greaterThan">
      <formula>0</formula>
    </cfRule>
  </conditionalFormatting>
  <conditionalFormatting sqref="E117 E128:E135">
    <cfRule type="cellIs" dxfId="0" priority="45" operator="equal">
      <formula>0</formula>
    </cfRule>
    <cfRule type="cellIs" dxfId="1" priority="44" operator="greaterThan">
      <formula>0</formula>
    </cfRule>
  </conditionalFormatting>
  <conditionalFormatting sqref="E144 E155:E162">
    <cfRule type="cellIs" dxfId="2" priority="33" operator="equal">
      <formula>0</formula>
    </cfRule>
  </conditionalFormatting>
  <conditionalFormatting sqref="E171 E182:E189">
    <cfRule type="cellIs" dxfId="2" priority="28" operator="equal">
      <formula>0</formula>
    </cfRule>
    <cfRule type="cellIs" dxfId="1" priority="27" operator="greaterThan">
      <formula>0</formula>
    </cfRule>
  </conditionalFormatting>
  <pageMargins left="0.7" right="0.7" top="0.75" bottom="0.75" header="0.3" footer="0.3"/>
  <headerFooter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93"/>
  <sheetViews>
    <sheetView topLeftCell="A176" workbookViewId="0">
      <selection activeCell="F188" sqref="F188"/>
    </sheetView>
  </sheetViews>
  <sheetFormatPr defaultColWidth="9" defaultRowHeight="17.6"/>
  <cols>
    <col min="1" max="7" width="25.6111111111111" customWidth="1"/>
    <col min="8" max="8" width="20.625" customWidth="1"/>
  </cols>
  <sheetData>
    <row r="1" s="1" customFormat="1" ht="35" customHeight="1" spans="1:9">
      <c r="A1" s="2" t="str">
        <f>"Forecasts For the Year "&amp;IF(Main!B2,TEXT(EDATE(Main!B3,42),"mmmm yyyy"),TEXT(Main!B3+((Main!B5-Main!B3)*42+42),"mmmm yyyy"))&amp;" to "&amp;IF(Main!B2,TEXT(EDATE(Main!B3,45)-1,"mmmm yyyy"),TEXT(Main!B3+((Main!B5-Main!B3)*45+44),"mmmm yyyy"))</f>
        <v>Forecasts For the Year November 2028 to January 2029</v>
      </c>
      <c r="B1" s="2"/>
      <c r="C1" s="2"/>
      <c r="D1" s="2"/>
      <c r="E1" s="2"/>
      <c r="F1" s="2"/>
      <c r="G1" s="2"/>
      <c r="H1" s="38"/>
      <c r="I1" s="38"/>
    </row>
    <row r="2" s="1" customFormat="1" ht="35" customHeight="1" spans="1:9">
      <c r="A2" s="3" t="s">
        <v>33</v>
      </c>
      <c r="B2" s="4" t="s">
        <v>62</v>
      </c>
      <c r="C2" s="5" cm="1">
        <f ca="1" t="array" ref="C2">INDIRECT("'"&amp;Main!B9&amp;"'!$C$16")</f>
        <v>0</v>
      </c>
      <c r="D2" s="5"/>
      <c r="E2" s="5"/>
      <c r="F2" s="5"/>
      <c r="G2" s="5"/>
      <c r="H2" s="38"/>
      <c r="I2" s="38"/>
    </row>
    <row r="3" s="1" customFormat="1" ht="35" customHeight="1" spans="1:9">
      <c r="A3" s="6"/>
      <c r="B3" s="7" t="s">
        <v>63</v>
      </c>
      <c r="C3" s="8">
        <f ca="1">E190</f>
        <v>0</v>
      </c>
      <c r="D3" s="8"/>
      <c r="E3" s="8"/>
      <c r="F3" s="8"/>
      <c r="G3" s="8"/>
      <c r="H3" s="38"/>
      <c r="I3" s="38"/>
    </row>
    <row r="4" s="1" customFormat="1" ht="35" customHeight="1" spans="1:9">
      <c r="A4" s="9" t="s">
        <v>42</v>
      </c>
      <c r="B4" s="10"/>
      <c r="C4" s="11">
        <f ca="1">SUM(C2:G3)</f>
        <v>0</v>
      </c>
      <c r="D4" s="11"/>
      <c r="E4" s="11"/>
      <c r="F4" s="11"/>
      <c r="G4" s="11"/>
      <c r="H4" s="15"/>
      <c r="I4" s="45"/>
    </row>
    <row r="5" s="1" customFormat="1" ht="35" customHeight="1" spans="1:9">
      <c r="A5" s="12" t="s">
        <v>64</v>
      </c>
      <c r="B5" s="12"/>
      <c r="C5" s="13">
        <f ca="1">C108</f>
        <v>0</v>
      </c>
      <c r="D5" s="14"/>
      <c r="E5" s="14"/>
      <c r="F5" s="14"/>
      <c r="G5" s="14"/>
      <c r="H5" s="15"/>
      <c r="I5" s="45"/>
    </row>
    <row r="6" s="1" customFormat="1" ht="35" customHeight="1" spans="1:9">
      <c r="A6" s="15"/>
      <c r="B6" s="15"/>
      <c r="C6" s="15"/>
      <c r="D6" s="15"/>
      <c r="E6" s="15"/>
      <c r="F6" s="15"/>
      <c r="G6" s="15"/>
      <c r="H6" s="15"/>
      <c r="I6" s="45"/>
    </row>
    <row r="7" s="1" customFormat="1" ht="35" customHeight="1" spans="1:9">
      <c r="A7" s="15"/>
      <c r="B7" s="15"/>
      <c r="C7" s="15"/>
      <c r="D7" s="15"/>
      <c r="E7" s="15"/>
      <c r="F7" s="15"/>
      <c r="G7" s="15"/>
      <c r="H7" s="15"/>
      <c r="I7" s="45"/>
    </row>
    <row r="8" s="1" customFormat="1" ht="35" customHeight="1" spans="1:9">
      <c r="A8" s="16" t="str">
        <f>IF(Main!B2,TEXT(EDATE(Main!B3,42),"dd mmmm yyyy"),TEXT(Main!B3+((Main!B5-Main!B3)*42+42),"dd mmmm yyyy"))&amp;" - "&amp;IF(Main!B2,TEXT(EDATE(Main!B3,43)-1,"dd mmmm yyyy"),TEXT(Main!B3+((Main!B5-Main!B3)*43+42),"dd mmmm yyyy"))&amp;" / "&amp;" (Revenue / Deferred Debts Or Expenses)"</f>
        <v>01 November 2028 - 30 November 2028 /  (Revenue / Deferred Debts Or Expenses)</v>
      </c>
      <c r="B8" s="17"/>
      <c r="C8" s="17"/>
      <c r="D8" s="17"/>
      <c r="E8" s="17"/>
      <c r="F8" s="17"/>
      <c r="G8" s="17"/>
      <c r="H8" s="15"/>
      <c r="I8" s="45"/>
    </row>
    <row r="9" s="1" customFormat="1" ht="35" customHeight="1" spans="1:9">
      <c r="A9" s="18" t="s">
        <v>29</v>
      </c>
      <c r="B9" s="18" t="s">
        <v>43</v>
      </c>
      <c r="C9" s="18"/>
      <c r="D9" s="18" t="s">
        <v>44</v>
      </c>
      <c r="E9" s="18"/>
      <c r="F9" s="18" t="s">
        <v>45</v>
      </c>
      <c r="G9" s="18"/>
      <c r="H9" s="15"/>
      <c r="I9" s="45"/>
    </row>
    <row r="10" s="1" customFormat="1" ht="35" customHeight="1" spans="1:9">
      <c r="A10" s="19"/>
      <c r="B10" s="20"/>
      <c r="C10" s="20"/>
      <c r="D10" s="20"/>
      <c r="E10" s="20"/>
      <c r="F10" s="39">
        <v>0</v>
      </c>
      <c r="G10" s="40"/>
      <c r="H10" s="15"/>
      <c r="I10" s="45"/>
    </row>
    <row r="11" s="1" customFormat="1" ht="35" customHeight="1" spans="1:9">
      <c r="A11" s="19"/>
      <c r="B11" s="21"/>
      <c r="C11" s="22"/>
      <c r="D11" s="23"/>
      <c r="E11" s="41"/>
      <c r="F11" s="39">
        <v>0</v>
      </c>
      <c r="G11" s="40"/>
      <c r="H11" s="15"/>
      <c r="I11" s="45"/>
    </row>
    <row r="12" s="1" customFormat="1" ht="35" customHeight="1" spans="1:9">
      <c r="A12" s="19"/>
      <c r="B12" s="21"/>
      <c r="C12" s="22"/>
      <c r="D12" s="23"/>
      <c r="E12" s="41"/>
      <c r="F12" s="39">
        <v>0</v>
      </c>
      <c r="G12" s="40"/>
      <c r="H12" s="15"/>
      <c r="I12" s="45"/>
    </row>
    <row r="13" s="1" customFormat="1" ht="35" customHeight="1" spans="1:9">
      <c r="A13" s="19"/>
      <c r="B13" s="21"/>
      <c r="C13" s="22"/>
      <c r="D13" s="23"/>
      <c r="E13" s="41"/>
      <c r="F13" s="39">
        <v>0</v>
      </c>
      <c r="G13" s="40"/>
      <c r="H13" s="15"/>
      <c r="I13" s="45"/>
    </row>
    <row r="14" s="1" customFormat="1" ht="35" customHeight="1" spans="1:9">
      <c r="A14" s="19"/>
      <c r="B14" s="21"/>
      <c r="C14" s="22"/>
      <c r="D14" s="23"/>
      <c r="E14" s="41"/>
      <c r="F14" s="39">
        <v>0</v>
      </c>
      <c r="G14" s="40"/>
      <c r="H14" s="15"/>
      <c r="I14" s="45"/>
    </row>
    <row r="15" s="1" customFormat="1" ht="35" customHeight="1" spans="1:9">
      <c r="A15" s="19"/>
      <c r="B15" s="21"/>
      <c r="C15" s="22"/>
      <c r="D15" s="23"/>
      <c r="E15" s="41"/>
      <c r="F15" s="39">
        <v>0</v>
      </c>
      <c r="G15" s="40"/>
      <c r="H15" s="15"/>
      <c r="I15" s="45"/>
    </row>
    <row r="16" s="1" customFormat="1" ht="35" customHeight="1" spans="1:9">
      <c r="A16" s="24"/>
      <c r="B16" s="25"/>
      <c r="C16" s="26"/>
      <c r="D16" s="27" t="s">
        <v>46</v>
      </c>
      <c r="E16" s="42"/>
      <c r="F16" s="43">
        <f>SUM(F10:G15)</f>
        <v>0</v>
      </c>
      <c r="G16" s="44"/>
      <c r="H16" s="15"/>
      <c r="I16" s="45"/>
    </row>
    <row r="17" s="1" customFormat="1" ht="35" customHeight="1" spans="1:9">
      <c r="A17" s="15"/>
      <c r="B17" s="15"/>
      <c r="C17" s="15"/>
      <c r="D17" s="15"/>
      <c r="E17" s="15"/>
      <c r="F17" s="15"/>
      <c r="G17" s="15"/>
      <c r="H17" s="15"/>
      <c r="I17" s="45"/>
    </row>
    <row r="18" s="1" customFormat="1" ht="35" customHeight="1" spans="1:9">
      <c r="A18" s="15"/>
      <c r="B18" s="15"/>
      <c r="C18" s="15"/>
      <c r="D18" s="15"/>
      <c r="E18" s="15"/>
      <c r="F18" s="15"/>
      <c r="G18" s="15"/>
      <c r="H18" s="15"/>
      <c r="I18" s="45"/>
    </row>
    <row r="19" s="1" customFormat="1" ht="35" customHeight="1" spans="1:9">
      <c r="A19" s="15"/>
      <c r="B19" s="15"/>
      <c r="C19" s="15"/>
      <c r="D19" s="15"/>
      <c r="E19" s="15"/>
      <c r="F19" s="15"/>
      <c r="G19" s="15"/>
      <c r="H19" s="15"/>
      <c r="I19" s="45"/>
    </row>
    <row r="20" s="1" customFormat="1" ht="35" customHeight="1" spans="1:9">
      <c r="A20" s="16" t="str">
        <f>IF(Main!B2,TEXT(EDATE(Main!B3,43),"dd mmmm yyyy"),TEXT(Main!B3+((Main!B5-Main!B3)*43+43),"dd mmmm yyyy"))&amp;" - "&amp;IF(Main!B2,TEXT(EDATE(Main!B3,44)-1,"dd mmmm yyyy"),TEXT(Main!B3+((Main!B5-Main!B3)*44+43),"dd mmmm yyyy"))&amp;" / "&amp;" (Revenue / Deferred Debts Or Expenses)"</f>
        <v>01 December 2028 - 31 December 2028 /  (Revenue / Deferred Debts Or Expenses)</v>
      </c>
      <c r="B20" s="17"/>
      <c r="C20" s="17"/>
      <c r="D20" s="17"/>
      <c r="E20" s="17"/>
      <c r="F20" s="17"/>
      <c r="G20" s="17"/>
      <c r="H20" s="15"/>
      <c r="I20" s="45"/>
    </row>
    <row r="21" s="1" customFormat="1" ht="35" customHeight="1" spans="1:9">
      <c r="A21" s="18" t="s">
        <v>29</v>
      </c>
      <c r="B21" s="18" t="s">
        <v>43</v>
      </c>
      <c r="C21" s="18"/>
      <c r="D21" s="18" t="s">
        <v>44</v>
      </c>
      <c r="E21" s="18"/>
      <c r="F21" s="18" t="s">
        <v>45</v>
      </c>
      <c r="G21" s="18"/>
      <c r="H21" s="15"/>
      <c r="I21" s="45"/>
    </row>
    <row r="22" s="1" customFormat="1" ht="35" customHeight="1" spans="1:9">
      <c r="A22" s="19"/>
      <c r="B22" s="20"/>
      <c r="C22" s="20"/>
      <c r="D22" s="20"/>
      <c r="E22" s="20"/>
      <c r="F22" s="39">
        <v>0</v>
      </c>
      <c r="G22" s="40"/>
      <c r="H22" s="15"/>
      <c r="I22" s="45"/>
    </row>
    <row r="23" s="1" customFormat="1" ht="35" customHeight="1" spans="1:9">
      <c r="A23" s="19"/>
      <c r="B23" s="21"/>
      <c r="C23" s="22"/>
      <c r="D23" s="23"/>
      <c r="E23" s="41"/>
      <c r="F23" s="39">
        <v>0</v>
      </c>
      <c r="G23" s="40"/>
      <c r="H23" s="15"/>
      <c r="I23" s="45"/>
    </row>
    <row r="24" s="1" customFormat="1" ht="35" customHeight="1" spans="1:9">
      <c r="A24" s="19"/>
      <c r="B24" s="21"/>
      <c r="C24" s="22"/>
      <c r="D24" s="23"/>
      <c r="E24" s="41"/>
      <c r="F24" s="39">
        <v>0</v>
      </c>
      <c r="G24" s="40"/>
      <c r="H24" s="15"/>
      <c r="I24" s="45"/>
    </row>
    <row r="25" s="1" customFormat="1" ht="35" customHeight="1" spans="1:9">
      <c r="A25" s="19"/>
      <c r="B25" s="21"/>
      <c r="C25" s="22"/>
      <c r="D25" s="23"/>
      <c r="E25" s="41"/>
      <c r="F25" s="39">
        <v>0</v>
      </c>
      <c r="G25" s="40"/>
      <c r="H25" s="15"/>
      <c r="I25" s="45"/>
    </row>
    <row r="26" s="1" customFormat="1" ht="35" customHeight="1" spans="1:9">
      <c r="A26" s="19"/>
      <c r="B26" s="21"/>
      <c r="C26" s="22"/>
      <c r="D26" s="23"/>
      <c r="E26" s="41"/>
      <c r="F26" s="39">
        <v>0</v>
      </c>
      <c r="G26" s="40"/>
      <c r="H26" s="15"/>
      <c r="I26" s="45"/>
    </row>
    <row r="27" s="1" customFormat="1" ht="35" customHeight="1" spans="1:9">
      <c r="A27" s="19"/>
      <c r="B27" s="21"/>
      <c r="C27" s="22"/>
      <c r="D27" s="23"/>
      <c r="E27" s="41"/>
      <c r="F27" s="39">
        <v>0</v>
      </c>
      <c r="G27" s="40"/>
      <c r="H27" s="15"/>
      <c r="I27" s="45"/>
    </row>
    <row r="28" s="1" customFormat="1" ht="35" customHeight="1" spans="1:9">
      <c r="A28" s="24"/>
      <c r="B28" s="25"/>
      <c r="C28" s="26"/>
      <c r="D28" s="27" t="s">
        <v>46</v>
      </c>
      <c r="E28" s="42"/>
      <c r="F28" s="43">
        <f>SUM(F22:G27)</f>
        <v>0</v>
      </c>
      <c r="G28" s="44"/>
      <c r="H28" s="15"/>
      <c r="I28" s="45"/>
    </row>
    <row r="29" s="1" customFormat="1" ht="35" customHeight="1" spans="1:9">
      <c r="A29" s="15"/>
      <c r="B29" s="15"/>
      <c r="C29" s="15"/>
      <c r="D29" s="15"/>
      <c r="E29" s="15"/>
      <c r="F29" s="15"/>
      <c r="G29" s="15"/>
      <c r="H29" s="15"/>
      <c r="I29" s="45"/>
    </row>
    <row r="30" s="1" customFormat="1" ht="35" customHeight="1" spans="1:9">
      <c r="A30" s="15"/>
      <c r="B30" s="15"/>
      <c r="C30" s="15"/>
      <c r="D30" s="15"/>
      <c r="E30" s="15"/>
      <c r="F30" s="15"/>
      <c r="G30" s="15"/>
      <c r="H30" s="15"/>
      <c r="I30" s="45"/>
    </row>
    <row r="31" s="1" customFormat="1" ht="35" customHeight="1" spans="1:9">
      <c r="A31" s="15"/>
      <c r="B31" s="15"/>
      <c r="C31" s="15"/>
      <c r="D31" s="15"/>
      <c r="E31" s="15"/>
      <c r="F31" s="15"/>
      <c r="G31" s="15"/>
      <c r="H31" s="15"/>
      <c r="I31" s="45"/>
    </row>
    <row r="32" s="1" customFormat="1" ht="35" customHeight="1" spans="1:9">
      <c r="A32" s="16" t="str">
        <f>IF(Main!B2,TEXT(EDATE(Main!B3,44),"dd mmmm yyyy"),TEXT(Main!B3+((Main!B5-Main!B3)*44+44),"dd mmmm yyyy"))&amp;" - "&amp;IF(Main!B2,TEXT(EDATE(Main!B3,45)-1,"dd mmmm yyyy"),TEXT(Main!B3+((Main!B5-Main!B3)*45+44),"dd mmmm yyyy"))&amp;" / "&amp;" (Revenue / Deferred Debts Or Expenses)"</f>
        <v>01 January 2029 - 31 January 2029 /  (Revenue / Deferred Debts Or Expenses)</v>
      </c>
      <c r="B32" s="17"/>
      <c r="C32" s="17"/>
      <c r="D32" s="17"/>
      <c r="E32" s="17"/>
      <c r="F32" s="17"/>
      <c r="G32" s="17"/>
      <c r="H32" s="15"/>
      <c r="I32" s="45"/>
    </row>
    <row r="33" s="1" customFormat="1" ht="35" customHeight="1" spans="1:9">
      <c r="A33" s="18" t="s">
        <v>29</v>
      </c>
      <c r="B33" s="18" t="s">
        <v>43</v>
      </c>
      <c r="C33" s="18"/>
      <c r="D33" s="18" t="s">
        <v>44</v>
      </c>
      <c r="E33" s="18"/>
      <c r="F33" s="18" t="s">
        <v>45</v>
      </c>
      <c r="G33" s="18"/>
      <c r="H33" s="15"/>
      <c r="I33" s="45"/>
    </row>
    <row r="34" s="1" customFormat="1" ht="35" customHeight="1" spans="1:9">
      <c r="A34" s="19"/>
      <c r="B34" s="20"/>
      <c r="C34" s="20"/>
      <c r="D34" s="20"/>
      <c r="E34" s="20"/>
      <c r="F34" s="39">
        <v>0</v>
      </c>
      <c r="G34" s="40"/>
      <c r="H34" s="15"/>
      <c r="I34" s="45"/>
    </row>
    <row r="35" s="1" customFormat="1" ht="35" customHeight="1" spans="1:9">
      <c r="A35" s="19"/>
      <c r="B35" s="21"/>
      <c r="C35" s="22"/>
      <c r="D35" s="23"/>
      <c r="E35" s="41"/>
      <c r="F35" s="39">
        <v>0</v>
      </c>
      <c r="G35" s="40"/>
      <c r="H35" s="15"/>
      <c r="I35" s="45"/>
    </row>
    <row r="36" s="1" customFormat="1" ht="35" customHeight="1" spans="1:9">
      <c r="A36" s="19"/>
      <c r="B36" s="21"/>
      <c r="C36" s="22"/>
      <c r="D36" s="23"/>
      <c r="E36" s="41"/>
      <c r="F36" s="39">
        <v>0</v>
      </c>
      <c r="G36" s="40"/>
      <c r="H36" s="15"/>
      <c r="I36" s="45"/>
    </row>
    <row r="37" s="1" customFormat="1" ht="35" customHeight="1" spans="1:9">
      <c r="A37" s="19"/>
      <c r="B37" s="21"/>
      <c r="C37" s="22"/>
      <c r="D37" s="23"/>
      <c r="E37" s="41"/>
      <c r="F37" s="39">
        <v>0</v>
      </c>
      <c r="G37" s="40"/>
      <c r="H37" s="15"/>
      <c r="I37" s="45"/>
    </row>
    <row r="38" s="1" customFormat="1" ht="35" customHeight="1" spans="1:9">
      <c r="A38" s="19"/>
      <c r="B38" s="21"/>
      <c r="C38" s="22"/>
      <c r="D38" s="23"/>
      <c r="E38" s="41"/>
      <c r="F38" s="39">
        <v>0</v>
      </c>
      <c r="G38" s="40"/>
      <c r="H38" s="15"/>
      <c r="I38" s="45"/>
    </row>
    <row r="39" s="1" customFormat="1" ht="35" customHeight="1" spans="1:9">
      <c r="A39" s="19"/>
      <c r="B39" s="21"/>
      <c r="C39" s="22"/>
      <c r="D39" s="23"/>
      <c r="E39" s="41"/>
      <c r="F39" s="39">
        <v>0</v>
      </c>
      <c r="G39" s="40"/>
      <c r="H39" s="15"/>
      <c r="I39" s="45"/>
    </row>
    <row r="40" s="1" customFormat="1" ht="35" customHeight="1" spans="1:9">
      <c r="A40" s="24"/>
      <c r="B40" s="25"/>
      <c r="C40" s="26"/>
      <c r="D40" s="27" t="s">
        <v>46</v>
      </c>
      <c r="E40" s="42"/>
      <c r="F40" s="43">
        <f>SUM(F34:G39)</f>
        <v>0</v>
      </c>
      <c r="G40" s="44"/>
      <c r="H40" s="15"/>
      <c r="I40" s="45"/>
    </row>
    <row r="41" s="1" customFormat="1" ht="35" customHeight="1" spans="1:9">
      <c r="A41" s="15"/>
      <c r="B41" s="15"/>
      <c r="C41" s="15"/>
      <c r="D41" s="15"/>
      <c r="E41" s="15"/>
      <c r="F41" s="15"/>
      <c r="G41" s="15"/>
      <c r="H41" s="15"/>
      <c r="I41" s="45"/>
    </row>
    <row r="42" s="1" customFormat="1" ht="35" customHeight="1" spans="1:9">
      <c r="A42" s="15"/>
      <c r="B42" s="15"/>
      <c r="C42" s="15"/>
      <c r="D42" s="15"/>
      <c r="E42" s="15"/>
      <c r="F42" s="15"/>
      <c r="G42" s="15"/>
      <c r="H42" s="15"/>
      <c r="I42" s="45"/>
    </row>
    <row r="43" s="1" customFormat="1" ht="35" customHeight="1" spans="1:9">
      <c r="A43" s="15"/>
      <c r="B43" s="15"/>
      <c r="C43" s="15"/>
      <c r="D43" s="15"/>
      <c r="E43" s="15"/>
      <c r="F43" s="15"/>
      <c r="G43" s="15"/>
      <c r="H43" s="15"/>
      <c r="I43" s="45"/>
    </row>
    <row r="44" s="1" customFormat="1" ht="35" customHeight="1" spans="1:9">
      <c r="A44" s="28" t="str">
        <f>"Fixed Expense For the Year "&amp;IF(Main!B2,TEXT(EDATE(Main!B3,42),"mmmm yyyy"),TEXT(Main!B3+((Main!B5-Main!B3)*42+42),"mmmm yyyy"))&amp;" to "&amp;IF(Main!B2,TEXT(EDATE(Main!B3,45)-1,"mmmm yyyy"),TEXT(Main!B3+((Main!B5-Main!B3)*45+44),"mmmm yyyy"))</f>
        <v>Fixed Expense For the Year November 2028 to January 2029</v>
      </c>
      <c r="B44" s="29"/>
      <c r="C44" s="30"/>
      <c r="D44" s="15"/>
      <c r="E44" s="15"/>
      <c r="F44" s="15"/>
      <c r="G44" s="15"/>
      <c r="H44" s="15"/>
      <c r="I44" s="45"/>
    </row>
    <row r="45" s="1" customFormat="1" ht="35" customHeight="1" spans="1:9">
      <c r="A45" s="2" t="s">
        <v>43</v>
      </c>
      <c r="B45" s="2" t="s">
        <v>44</v>
      </c>
      <c r="C45" s="2" t="s">
        <v>45</v>
      </c>
      <c r="D45" s="15"/>
      <c r="E45" s="15"/>
      <c r="F45" s="15"/>
      <c r="G45" s="15"/>
      <c r="H45" s="15"/>
      <c r="I45" s="45"/>
    </row>
    <row r="46" s="1" customFormat="1" ht="35" customHeight="1" spans="1:9">
      <c r="A46" s="31" t="s">
        <v>47</v>
      </c>
      <c r="B46" s="32"/>
      <c r="C46" s="33"/>
      <c r="D46" s="15"/>
      <c r="E46" s="15"/>
      <c r="F46" s="15"/>
      <c r="G46" s="15"/>
      <c r="H46" s="15"/>
      <c r="I46" s="45"/>
    </row>
    <row r="47" s="1" customFormat="1" ht="35" customHeight="1" spans="1:9">
      <c r="A47" s="34" t="str" cm="1">
        <f ca="1" t="array" ref="A47">IF((INDIRECT("'"&amp;INDIRECT("Main!B9")&amp;"'!A61"))=0,"",(INDIRECT("'"&amp;INDIRECT("Main!B9")&amp;"'!A61")))</f>
        <v/>
      </c>
      <c r="B47" s="34" t="str" cm="1">
        <f ca="1" t="array" ref="B47">IF((INDIRECT("'"&amp;INDIRECT("Main!B9")&amp;"'!B61"))=0,"",(INDIRECT("'"&amp;INDIRECT("Main!B9")&amp;"'!B61")))</f>
        <v/>
      </c>
      <c r="C47" s="35">
        <v>0</v>
      </c>
      <c r="D47" s="15"/>
      <c r="E47" s="15"/>
      <c r="F47" s="15"/>
      <c r="G47" s="15"/>
      <c r="H47" s="15"/>
      <c r="I47" s="45"/>
    </row>
    <row r="48" s="1" customFormat="1" ht="35" customHeight="1" spans="1:9">
      <c r="A48" s="34" t="str" cm="1">
        <f ca="1" t="array" ref="A48">IF((INDIRECT("'"&amp;INDIRECT("Main!B9")&amp;"'!A62"))=0,"",(INDIRECT("'"&amp;INDIRECT("Main!B9")&amp;"'!A62")))</f>
        <v/>
      </c>
      <c r="B48" s="34" t="str" cm="1">
        <f ca="1" t="array" ref="B48">IF((INDIRECT("'"&amp;INDIRECT("Main!B9")&amp;"'!B62"))=0,"",(INDIRECT("'"&amp;INDIRECT("Main!B9")&amp;"'!B62")))</f>
        <v/>
      </c>
      <c r="C48" s="35">
        <v>0</v>
      </c>
      <c r="D48" s="15"/>
      <c r="E48" s="15"/>
      <c r="F48" s="15"/>
      <c r="G48" s="15"/>
      <c r="H48" s="15"/>
      <c r="I48" s="45"/>
    </row>
    <row r="49" s="1" customFormat="1" ht="35" customHeight="1" spans="1:9">
      <c r="A49" s="34" t="str" cm="1">
        <f ca="1" t="array" ref="A49">IF((INDIRECT("'"&amp;INDIRECT("Main!B9")&amp;"'!A63"))=0,"",(INDIRECT("'"&amp;INDIRECT("Main!B9")&amp;"'!A63")))</f>
        <v/>
      </c>
      <c r="B49" s="34" t="str" cm="1">
        <f ca="1" t="array" ref="B49">IF((INDIRECT("'"&amp;INDIRECT("Main!B9")&amp;"'!B63"))=0,"",(INDIRECT("'"&amp;INDIRECT("Main!B9")&amp;"'!B63")))</f>
        <v/>
      </c>
      <c r="C49" s="35">
        <v>0</v>
      </c>
      <c r="D49" s="15"/>
      <c r="E49" s="15"/>
      <c r="F49" s="15"/>
      <c r="G49" s="15"/>
      <c r="H49" s="15"/>
      <c r="I49" s="45"/>
    </row>
    <row r="50" s="1" customFormat="1" ht="35" customHeight="1" spans="1:9">
      <c r="A50" s="34" t="str" cm="1">
        <f ca="1" t="array" ref="A50">IF((INDIRECT("'"&amp;INDIRECT("Main!B9")&amp;"'!A64"))=0,"",(INDIRECT("'"&amp;INDIRECT("Main!B9")&amp;"'!A64")))</f>
        <v/>
      </c>
      <c r="B50" s="34" t="str" cm="1">
        <f ca="1" t="array" ref="B50">IF((INDIRECT("'"&amp;INDIRECT("Main!B9")&amp;"'!B64"))=0,"",(INDIRECT("'"&amp;INDIRECT("Main!B9")&amp;"'!B64")))</f>
        <v/>
      </c>
      <c r="C50" s="35">
        <v>0</v>
      </c>
      <c r="D50" s="15"/>
      <c r="E50" s="15"/>
      <c r="F50" s="15"/>
      <c r="G50" s="15"/>
      <c r="H50" s="15"/>
      <c r="I50" s="45"/>
    </row>
    <row r="51" s="1" customFormat="1" ht="35" customHeight="1" spans="1:9">
      <c r="A51" s="34" t="str" cm="1">
        <f ca="1" t="array" ref="A51">IF((INDIRECT("'"&amp;INDIRECT("Main!B9")&amp;"'!A65"))=0,"",(INDIRECT("'"&amp;INDIRECT("Main!B9")&amp;"'!A65")))</f>
        <v/>
      </c>
      <c r="B51" s="34" t="str" cm="1">
        <f ca="1" t="array" ref="B51">IF((INDIRECT("'"&amp;INDIRECT("Main!B9")&amp;"'!B65"))=0,"",(INDIRECT("'"&amp;INDIRECT("Main!B9")&amp;"'!B65")))</f>
        <v/>
      </c>
      <c r="C51" s="35">
        <v>0</v>
      </c>
      <c r="D51" s="15"/>
      <c r="E51" s="15"/>
      <c r="F51" s="15"/>
      <c r="G51" s="15"/>
      <c r="H51" s="15"/>
      <c r="I51" s="45"/>
    </row>
    <row r="52" s="1" customFormat="1" ht="35" customHeight="1" spans="1:9">
      <c r="A52" s="34" t="str" cm="1">
        <f ca="1" t="array" ref="A52">IF((INDIRECT("'"&amp;INDIRECT("Main!B9")&amp;"'!A66"))=0,"",(INDIRECT("'"&amp;INDIRECT("Main!B9")&amp;"'!A66")))</f>
        <v/>
      </c>
      <c r="B52" s="34" t="str" cm="1">
        <f ca="1" t="array" ref="B52">IF((INDIRECT("'"&amp;INDIRECT("Main!B9")&amp;"'!B66"))=0,"",(INDIRECT("'"&amp;INDIRECT("Main!B9")&amp;"'!B66")))</f>
        <v/>
      </c>
      <c r="C52" s="35">
        <v>0</v>
      </c>
      <c r="D52" s="15"/>
      <c r="E52" s="15"/>
      <c r="F52" s="15"/>
      <c r="G52" s="15"/>
      <c r="H52" s="15"/>
      <c r="I52" s="45"/>
    </row>
    <row r="53" s="1" customFormat="1" ht="35" customHeight="1" spans="1:9">
      <c r="A53" s="34" t="str" cm="1">
        <f ca="1" t="array" ref="A53">IF((INDIRECT("'"&amp;INDIRECT("Main!B9")&amp;"'!A67"))=0,"",(INDIRECT("'"&amp;INDIRECT("Main!B9")&amp;"'!A67")))</f>
        <v/>
      </c>
      <c r="B53" s="34" t="str" cm="1">
        <f ca="1" t="array" ref="B53">IF((INDIRECT("'"&amp;INDIRECT("Main!B9")&amp;"'!B67"))=0,"",(INDIRECT("'"&amp;INDIRECT("Main!B9")&amp;"'!B67")))</f>
        <v/>
      </c>
      <c r="C53" s="35">
        <v>0</v>
      </c>
      <c r="D53" s="15"/>
      <c r="E53" s="15"/>
      <c r="F53" s="15"/>
      <c r="G53" s="15"/>
      <c r="H53" s="15"/>
      <c r="I53" s="45"/>
    </row>
    <row r="54" s="1" customFormat="1" ht="35" customHeight="1" spans="1:9">
      <c r="A54" s="34" t="str" cm="1">
        <f ca="1" t="array" ref="A54">IF((INDIRECT("'"&amp;INDIRECT("Main!B9")&amp;"'!A68"))=0,"",(INDIRECT("'"&amp;INDIRECT("Main!B9")&amp;"'!A68")))</f>
        <v/>
      </c>
      <c r="B54" s="34" t="str" cm="1">
        <f ca="1" t="array" ref="B54">IF((INDIRECT("'"&amp;INDIRECT("Main!B9")&amp;"'!B68"))=0,"",(INDIRECT("'"&amp;INDIRECT("Main!B9")&amp;"'!B68")))</f>
        <v/>
      </c>
      <c r="C54" s="35">
        <v>0</v>
      </c>
      <c r="D54" s="15"/>
      <c r="E54" s="15"/>
      <c r="F54" s="15"/>
      <c r="G54" s="15"/>
      <c r="H54" s="15"/>
      <c r="I54" s="45"/>
    </row>
    <row r="55" s="1" customFormat="1" ht="35" customHeight="1" spans="1:9">
      <c r="A55" s="36"/>
      <c r="B55" s="37" t="s">
        <v>48</v>
      </c>
      <c r="C55" s="35">
        <f>SUM(C47:C54)</f>
        <v>0</v>
      </c>
      <c r="D55" s="15"/>
      <c r="E55" s="15"/>
      <c r="F55" s="15"/>
      <c r="G55" s="15"/>
      <c r="H55" s="15"/>
      <c r="I55" s="45"/>
    </row>
    <row r="56" s="1" customFormat="1" ht="35" customHeight="1" spans="1:9">
      <c r="A56" s="83" t="s">
        <v>49</v>
      </c>
      <c r="B56" s="84"/>
      <c r="C56" s="85"/>
      <c r="D56" s="15"/>
      <c r="E56" s="15"/>
      <c r="F56" s="15"/>
      <c r="G56" s="15"/>
      <c r="H56" s="15"/>
      <c r="I56" s="45"/>
    </row>
    <row r="57" s="1" customFormat="1" ht="35" customHeight="1" spans="1:9">
      <c r="A57" s="34" t="str" cm="1">
        <f ca="1" t="array" ref="A57">IF((INDIRECT("'"&amp;INDIRECT("Main!B9")&amp;"'!A71"))=0,"",(INDIRECT("'"&amp;INDIRECT("Main!B9")&amp;"'!A71")))</f>
        <v/>
      </c>
      <c r="B57" s="34" t="str" cm="1">
        <f ca="1" t="array" ref="B57">IF((INDIRECT("'"&amp;INDIRECT("Main!B9")&amp;"'!B71"))=0,"",(INDIRECT("'"&amp;INDIRECT("Main!B9")&amp;"'!B71")))</f>
        <v/>
      </c>
      <c r="C57" s="35">
        <v>0</v>
      </c>
      <c r="D57" s="15"/>
      <c r="E57" s="15"/>
      <c r="F57" s="15"/>
      <c r="G57" s="15"/>
      <c r="H57" s="15"/>
      <c r="I57" s="45"/>
    </row>
    <row r="58" s="1" customFormat="1" ht="35" customHeight="1" spans="1:9">
      <c r="A58" s="34" t="str" cm="1">
        <f ca="1" t="array" ref="A58">IF((INDIRECT("'"&amp;INDIRECT("Main!B9")&amp;"'!A72"))=0,"",(INDIRECT("'"&amp;INDIRECT("Main!B9")&amp;"'!A72")))</f>
        <v/>
      </c>
      <c r="B58" s="34" t="str" cm="1">
        <f ca="1" t="array" ref="B58">IF((INDIRECT("'"&amp;INDIRECT("Main!B9")&amp;"'!B72"))=0,"",(INDIRECT("'"&amp;INDIRECT("Main!B9")&amp;"'!B72")))</f>
        <v/>
      </c>
      <c r="C58" s="35">
        <v>0</v>
      </c>
      <c r="D58" s="15"/>
      <c r="E58" s="15"/>
      <c r="F58" s="15"/>
      <c r="G58" s="15"/>
      <c r="H58" s="15"/>
      <c r="I58" s="45"/>
    </row>
    <row r="59" s="1" customFormat="1" ht="35" customHeight="1" spans="1:9">
      <c r="A59" s="34" t="str" cm="1">
        <f ca="1" t="array" ref="A59">IF((INDIRECT("'"&amp;INDIRECT("Main!B9")&amp;"'!A73"))=0,"",(INDIRECT("'"&amp;INDIRECT("Main!B9")&amp;"'!A73")))</f>
        <v/>
      </c>
      <c r="B59" s="34" t="str" cm="1">
        <f ca="1" t="array" ref="B59">IF((INDIRECT("'"&amp;INDIRECT("Main!B9")&amp;"'!B73"))=0,"",(INDIRECT("'"&amp;INDIRECT("Main!B9")&amp;"'!B73")))</f>
        <v/>
      </c>
      <c r="C59" s="35">
        <v>0</v>
      </c>
      <c r="D59" s="15"/>
      <c r="E59" s="15"/>
      <c r="F59" s="15"/>
      <c r="G59" s="15"/>
      <c r="H59" s="15"/>
      <c r="I59" s="45"/>
    </row>
    <row r="60" s="1" customFormat="1" ht="35" customHeight="1" spans="1:9">
      <c r="A60" s="34" t="str" cm="1">
        <f ca="1" t="array" ref="A60">IF((INDIRECT("'"&amp;INDIRECT("Main!B9")&amp;"'!A74"))=0,"",(INDIRECT("'"&amp;INDIRECT("Main!B9")&amp;"'!A74")))</f>
        <v/>
      </c>
      <c r="B60" s="34" t="str" cm="1">
        <f ca="1" t="array" ref="B60">IF((INDIRECT("'"&amp;INDIRECT("Main!B9")&amp;"'!B74"))=0,"",(INDIRECT("'"&amp;INDIRECT("Main!B9")&amp;"'!B74")))</f>
        <v/>
      </c>
      <c r="C60" s="35">
        <v>0</v>
      </c>
      <c r="D60" s="15"/>
      <c r="E60" s="15"/>
      <c r="F60" s="15"/>
      <c r="G60" s="15"/>
      <c r="H60" s="15"/>
      <c r="I60" s="45"/>
    </row>
    <row r="61" s="1" customFormat="1" ht="35" customHeight="1" spans="1:9">
      <c r="A61" s="34" t="str" cm="1">
        <f ca="1" t="array" ref="A61">IF((INDIRECT("'"&amp;INDIRECT("Main!B9")&amp;"'!A75"))=0,"",(INDIRECT("'"&amp;INDIRECT("Main!B9")&amp;"'!A75")))</f>
        <v/>
      </c>
      <c r="B61" s="34" t="str" cm="1">
        <f ca="1" t="array" ref="B61">IF((INDIRECT("'"&amp;INDIRECT("Main!B9")&amp;"'!B75"))=0,"",(INDIRECT("'"&amp;INDIRECT("Main!B9")&amp;"'!B75")))</f>
        <v/>
      </c>
      <c r="C61" s="35">
        <v>0</v>
      </c>
      <c r="D61" s="15"/>
      <c r="E61" s="15"/>
      <c r="F61" s="15"/>
      <c r="G61" s="15"/>
      <c r="H61" s="15"/>
      <c r="I61" s="45"/>
    </row>
    <row r="62" s="1" customFormat="1" ht="35" customHeight="1" spans="1:9">
      <c r="A62" s="34" t="str" cm="1">
        <f ca="1" t="array" ref="A62">IF((INDIRECT("'"&amp;INDIRECT("Main!B9")&amp;"'!A76"))=0,"",(INDIRECT("'"&amp;INDIRECT("Main!B9")&amp;"'!A76")))</f>
        <v/>
      </c>
      <c r="B62" s="34" t="str" cm="1">
        <f ca="1" t="array" ref="B62">IF((INDIRECT("'"&amp;INDIRECT("Main!B9")&amp;"'!B76"))=0,"",(INDIRECT("'"&amp;INDIRECT("Main!B9")&amp;"'!B76")))</f>
        <v/>
      </c>
      <c r="C62" s="35">
        <v>0</v>
      </c>
      <c r="D62" s="15"/>
      <c r="E62" s="15"/>
      <c r="F62" s="15"/>
      <c r="G62" s="15"/>
      <c r="H62" s="15"/>
      <c r="I62" s="45"/>
    </row>
    <row r="63" s="1" customFormat="1" ht="35" customHeight="1" spans="1:9">
      <c r="A63" s="34" t="str" cm="1">
        <f ca="1" t="array" ref="A63">IF((INDIRECT("'"&amp;INDIRECT("Main!B9")&amp;"'!A77"))=0,"",(INDIRECT("'"&amp;INDIRECT("Main!B9")&amp;"'!A77")))</f>
        <v/>
      </c>
      <c r="B63" s="34" t="str" cm="1">
        <f ca="1" t="array" ref="B63">IF((INDIRECT("'"&amp;INDIRECT("Main!B9")&amp;"'!B77"))=0,"",(INDIRECT("'"&amp;INDIRECT("Main!B9")&amp;"'!B77")))</f>
        <v/>
      </c>
      <c r="C63" s="35">
        <v>0</v>
      </c>
      <c r="D63" s="15"/>
      <c r="E63" s="15"/>
      <c r="F63" s="15"/>
      <c r="G63" s="15"/>
      <c r="H63" s="15"/>
      <c r="I63" s="45"/>
    </row>
    <row r="64" s="1" customFormat="1" ht="35" customHeight="1" spans="1:9">
      <c r="A64" s="34" t="str" cm="1">
        <f ca="1" t="array" ref="A64">IF((INDIRECT("'"&amp;INDIRECT("Main!B9")&amp;"'!A78"))=0,"",(INDIRECT("'"&amp;INDIRECT("Main!B9")&amp;"'!A78")))</f>
        <v/>
      </c>
      <c r="B64" s="34" t="str" cm="1">
        <f ca="1" t="array" ref="B64">IF((INDIRECT("'"&amp;INDIRECT("Main!B9")&amp;"'!B78"))=0,"",(INDIRECT("'"&amp;INDIRECT("Main!B9")&amp;"'!B78")))</f>
        <v/>
      </c>
      <c r="C64" s="35">
        <v>0</v>
      </c>
      <c r="D64" s="15"/>
      <c r="E64" s="15"/>
      <c r="F64" s="15"/>
      <c r="G64" s="15"/>
      <c r="H64" s="15"/>
      <c r="I64" s="45"/>
    </row>
    <row r="65" s="1" customFormat="1" ht="35" customHeight="1" spans="1:9">
      <c r="A65" s="34" t="str" cm="1">
        <f ca="1" t="array" ref="A65">IF((INDIRECT("'"&amp;INDIRECT("Main!B9")&amp;"'!A79"))=0,"",(INDIRECT("'"&amp;INDIRECT("Main!B9")&amp;"'!A79")))</f>
        <v/>
      </c>
      <c r="B65" s="34" t="str" cm="1">
        <f ca="1" t="array" ref="B65">IF((INDIRECT("'"&amp;INDIRECT("Main!B9")&amp;"'!B79"))=0,"",(INDIRECT("'"&amp;INDIRECT("Main!B9")&amp;"'!B79")))</f>
        <v/>
      </c>
      <c r="C65" s="35">
        <v>0</v>
      </c>
      <c r="D65" s="15"/>
      <c r="E65" s="15"/>
      <c r="F65" s="15"/>
      <c r="G65" s="15"/>
      <c r="H65" s="15"/>
      <c r="I65" s="45"/>
    </row>
    <row r="66" s="1" customFormat="1" ht="35" customHeight="1" spans="1:9">
      <c r="A66" s="46"/>
      <c r="B66" s="37" t="s">
        <v>48</v>
      </c>
      <c r="C66" s="35">
        <f>SUM(C57:C65)</f>
        <v>0</v>
      </c>
      <c r="D66" s="15"/>
      <c r="E66" s="15"/>
      <c r="F66" s="15"/>
      <c r="G66" s="15"/>
      <c r="H66" s="15"/>
      <c r="I66" s="45"/>
    </row>
    <row r="67" s="1" customFormat="1" ht="35" customHeight="1" spans="1:9">
      <c r="A67" s="83" t="s">
        <v>50</v>
      </c>
      <c r="B67" s="84"/>
      <c r="C67" s="85"/>
      <c r="D67" s="15"/>
      <c r="E67" s="15"/>
      <c r="F67" s="15"/>
      <c r="G67" s="15"/>
      <c r="H67" s="15"/>
      <c r="I67" s="45"/>
    </row>
    <row r="68" s="1" customFormat="1" ht="35" customHeight="1" spans="1:9">
      <c r="A68" s="47" t="str" cm="1">
        <f ca="1" t="array" ref="A68">IF((INDIRECT("'"&amp;INDIRECT("Main!B9")&amp;"'!A82"))=0,"",(INDIRECT("'"&amp;INDIRECT("Main!B9")&amp;"'!A82")))</f>
        <v/>
      </c>
      <c r="B68" s="47" t="str" cm="1">
        <f ca="1" t="array" ref="B68">IF((INDIRECT("'"&amp;INDIRECT("Main!B9")&amp;"'!B82"))=0,"",(INDIRECT("'"&amp;INDIRECT("Main!B9")&amp;"'!B82")))</f>
        <v/>
      </c>
      <c r="C68" s="35">
        <v>0</v>
      </c>
      <c r="D68" s="15"/>
      <c r="E68" s="15"/>
      <c r="F68" s="15"/>
      <c r="G68" s="15"/>
      <c r="H68" s="15"/>
      <c r="I68" s="45"/>
    </row>
    <row r="69" s="1" customFormat="1" ht="35" customHeight="1" spans="1:9">
      <c r="A69" s="47" t="str" cm="1">
        <f ca="1" t="array" ref="A69">IF((INDIRECT("'"&amp;INDIRECT("Main!B9")&amp;"'!A83"))=0,"",(INDIRECT("'"&amp;INDIRECT("Main!B9")&amp;"'!A83")))</f>
        <v/>
      </c>
      <c r="B69" s="47" t="str" cm="1">
        <f ca="1" t="array" ref="B69">IF((INDIRECT("'"&amp;INDIRECT("Main!B9")&amp;"'!B83"))=0,"",(INDIRECT("'"&amp;INDIRECT("Main!B9")&amp;"'!B83")))</f>
        <v/>
      </c>
      <c r="C69" s="35">
        <v>0</v>
      </c>
      <c r="D69" s="15"/>
      <c r="E69" s="15"/>
      <c r="F69" s="15"/>
      <c r="G69" s="15"/>
      <c r="H69" s="15"/>
      <c r="I69" s="45"/>
    </row>
    <row r="70" s="1" customFormat="1" ht="35" customHeight="1" spans="1:9">
      <c r="A70" s="47" t="str" cm="1">
        <f ca="1" t="array" ref="A70">IF((INDIRECT("'"&amp;INDIRECT("Main!B9")&amp;"'!A84"))=0,"",(INDIRECT("'"&amp;INDIRECT("Main!B9")&amp;"'!A84")))</f>
        <v/>
      </c>
      <c r="B70" s="47" t="str" cm="1">
        <f ca="1" t="array" ref="B70">IF((INDIRECT("'"&amp;INDIRECT("Main!B9")&amp;"'!B84"))=0,"",(INDIRECT("'"&amp;INDIRECT("Main!B9")&amp;"'!B84")))</f>
        <v/>
      </c>
      <c r="C70" s="35">
        <v>0</v>
      </c>
      <c r="D70" s="15"/>
      <c r="E70" s="15"/>
      <c r="F70" s="15"/>
      <c r="G70" s="15"/>
      <c r="H70" s="15"/>
      <c r="I70" s="45"/>
    </row>
    <row r="71" s="1" customFormat="1" ht="35" customHeight="1" spans="1:9">
      <c r="A71" s="47" t="str" cm="1">
        <f ca="1" t="array" ref="A71">IF((INDIRECT("'"&amp;INDIRECT("Main!B9")&amp;"'!A85"))=0,"",(INDIRECT("'"&amp;INDIRECT("Main!B9")&amp;"'!A85")))</f>
        <v/>
      </c>
      <c r="B71" s="47" t="str" cm="1">
        <f ca="1" t="array" ref="B71">IF((INDIRECT("'"&amp;INDIRECT("Main!B9")&amp;"'!B85"))=0,"",(INDIRECT("'"&amp;INDIRECT("Main!B9")&amp;"'!B85")))</f>
        <v/>
      </c>
      <c r="C71" s="35">
        <v>0</v>
      </c>
      <c r="D71" s="15"/>
      <c r="E71" s="15"/>
      <c r="F71" s="15"/>
      <c r="G71" s="15"/>
      <c r="H71" s="15"/>
      <c r="I71" s="45"/>
    </row>
    <row r="72" s="1" customFormat="1" ht="35" customHeight="1" spans="1:9">
      <c r="A72" s="47" t="str" cm="1">
        <f ca="1" t="array" ref="A72">IF((INDIRECT("'"&amp;INDIRECT("Main!B9")&amp;"'!A86"))=0,"",(INDIRECT("'"&amp;INDIRECT("Main!B9")&amp;"'!A86")))</f>
        <v/>
      </c>
      <c r="B72" s="47" t="str" cm="1">
        <f ca="1" t="array" ref="B72">IF((INDIRECT("'"&amp;INDIRECT("Main!B9")&amp;"'!B86"))=0,"",(INDIRECT("'"&amp;INDIRECT("Main!B9")&amp;"'!B86")))</f>
        <v/>
      </c>
      <c r="C72" s="35">
        <v>0</v>
      </c>
      <c r="D72" s="15"/>
      <c r="E72" s="15"/>
      <c r="F72" s="15"/>
      <c r="G72" s="15"/>
      <c r="H72" s="15"/>
      <c r="I72" s="45"/>
    </row>
    <row r="73" s="1" customFormat="1" ht="35" customHeight="1" spans="1:9">
      <c r="A73" s="47" t="str" cm="1">
        <f ca="1" t="array" ref="A73">IF((INDIRECT("'"&amp;INDIRECT("Main!B9")&amp;"'!A87"))=0,"",(INDIRECT("'"&amp;INDIRECT("Main!B9")&amp;"'!A87")))</f>
        <v/>
      </c>
      <c r="B73" s="47" t="str" cm="1">
        <f ca="1" t="array" ref="B73">IF((INDIRECT("'"&amp;INDIRECT("Main!B9")&amp;"'!B87"))=0,"",(INDIRECT("'"&amp;INDIRECT("Main!B9")&amp;"'!B87")))</f>
        <v/>
      </c>
      <c r="C73" s="35">
        <v>0</v>
      </c>
      <c r="D73" s="15"/>
      <c r="E73" s="15"/>
      <c r="F73" s="15"/>
      <c r="G73" s="15"/>
      <c r="H73" s="15"/>
      <c r="I73" s="45"/>
    </row>
    <row r="74" s="1" customFormat="1" ht="35" customHeight="1" spans="1:9">
      <c r="A74" s="47" t="str" cm="1">
        <f ca="1" t="array" ref="A74">IF((INDIRECT("'"&amp;INDIRECT("Main!B9")&amp;"'!A88"))=0,"",(INDIRECT("'"&amp;INDIRECT("Main!B9")&amp;"'!A88")))</f>
        <v/>
      </c>
      <c r="B74" s="47" t="str" cm="1">
        <f ca="1" t="array" ref="B74">IF((INDIRECT("'"&amp;INDIRECT("Main!B9")&amp;"'!B88"))=0,"",(INDIRECT("'"&amp;INDIRECT("Main!B9")&amp;"'!B88")))</f>
        <v/>
      </c>
      <c r="C74" s="35">
        <v>0</v>
      </c>
      <c r="D74" s="15"/>
      <c r="E74" s="15"/>
      <c r="F74" s="15"/>
      <c r="G74" s="15"/>
      <c r="H74" s="15"/>
      <c r="I74" s="45"/>
    </row>
    <row r="75" s="1" customFormat="1" ht="35" customHeight="1" spans="1:9">
      <c r="A75" s="46"/>
      <c r="B75" s="37" t="s">
        <v>48</v>
      </c>
      <c r="C75" s="35">
        <f>SUM(C68:C74)</f>
        <v>0</v>
      </c>
      <c r="D75" s="15"/>
      <c r="E75" s="15"/>
      <c r="F75" s="15"/>
      <c r="G75" s="15"/>
      <c r="H75" s="15"/>
      <c r="I75" s="45"/>
    </row>
    <row r="76" s="1" customFormat="1" ht="35" customHeight="1" spans="1:9">
      <c r="A76" s="83" t="s">
        <v>51</v>
      </c>
      <c r="B76" s="84"/>
      <c r="C76" s="85"/>
      <c r="D76" s="15"/>
      <c r="E76" s="15"/>
      <c r="F76" s="15"/>
      <c r="G76" s="15"/>
      <c r="H76" s="15"/>
      <c r="I76" s="45"/>
    </row>
    <row r="77" s="1" customFormat="1" ht="35" customHeight="1" spans="1:9">
      <c r="A77" s="34" t="str" cm="1">
        <f ca="1" t="array" ref="A77">IF((INDIRECT("'"&amp;INDIRECT("Main!B9")&amp;"'!A91"))=0,"",(INDIRECT("'"&amp;INDIRECT("Main!B9")&amp;"'!A91")))</f>
        <v/>
      </c>
      <c r="B77" s="34" t="str" cm="1">
        <f ca="1" t="array" ref="B77">IF((INDIRECT("'"&amp;INDIRECT("Main!B9")&amp;"'!B91"))=0,"",(INDIRECT("'"&amp;INDIRECT("Main!B9")&amp;"'!B91")))</f>
        <v/>
      </c>
      <c r="C77" s="35">
        <v>0</v>
      </c>
      <c r="D77" s="15"/>
      <c r="E77" s="15"/>
      <c r="F77" s="15"/>
      <c r="G77" s="15"/>
      <c r="H77" s="15"/>
      <c r="I77" s="45"/>
    </row>
    <row r="78" s="1" customFormat="1" ht="35" customHeight="1" spans="1:9">
      <c r="A78" s="34" t="str" cm="1">
        <f ca="1" t="array" ref="A78">IF((INDIRECT("'"&amp;INDIRECT("Main!B9")&amp;"'!A92"))=0,"",(INDIRECT("'"&amp;INDIRECT("Main!B9")&amp;"'!A92")))</f>
        <v/>
      </c>
      <c r="B78" s="34" t="str" cm="1">
        <f ca="1" t="array" ref="B78">IF((INDIRECT("'"&amp;INDIRECT("Main!B9")&amp;"'!B92"))=0,"",(INDIRECT("'"&amp;INDIRECT("Main!B9")&amp;"'!B92")))</f>
        <v/>
      </c>
      <c r="C78" s="35">
        <v>0</v>
      </c>
      <c r="D78" s="15"/>
      <c r="E78" s="15"/>
      <c r="F78" s="15"/>
      <c r="G78" s="15"/>
      <c r="H78" s="15"/>
      <c r="I78" s="45"/>
    </row>
    <row r="79" s="1" customFormat="1" ht="35" customHeight="1" spans="1:9">
      <c r="A79" s="34" t="str" cm="1">
        <f ca="1" t="array" ref="A79">IF((INDIRECT("'"&amp;INDIRECT("Main!B9")&amp;"'!A93"))=0,"",(INDIRECT("'"&amp;INDIRECT("Main!B9")&amp;"'!A93")))</f>
        <v/>
      </c>
      <c r="B79" s="34" t="str" cm="1">
        <f ca="1" t="array" ref="B79">IF((INDIRECT("'"&amp;INDIRECT("Main!B9")&amp;"'!B93"))=0,"",(INDIRECT("'"&amp;INDIRECT("Main!B9")&amp;"'!B93")))</f>
        <v/>
      </c>
      <c r="C79" s="35">
        <v>0</v>
      </c>
      <c r="D79" s="15"/>
      <c r="E79" s="15"/>
      <c r="F79" s="15"/>
      <c r="G79" s="15"/>
      <c r="H79" s="15"/>
      <c r="I79" s="45"/>
    </row>
    <row r="80" s="1" customFormat="1" ht="35" customHeight="1" spans="1:9">
      <c r="A80" s="34" t="str" cm="1">
        <f ca="1" t="array" ref="A80">IF((INDIRECT("'"&amp;INDIRECT("Main!B9")&amp;"'!A94"))=0,"",(INDIRECT("'"&amp;INDIRECT("Main!B9")&amp;"'!A94")))</f>
        <v/>
      </c>
      <c r="B80" s="34" t="str" cm="1">
        <f ca="1" t="array" ref="B80">IF((INDIRECT("'"&amp;INDIRECT("Main!B9")&amp;"'!B94"))=0,"",(INDIRECT("'"&amp;INDIRECT("Main!B9")&amp;"'!B94")))</f>
        <v/>
      </c>
      <c r="C80" s="35">
        <v>0</v>
      </c>
      <c r="D80" s="15"/>
      <c r="E80" s="15"/>
      <c r="F80" s="15"/>
      <c r="G80" s="15"/>
      <c r="H80" s="15"/>
      <c r="I80" s="45"/>
    </row>
    <row r="81" s="1" customFormat="1" ht="35" customHeight="1" spans="1:9">
      <c r="A81" s="34" t="str" cm="1">
        <f ca="1" t="array" ref="A81">IF((INDIRECT("'"&amp;INDIRECT("Main!B9")&amp;"'!A95"))=0,"",(INDIRECT("'"&amp;INDIRECT("Main!B9")&amp;"'!A95")))</f>
        <v/>
      </c>
      <c r="B81" s="34" t="str" cm="1">
        <f ca="1" t="array" ref="B81">IF((INDIRECT("'"&amp;INDIRECT("Main!B9")&amp;"'!B95"))=0,"",(INDIRECT("'"&amp;INDIRECT("Main!B9")&amp;"'!B95")))</f>
        <v/>
      </c>
      <c r="C81" s="35">
        <v>0</v>
      </c>
      <c r="D81" s="15"/>
      <c r="E81" s="15"/>
      <c r="F81" s="15"/>
      <c r="G81" s="15"/>
      <c r="H81" s="15"/>
      <c r="I81" s="45"/>
    </row>
    <row r="82" s="1" customFormat="1" ht="35" customHeight="1" spans="1:9">
      <c r="A82" s="34" t="str" cm="1">
        <f ca="1" t="array" ref="A82">IF((INDIRECT("'"&amp;INDIRECT("Main!B9")&amp;"'!A96"))=0,"",(INDIRECT("'"&amp;INDIRECT("Main!B9")&amp;"'!A96")))</f>
        <v/>
      </c>
      <c r="B82" s="34" t="str" cm="1">
        <f ca="1" t="array" ref="B82">IF((INDIRECT("'"&amp;INDIRECT("Main!B9")&amp;"'!B96"))=0,"",(INDIRECT("'"&amp;INDIRECT("Main!B9")&amp;"'!B96")))</f>
        <v/>
      </c>
      <c r="C82" s="35">
        <v>0</v>
      </c>
      <c r="D82" s="15"/>
      <c r="E82" s="15"/>
      <c r="F82" s="15"/>
      <c r="G82" s="15"/>
      <c r="H82" s="15"/>
      <c r="I82" s="45"/>
    </row>
    <row r="83" s="1" customFormat="1" ht="35" customHeight="1" spans="1:9">
      <c r="A83" s="34" t="str" cm="1">
        <f ca="1" t="array" ref="A83">IF((INDIRECT("'"&amp;INDIRECT("Main!B9")&amp;"'!A97"))=0,"",(INDIRECT("'"&amp;INDIRECT("Main!B9")&amp;"'!A97")))</f>
        <v/>
      </c>
      <c r="B83" s="34" t="str" cm="1">
        <f ca="1" t="array" ref="B83">IF((INDIRECT("'"&amp;INDIRECT("Main!B9")&amp;"'!B97"))=0,"",(INDIRECT("'"&amp;INDIRECT("Main!B9")&amp;"'!B97")))</f>
        <v/>
      </c>
      <c r="C83" s="35">
        <v>0</v>
      </c>
      <c r="D83" s="15"/>
      <c r="E83" s="15"/>
      <c r="F83" s="15"/>
      <c r="G83" s="15"/>
      <c r="H83" s="15"/>
      <c r="I83" s="45"/>
    </row>
    <row r="84" s="1" customFormat="1" ht="35" customHeight="1" spans="1:9">
      <c r="A84" s="34" t="str" cm="1">
        <f ca="1" t="array" ref="A84">IF((INDIRECT("'"&amp;INDIRECT("Main!B9")&amp;"'!A98"))=0,"",(INDIRECT("'"&amp;INDIRECT("Main!B9")&amp;"'!A98")))</f>
        <v/>
      </c>
      <c r="B84" s="34" t="str" cm="1">
        <f ca="1" t="array" ref="B84">IF((INDIRECT("'"&amp;INDIRECT("Main!B9")&amp;"'!B98"))=0,"",(INDIRECT("'"&amp;INDIRECT("Main!B9")&amp;"'!B98")))</f>
        <v/>
      </c>
      <c r="C84" s="35">
        <v>0</v>
      </c>
      <c r="D84" s="15"/>
      <c r="E84" s="15"/>
      <c r="F84" s="15"/>
      <c r="G84" s="15"/>
      <c r="H84" s="15"/>
      <c r="I84" s="45"/>
    </row>
    <row r="85" s="1" customFormat="1" ht="35" customHeight="1" spans="1:9">
      <c r="A85" s="46"/>
      <c r="B85" s="37" t="s">
        <v>48</v>
      </c>
      <c r="C85" s="35">
        <f>SUM(C77:C84)</f>
        <v>0</v>
      </c>
      <c r="D85" s="15"/>
      <c r="E85" s="15"/>
      <c r="F85" s="15"/>
      <c r="G85" s="15"/>
      <c r="H85" s="15"/>
      <c r="I85" s="45"/>
    </row>
    <row r="86" s="1" customFormat="1" ht="35" customHeight="1" spans="1:9">
      <c r="A86" s="83" t="s">
        <v>52</v>
      </c>
      <c r="B86" s="84"/>
      <c r="C86" s="85"/>
      <c r="D86" s="15"/>
      <c r="E86" s="15"/>
      <c r="F86" s="15"/>
      <c r="G86" s="15"/>
      <c r="H86" s="15"/>
      <c r="I86" s="45"/>
    </row>
    <row r="87" s="1" customFormat="1" ht="35" customHeight="1" spans="1:9">
      <c r="A87" s="34" t="str" cm="1">
        <f ca="1" t="array" ref="A87">IF((INDIRECT("'"&amp;INDIRECT("Main!B9")&amp;"'!A101"))=0,"",(INDIRECT("'"&amp;INDIRECT("Main!B9")&amp;"'!A101")))</f>
        <v/>
      </c>
      <c r="B87" s="34" t="str" cm="1">
        <f ca="1" t="array" ref="B87">IF((INDIRECT("'"&amp;INDIRECT("Main!B9")&amp;"'!B101"))=0,"",(INDIRECT("'"&amp;INDIRECT("Main!B9")&amp;"'!B101")))</f>
        <v/>
      </c>
      <c r="C87" s="35">
        <v>0</v>
      </c>
      <c r="D87" s="15"/>
      <c r="E87" s="15"/>
      <c r="F87" s="15"/>
      <c r="G87" s="15"/>
      <c r="H87" s="15"/>
      <c r="I87" s="45"/>
    </row>
    <row r="88" s="1" customFormat="1" ht="35" customHeight="1" spans="1:9">
      <c r="A88" s="34" t="str" cm="1">
        <f ca="1" t="array" ref="A88">IF((INDIRECT("'"&amp;INDIRECT("Main!B9")&amp;"'!A102"))=0,"",(INDIRECT("'"&amp;INDIRECT("Main!B9")&amp;"'!A102")))</f>
        <v/>
      </c>
      <c r="B88" s="34" t="str" cm="1">
        <f ca="1" t="array" ref="B88">IF((INDIRECT("'"&amp;INDIRECT("Main!B9")&amp;"'!B102"))=0,"",(INDIRECT("'"&amp;INDIRECT("Main!B9")&amp;"'!B102")))</f>
        <v/>
      </c>
      <c r="C88" s="35">
        <v>0</v>
      </c>
      <c r="D88" s="15"/>
      <c r="E88" s="15"/>
      <c r="F88" s="15"/>
      <c r="G88" s="15"/>
      <c r="H88" s="15"/>
      <c r="I88" s="45"/>
    </row>
    <row r="89" s="1" customFormat="1" ht="35" customHeight="1" spans="1:9">
      <c r="A89" s="34" t="str" cm="1">
        <f ca="1" t="array" ref="A89">IF((INDIRECT("'"&amp;INDIRECT("Main!B9")&amp;"'!A103"))=0,"",(INDIRECT("'"&amp;INDIRECT("Main!B9")&amp;"'!A103")))</f>
        <v/>
      </c>
      <c r="B89" s="34" t="str" cm="1">
        <f ca="1" t="array" ref="B89">IF((INDIRECT("'"&amp;INDIRECT("Main!B9")&amp;"'!B103"))=0,"",(INDIRECT("'"&amp;INDIRECT("Main!B9")&amp;"'!B103")))</f>
        <v/>
      </c>
      <c r="C89" s="35">
        <v>0</v>
      </c>
      <c r="D89" s="15"/>
      <c r="E89" s="15"/>
      <c r="F89" s="15"/>
      <c r="G89" s="15"/>
      <c r="H89" s="15"/>
      <c r="I89" s="45"/>
    </row>
    <row r="90" s="1" customFormat="1" ht="35" customHeight="1" spans="1:9">
      <c r="A90" s="34" t="str" cm="1">
        <f ca="1" t="array" ref="A90">IF((INDIRECT("'"&amp;INDIRECT("Main!B9")&amp;"'!A104"))=0,"",(INDIRECT("'"&amp;INDIRECT("Main!B9")&amp;"'!A104")))</f>
        <v/>
      </c>
      <c r="B90" s="34" t="str" cm="1">
        <f ca="1" t="array" ref="B90">IF((INDIRECT("'"&amp;INDIRECT("Main!B9")&amp;"'!B104"))=0,"",(INDIRECT("'"&amp;INDIRECT("Main!B9")&amp;"'!B104")))</f>
        <v/>
      </c>
      <c r="C90" s="35">
        <v>0</v>
      </c>
      <c r="D90" s="15"/>
      <c r="E90" s="62"/>
      <c r="F90" s="15"/>
      <c r="G90" s="15"/>
      <c r="H90" s="15"/>
      <c r="I90" s="45"/>
    </row>
    <row r="91" s="1" customFormat="1" ht="35" customHeight="1" spans="1:9">
      <c r="A91" s="34" t="str" cm="1">
        <f ca="1" t="array" ref="A91">IF((INDIRECT("'"&amp;INDIRECT("Main!B9")&amp;"'!A105"))=0,"",(INDIRECT("'"&amp;INDIRECT("Main!B9")&amp;"'!A105")))</f>
        <v/>
      </c>
      <c r="B91" s="34" t="str" cm="1">
        <f ca="1" t="array" ref="B91">IF((INDIRECT("'"&amp;INDIRECT("Main!B9")&amp;"'!B105"))=0,"",(INDIRECT("'"&amp;INDIRECT("Main!B9")&amp;"'!B105")))</f>
        <v/>
      </c>
      <c r="C91" s="35">
        <v>0</v>
      </c>
      <c r="D91" s="15"/>
      <c r="E91" s="15"/>
      <c r="F91" s="15"/>
      <c r="G91" s="15"/>
      <c r="H91" s="15"/>
      <c r="I91" s="45"/>
    </row>
    <row r="92" s="1" customFormat="1" ht="35" customHeight="1" spans="1:9">
      <c r="A92" s="34" t="str" cm="1">
        <f ca="1" t="array" ref="A92">IF((INDIRECT("'"&amp;INDIRECT("Main!B9")&amp;"'!A106"))=0,"",(INDIRECT("'"&amp;INDIRECT("Main!B9")&amp;"'!A106")))</f>
        <v/>
      </c>
      <c r="B92" s="34" t="str" cm="1">
        <f ca="1" t="array" ref="B92">IF((INDIRECT("'"&amp;INDIRECT("Main!B9")&amp;"'!B106"))=0,"",(INDIRECT("'"&amp;INDIRECT("Main!B9")&amp;"'!B106")))</f>
        <v/>
      </c>
      <c r="C92" s="35">
        <v>0</v>
      </c>
      <c r="D92" s="15"/>
      <c r="E92" s="15"/>
      <c r="F92" s="15"/>
      <c r="G92" s="15"/>
      <c r="H92" s="15"/>
      <c r="I92" s="45"/>
    </row>
    <row r="93" s="1" customFormat="1" ht="35" customHeight="1" spans="1:9">
      <c r="A93" s="34" t="str" cm="1">
        <f ca="1" t="array" ref="A93">IF((INDIRECT("'"&amp;INDIRECT("Main!B9")&amp;"'!A107"))=0,"",(INDIRECT("'"&amp;INDIRECT("Main!B9")&amp;"'!A107")))</f>
        <v/>
      </c>
      <c r="B93" s="34" t="str" cm="1">
        <f ca="1" t="array" ref="B93">IF((INDIRECT("'"&amp;INDIRECT("Main!B9")&amp;"'!B107"))=0,"",(INDIRECT("'"&amp;INDIRECT("Main!B9")&amp;"'!B107")))</f>
        <v/>
      </c>
      <c r="C93" s="35">
        <v>0</v>
      </c>
      <c r="D93" s="15"/>
      <c r="E93" s="15"/>
      <c r="F93" s="15"/>
      <c r="G93" s="15"/>
      <c r="H93" s="15"/>
      <c r="I93" s="45"/>
    </row>
    <row r="94" s="1" customFormat="1" ht="35" customHeight="1" spans="1:9">
      <c r="A94" s="34" t="str" cm="1">
        <f ca="1" t="array" ref="A94">IF((INDIRECT("'"&amp;INDIRECT("Main!B9")&amp;"'!A108"))=0,"",(INDIRECT("'"&amp;INDIRECT("Main!B9")&amp;"'!A108")))</f>
        <v/>
      </c>
      <c r="B94" s="34" t="str" cm="1">
        <f ca="1" t="array" ref="B94">IF((INDIRECT("'"&amp;INDIRECT("Main!B9")&amp;"'!B108"))=0,"",(INDIRECT("'"&amp;INDIRECT("Main!B9")&amp;"'!B108")))</f>
        <v/>
      </c>
      <c r="C94" s="35">
        <v>0</v>
      </c>
      <c r="D94" s="15"/>
      <c r="E94" s="15"/>
      <c r="F94" s="15"/>
      <c r="G94" s="15"/>
      <c r="H94" s="15"/>
      <c r="I94" s="45"/>
    </row>
    <row r="95" s="1" customFormat="1" ht="35" customHeight="1" spans="1:9">
      <c r="A95" s="47"/>
      <c r="B95" s="37" t="s">
        <v>48</v>
      </c>
      <c r="C95" s="35">
        <f>SUM(C87:C94)</f>
        <v>0</v>
      </c>
      <c r="D95" s="15"/>
      <c r="E95" s="15"/>
      <c r="F95" s="15"/>
      <c r="G95" s="15"/>
      <c r="H95" s="15"/>
      <c r="I95" s="45"/>
    </row>
    <row r="96" s="1" customFormat="1" ht="35" customHeight="1" spans="1:9">
      <c r="A96" s="46"/>
      <c r="B96" s="37" t="s">
        <v>53</v>
      </c>
      <c r="C96" s="35">
        <f>C55+C66+C75+C85+C95</f>
        <v>0</v>
      </c>
      <c r="D96" s="15"/>
      <c r="E96" s="15"/>
      <c r="F96" s="15"/>
      <c r="G96" s="15"/>
      <c r="H96" s="15"/>
      <c r="I96" s="45"/>
    </row>
    <row r="97" s="1" customFormat="1" ht="35" customHeight="1" spans="1:9">
      <c r="A97" s="83" t="s">
        <v>54</v>
      </c>
      <c r="B97" s="84"/>
      <c r="C97" s="85"/>
      <c r="D97" s="15"/>
      <c r="E97" s="15"/>
      <c r="F97" s="15"/>
      <c r="G97" s="15"/>
      <c r="H97" s="15"/>
      <c r="I97" s="45"/>
    </row>
    <row r="98" s="1" customFormat="1" ht="35" customHeight="1" spans="1:9">
      <c r="A98" s="34" t="str" cm="1">
        <f ca="1" t="array" ref="A98">IF((INDIRECT("'"&amp;INDIRECT("Main!B9")&amp;"'!A112"))=0,"",(INDIRECT("'"&amp;INDIRECT("Main!B9")&amp;"'!A112")))</f>
        <v/>
      </c>
      <c r="B98" s="34" t="str" cm="1">
        <f ca="1" t="array" ref="B98">IF((INDIRECT("'"&amp;INDIRECT("Main!B9")&amp;"'!B112"))=0,"",(INDIRECT("'"&amp;INDIRECT("Main!B9")&amp;"'!B112")))</f>
        <v/>
      </c>
      <c r="C98" s="35" cm="1">
        <f ca="1" t="array" ref="C98">INDIRECT("'"&amp;INDIRECT("Main!B48")&amp;"'!C98")+SUM(E118+E145+E172)</f>
        <v>0</v>
      </c>
      <c r="D98" s="15"/>
      <c r="E98" s="15"/>
      <c r="F98" s="15"/>
      <c r="G98" s="15"/>
      <c r="H98" s="15"/>
      <c r="I98" s="45"/>
    </row>
    <row r="99" s="1" customFormat="1" ht="35" customHeight="1" spans="1:9">
      <c r="A99" s="34" t="str" cm="1">
        <f ca="1" t="array" ref="A99">IF((INDIRECT("'"&amp;INDIRECT("Main!B9")&amp;"'!A113"))=0,"",(INDIRECT("'"&amp;INDIRECT("Main!B9")&amp;"'!A113")))</f>
        <v/>
      </c>
      <c r="B99" s="34" t="str" cm="1">
        <f ca="1" t="array" ref="B99">IF((INDIRECT("'"&amp;INDIRECT("Main!B9")&amp;"'!B113"))=0,"",(INDIRECT("'"&amp;INDIRECT("Main!B9")&amp;"'!B113")))</f>
        <v/>
      </c>
      <c r="C99" s="35" cm="1">
        <f ca="1" t="array" ref="C99">INDIRECT("'"&amp;INDIRECT("Main!B48")&amp;"'!C99")+SUM(E119+E146+E173)</f>
        <v>0</v>
      </c>
      <c r="D99" s="15"/>
      <c r="E99" s="15"/>
      <c r="F99" s="15"/>
      <c r="G99" s="15"/>
      <c r="H99" s="15"/>
      <c r="I99" s="45"/>
    </row>
    <row r="100" s="1" customFormat="1" ht="35" customHeight="1" spans="1:9">
      <c r="A100" s="34" t="str" cm="1">
        <f ca="1" t="array" ref="A100">IF((INDIRECT("'"&amp;INDIRECT("Main!B9")&amp;"'!A114"))=0,"",(INDIRECT("'"&amp;INDIRECT("Main!B9")&amp;"'!A114")))</f>
        <v/>
      </c>
      <c r="B100" s="34" t="str" cm="1">
        <f ca="1" t="array" ref="B100">IF((INDIRECT("'"&amp;INDIRECT("Main!B9")&amp;"'!B114"))=0,"",(INDIRECT("'"&amp;INDIRECT("Main!B9")&amp;"'!B114")))</f>
        <v/>
      </c>
      <c r="C100" s="35" cm="1">
        <f ca="1" t="array" ref="C100">INDIRECT("'"&amp;INDIRECT("Main!B48")&amp;"'!C100")+SUM(E120+E147+E174)</f>
        <v>0</v>
      </c>
      <c r="D100" s="15"/>
      <c r="E100" s="15"/>
      <c r="F100" s="15"/>
      <c r="G100" s="15"/>
      <c r="H100" s="15"/>
      <c r="I100" s="45"/>
    </row>
    <row r="101" s="1" customFormat="1" ht="35" customHeight="1" spans="1:9">
      <c r="A101" s="34" t="str" cm="1">
        <f ca="1" t="array" ref="A101">IF((INDIRECT("'"&amp;INDIRECT("Main!B9")&amp;"'!A115"))=0,"",(INDIRECT("'"&amp;INDIRECT("Main!B9")&amp;"'!A115")))</f>
        <v/>
      </c>
      <c r="B101" s="34" t="str" cm="1">
        <f ca="1" t="array" ref="B101">IF((INDIRECT("'"&amp;INDIRECT("Main!B9")&amp;"'!B115"))=0,"",(INDIRECT("'"&amp;INDIRECT("Main!B9")&amp;"'!B115")))</f>
        <v/>
      </c>
      <c r="C101" s="35" cm="1">
        <f ca="1" t="array" ref="C101">INDIRECT("'"&amp;INDIRECT("Main!B48")&amp;"'!C101")+SUM(E121+E148+E175)</f>
        <v>0</v>
      </c>
      <c r="D101" s="15"/>
      <c r="E101" s="15"/>
      <c r="F101" s="15"/>
      <c r="G101" s="15"/>
      <c r="H101" s="15"/>
      <c r="I101" s="45"/>
    </row>
    <row r="102" s="1" customFormat="1" ht="35" customHeight="1" spans="1:9">
      <c r="A102" s="34" t="str" cm="1">
        <f ca="1" t="array" ref="A102">IF((INDIRECT("'"&amp;INDIRECT("Main!B9")&amp;"'!A116"))=0,"",(INDIRECT("'"&amp;INDIRECT("Main!B9")&amp;"'!A116")))</f>
        <v/>
      </c>
      <c r="B102" s="34"/>
      <c r="C102" s="35" cm="1">
        <f ca="1" t="array" ref="C102">INDIRECT("'"&amp;INDIRECT("Main!B48")&amp;"'!C102")+SUM(E122+E149+E176)</f>
        <v>0</v>
      </c>
      <c r="D102" s="15"/>
      <c r="E102" s="15"/>
      <c r="F102" s="15"/>
      <c r="G102" s="15"/>
      <c r="H102" s="15"/>
      <c r="I102" s="45"/>
    </row>
    <row r="103" s="1" customFormat="1" ht="35" customHeight="1" spans="1:9">
      <c r="A103" s="34" t="str" cm="1">
        <f ca="1" t="array" ref="A103">IF((INDIRECT("'"&amp;INDIRECT("Main!B9")&amp;"'!A117"))=0,"",(INDIRECT("'"&amp;INDIRECT("Main!B9")&amp;"'!A117")))</f>
        <v/>
      </c>
      <c r="B103" s="34" t="str" cm="1">
        <f ca="1" t="array" ref="B103">IF((INDIRECT("'"&amp;INDIRECT("Main!B9")&amp;"'!B117"))=0,"",(INDIRECT("'"&amp;INDIRECT("Main!B9")&amp;"'!B117")))</f>
        <v/>
      </c>
      <c r="C103" s="35" cm="1">
        <f ca="1" t="array" ref="C103">INDIRECT("'"&amp;INDIRECT("Main!B48")&amp;"'!C103")+SUM(E123+E150+E177)</f>
        <v>0</v>
      </c>
      <c r="D103" s="15"/>
      <c r="E103" s="15"/>
      <c r="F103" s="15"/>
      <c r="G103" s="15"/>
      <c r="H103" s="15"/>
      <c r="I103" s="45"/>
    </row>
    <row r="104" s="1" customFormat="1" ht="35" customHeight="1" spans="1:9">
      <c r="A104" s="34" t="str" cm="1">
        <f ca="1" t="array" ref="A104">IF((INDIRECT("'"&amp;INDIRECT("Main!B9")&amp;"'!A118"))=0,"",(INDIRECT("'"&amp;INDIRECT("Main!B9")&amp;"'!A118")))</f>
        <v/>
      </c>
      <c r="B104" s="34" t="str" cm="1">
        <f ca="1" t="array" ref="B104">IF((INDIRECT("'"&amp;INDIRECT("Main!B9")&amp;"'!B118"))=0,"",(INDIRECT("'"&amp;INDIRECT("Main!B9")&amp;"'!B118")))</f>
        <v/>
      </c>
      <c r="C104" s="35" cm="1">
        <f ca="1" t="array" ref="C104">INDIRECT("'"&amp;INDIRECT("Main!B48")&amp;"'!C104")+SUM(E124+E151+E178)</f>
        <v>0</v>
      </c>
      <c r="D104" s="15"/>
      <c r="E104" s="15"/>
      <c r="F104" s="15"/>
      <c r="G104" s="15"/>
      <c r="H104" s="15"/>
      <c r="I104" s="45"/>
    </row>
    <row r="105" s="1" customFormat="1" ht="35" customHeight="1" spans="1:9">
      <c r="A105" s="34" t="str" cm="1">
        <f ca="1" t="array" ref="A105">IF((INDIRECT("'"&amp;INDIRECT("Main!B9")&amp;"'!A119"))=0,"",(INDIRECT("'"&amp;INDIRECT("Main!B9")&amp;"'!A119")))</f>
        <v/>
      </c>
      <c r="B105" s="34" t="str" cm="1">
        <f ca="1" t="array" ref="B105">IF((INDIRECT("'"&amp;INDIRECT("Main!B9")&amp;"'!B119"))=0,"",(INDIRECT("'"&amp;INDIRECT("Main!B9")&amp;"'!B119")))</f>
        <v/>
      </c>
      <c r="C105" s="35" cm="1">
        <f ca="1" t="array" ref="C105">INDIRECT("'"&amp;INDIRECT("Main!B48")&amp;"'!C105")+SUM(E125+E152+E179)</f>
        <v>0</v>
      </c>
      <c r="D105" s="15"/>
      <c r="E105" s="15"/>
      <c r="F105" s="15"/>
      <c r="G105" s="15"/>
      <c r="H105" s="15"/>
      <c r="I105" s="45"/>
    </row>
    <row r="106" s="1" customFormat="1" ht="35" customHeight="1" spans="1:9">
      <c r="A106" s="34" t="str" cm="1">
        <f ca="1" t="array" ref="A106">IF((INDIRECT("'"&amp;INDIRECT("Main!B9")&amp;"'!A120"))=0,"",(INDIRECT("'"&amp;INDIRECT("Main!B9")&amp;"'!A120")))</f>
        <v/>
      </c>
      <c r="B106" s="34" t="str" cm="1">
        <f ca="1" t="array" ref="B106">IF((INDIRECT("'"&amp;INDIRECT("Main!B9")&amp;"'!B120"))=0,"",(INDIRECT("'"&amp;INDIRECT("Main!B9")&amp;"'!B120")))</f>
        <v/>
      </c>
      <c r="C106" s="35" cm="1">
        <f ca="1" t="array" ref="C106">INDIRECT("'"&amp;INDIRECT("Main!B48")&amp;"'!C106")+SUM(E126+E153+E180)</f>
        <v>0</v>
      </c>
      <c r="D106" s="15"/>
      <c r="E106" s="15"/>
      <c r="F106" s="15"/>
      <c r="G106" s="15"/>
      <c r="H106" s="15"/>
      <c r="I106" s="45"/>
    </row>
    <row r="107" s="1" customFormat="1" ht="35" customHeight="1" spans="1:9">
      <c r="A107" s="34" t="str" cm="1">
        <f ca="1" t="array" ref="A107">IF((INDIRECT("'"&amp;INDIRECT("Main!B9")&amp;"'!A121"))=0,"",(INDIRECT("'"&amp;INDIRECT("Main!B9")&amp;"'!A121")))</f>
        <v/>
      </c>
      <c r="B107" s="34" t="str" cm="1">
        <f ca="1" t="array" ref="B107">IF((INDIRECT("'"&amp;INDIRECT("Main!B9")&amp;"'!B121"))=0,"",(INDIRECT("'"&amp;INDIRECT("Main!B9")&amp;"'!B121")))</f>
        <v/>
      </c>
      <c r="C107" s="35" cm="1">
        <f ca="1" t="array" ref="C107">INDIRECT("'"&amp;INDIRECT("Main!B48")&amp;"'!C107")+SUM(E127+E154+E181)</f>
        <v>0</v>
      </c>
      <c r="D107" s="15"/>
      <c r="E107" s="15"/>
      <c r="F107" s="15"/>
      <c r="G107" s="15"/>
      <c r="H107" s="15"/>
      <c r="I107" s="45"/>
    </row>
    <row r="108" s="1" customFormat="1" ht="35" customHeight="1" spans="1:9">
      <c r="A108" s="46"/>
      <c r="B108" s="37" t="s">
        <v>55</v>
      </c>
      <c r="C108" s="35">
        <f ca="1">SUM(C98:C107)</f>
        <v>0</v>
      </c>
      <c r="D108" s="15"/>
      <c r="E108" s="15"/>
      <c r="F108" s="15"/>
      <c r="G108" s="15"/>
      <c r="H108" s="15"/>
      <c r="I108" s="45"/>
    </row>
    <row r="109" s="1" customFormat="1" ht="35" customHeight="1" spans="1:9">
      <c r="A109" s="46"/>
      <c r="B109" s="37" t="s">
        <v>56</v>
      </c>
      <c r="C109" s="35">
        <f ca="1">C108-C96</f>
        <v>0</v>
      </c>
      <c r="D109" s="15"/>
      <c r="E109" s="15"/>
      <c r="F109" s="15"/>
      <c r="G109" s="15"/>
      <c r="H109" s="15"/>
      <c r="I109" s="45"/>
    </row>
    <row r="110" s="1" customFormat="1" ht="35" customHeight="1" spans="1:9">
      <c r="A110" s="15"/>
      <c r="B110" s="15"/>
      <c r="C110" s="15"/>
      <c r="D110" s="15"/>
      <c r="E110" s="15"/>
      <c r="F110" s="15"/>
      <c r="G110" s="15"/>
      <c r="H110" s="15"/>
      <c r="I110" s="45"/>
    </row>
    <row r="111" s="1" customFormat="1" ht="35" customHeight="1" spans="1:9">
      <c r="A111" s="15"/>
      <c r="B111" s="15"/>
      <c r="C111" s="15"/>
      <c r="D111" s="15"/>
      <c r="E111" s="15"/>
      <c r="F111" s="15"/>
      <c r="G111" s="15"/>
      <c r="H111" s="15"/>
      <c r="I111" s="45"/>
    </row>
    <row r="112" s="1" customFormat="1" ht="35" customHeight="1" spans="1:9">
      <c r="A112" s="15"/>
      <c r="B112" s="15"/>
      <c r="C112" s="15"/>
      <c r="D112" s="15"/>
      <c r="E112" s="15"/>
      <c r="F112" s="15"/>
      <c r="G112" s="15"/>
      <c r="H112" s="15"/>
      <c r="I112" s="45"/>
    </row>
    <row r="113" s="1" customFormat="1" ht="35" customHeight="1" spans="1:9">
      <c r="A113" s="15"/>
      <c r="B113" s="15"/>
      <c r="C113" s="15"/>
      <c r="D113" s="15"/>
      <c r="E113" s="15"/>
      <c r="F113" s="15"/>
      <c r="G113" s="15"/>
      <c r="H113" s="15"/>
      <c r="I113" s="45"/>
    </row>
    <row r="114" s="1" customFormat="1" ht="35" customHeight="1" spans="1:9">
      <c r="A114" s="48" t="str">
        <f>"Debts Or Credits For the Comming "&amp;IF(Main!B2,TEXT(EDATE(Main!B3,42),"mmmm dd yyyy"),TEXT(Main!B3+((Main!B5-Main!B3)*42+42),"mmmm dd yyyy"))&amp;" to "&amp;IF(Main!B2,TEXT(EDATE(Main!B3,43)-1,"mmmm dd yyyy"),TEXT(Main!B3+((Main!B5-Main!B3)*43+42),"mmmm dd yyyy"))</f>
        <v>Debts Or Credits For the Comming November 01 2028 to November 30 2028</v>
      </c>
      <c r="B114" s="49"/>
      <c r="C114" s="49"/>
      <c r="D114" s="49"/>
      <c r="E114" s="50"/>
      <c r="F114" s="15"/>
      <c r="G114" s="15"/>
      <c r="H114" s="15"/>
      <c r="I114" s="45"/>
    </row>
    <row r="115" s="1" customFormat="1" ht="35" customHeight="1" spans="1:9">
      <c r="A115" s="48" t="s">
        <v>57</v>
      </c>
      <c r="B115" s="50"/>
      <c r="C115" s="48" t="s">
        <v>44</v>
      </c>
      <c r="D115" s="50"/>
      <c r="E115" s="64" t="s">
        <v>45</v>
      </c>
      <c r="F115" s="15"/>
      <c r="G115" s="15"/>
      <c r="H115" s="15"/>
      <c r="I115" s="45"/>
    </row>
    <row r="116" s="1" customFormat="1" ht="35" customHeight="1" spans="1:9">
      <c r="A116" s="51" t="str">
        <f>"Balance Brought Forward From "&amp;IF(Main!B2,TEXT(EDATE(Main!B3,42)-1,"mmmm yyyy"),TEXT(Main!B3+((Main!B5-Main!B3)*42+41),"mmmm yyyy"))</f>
        <v>Balance Brought Forward From October 2028</v>
      </c>
      <c r="B116" s="52"/>
      <c r="C116" s="53"/>
      <c r="D116" s="53"/>
      <c r="E116" s="65" cm="1">
        <f ca="1" t="array" ref="E116">INDIRECT("'"&amp;INDIRECT("Main!B48")&amp;"'!E190")</f>
        <v>0</v>
      </c>
      <c r="F116" s="15"/>
      <c r="G116" s="15"/>
      <c r="H116" s="15"/>
      <c r="I116" s="45"/>
    </row>
    <row r="117" s="1" customFormat="1" ht="35" customHeight="1" spans="1:9">
      <c r="A117" s="54" t="s">
        <v>52</v>
      </c>
      <c r="B117" s="55"/>
      <c r="C117" s="56" t="s">
        <v>58</v>
      </c>
      <c r="D117" s="57"/>
      <c r="E117" s="66"/>
      <c r="F117" s="15"/>
      <c r="G117" s="15"/>
      <c r="H117" s="15"/>
      <c r="I117" s="45"/>
    </row>
    <row r="118" s="1" customFormat="1" ht="35" customHeight="1" spans="1:9">
      <c r="A118" s="58"/>
      <c r="B118" s="59"/>
      <c r="C118" s="60"/>
      <c r="D118" s="61"/>
      <c r="E118" s="35">
        <v>0</v>
      </c>
      <c r="F118" s="15"/>
      <c r="G118" s="15"/>
      <c r="H118" s="15"/>
      <c r="I118" s="45"/>
    </row>
    <row r="119" s="1" customFormat="1" ht="35" customHeight="1" spans="1:9">
      <c r="A119" s="58"/>
      <c r="B119" s="59"/>
      <c r="C119" s="60"/>
      <c r="D119" s="61"/>
      <c r="E119" s="35">
        <v>0</v>
      </c>
      <c r="F119" s="15"/>
      <c r="G119" s="15"/>
      <c r="H119" s="15"/>
      <c r="I119" s="45"/>
    </row>
    <row r="120" s="1" customFormat="1" ht="35" customHeight="1" spans="1:9">
      <c r="A120" s="58"/>
      <c r="B120" s="59"/>
      <c r="C120" s="60"/>
      <c r="D120" s="61"/>
      <c r="E120" s="35">
        <v>0</v>
      </c>
      <c r="F120" s="15"/>
      <c r="G120" s="15"/>
      <c r="H120" s="15"/>
      <c r="I120" s="45"/>
    </row>
    <row r="121" s="1" customFormat="1" ht="35" customHeight="1" spans="1:9">
      <c r="A121" s="58"/>
      <c r="B121" s="59"/>
      <c r="C121" s="60"/>
      <c r="D121" s="61"/>
      <c r="E121" s="35">
        <v>0</v>
      </c>
      <c r="F121" s="15"/>
      <c r="G121" s="15"/>
      <c r="H121" s="15"/>
      <c r="I121" s="45"/>
    </row>
    <row r="122" s="1" customFormat="1" ht="35" customHeight="1" spans="1:9">
      <c r="A122" s="58"/>
      <c r="B122" s="59"/>
      <c r="C122" s="60"/>
      <c r="D122" s="61"/>
      <c r="E122" s="35">
        <v>0</v>
      </c>
      <c r="F122" s="15"/>
      <c r="G122" s="15"/>
      <c r="H122" s="15"/>
      <c r="I122" s="45"/>
    </row>
    <row r="123" s="1" customFormat="1" ht="35" customHeight="1" spans="1:9">
      <c r="A123" s="58"/>
      <c r="B123" s="59"/>
      <c r="C123" s="60"/>
      <c r="D123" s="61"/>
      <c r="E123" s="35">
        <v>0</v>
      </c>
      <c r="F123" s="15"/>
      <c r="G123" s="15"/>
      <c r="H123" s="15"/>
      <c r="I123" s="45"/>
    </row>
    <row r="124" s="1" customFormat="1" ht="35" customHeight="1" spans="1:9">
      <c r="A124" s="58"/>
      <c r="B124" s="59"/>
      <c r="C124" s="60"/>
      <c r="D124" s="61"/>
      <c r="E124" s="35">
        <v>0</v>
      </c>
      <c r="F124" s="15"/>
      <c r="G124" s="15"/>
      <c r="H124" s="15"/>
      <c r="I124" s="45"/>
    </row>
    <row r="125" s="1" customFormat="1" ht="35" customHeight="1" spans="1:9">
      <c r="A125" s="58"/>
      <c r="B125" s="59"/>
      <c r="C125" s="60"/>
      <c r="D125" s="61"/>
      <c r="E125" s="35">
        <v>0</v>
      </c>
      <c r="F125" s="15"/>
      <c r="G125" s="15"/>
      <c r="H125" s="15"/>
      <c r="I125" s="45"/>
    </row>
    <row r="126" s="1" customFormat="1" ht="35" customHeight="1" spans="1:9">
      <c r="A126" s="58"/>
      <c r="B126" s="59"/>
      <c r="C126" s="60"/>
      <c r="D126" s="61"/>
      <c r="E126" s="35">
        <v>0</v>
      </c>
      <c r="F126" s="15"/>
      <c r="G126" s="15"/>
      <c r="H126" s="15"/>
      <c r="I126" s="45"/>
    </row>
    <row r="127" s="1" customFormat="1" ht="35" customHeight="1" spans="1:9">
      <c r="A127" s="58"/>
      <c r="B127" s="59"/>
      <c r="C127" s="60"/>
      <c r="D127" s="61"/>
      <c r="E127" s="35">
        <v>0</v>
      </c>
      <c r="F127" s="15"/>
      <c r="G127" s="15"/>
      <c r="H127" s="15"/>
      <c r="I127" s="45"/>
    </row>
    <row r="128" s="1" customFormat="1" ht="35" customHeight="1" spans="1:9">
      <c r="A128" s="58"/>
      <c r="B128" s="59"/>
      <c r="C128" s="56" t="s">
        <v>59</v>
      </c>
      <c r="D128" s="57"/>
      <c r="E128" s="66"/>
      <c r="F128" s="15"/>
      <c r="G128" s="15"/>
      <c r="H128" s="15"/>
      <c r="I128" s="45"/>
    </row>
    <row r="129" s="1" customFormat="1" ht="35" customHeight="1" spans="1:9">
      <c r="A129" s="58"/>
      <c r="B129" s="59"/>
      <c r="C129" s="60"/>
      <c r="D129" s="61"/>
      <c r="E129" s="78">
        <v>0</v>
      </c>
      <c r="F129" s="15"/>
      <c r="G129" s="15"/>
      <c r="H129" s="15"/>
      <c r="I129" s="45"/>
    </row>
    <row r="130" s="1" customFormat="1" ht="35" customHeight="1" spans="1:9">
      <c r="A130" s="58"/>
      <c r="B130" s="59"/>
      <c r="C130" s="60"/>
      <c r="D130" s="61"/>
      <c r="E130" s="78">
        <v>0</v>
      </c>
      <c r="F130" s="15"/>
      <c r="G130" s="15"/>
      <c r="H130" s="15"/>
      <c r="I130" s="45"/>
    </row>
    <row r="131" s="1" customFormat="1" ht="35" customHeight="1" spans="1:9">
      <c r="A131" s="58"/>
      <c r="B131" s="59"/>
      <c r="C131" s="60"/>
      <c r="D131" s="61"/>
      <c r="E131" s="78">
        <v>0</v>
      </c>
      <c r="F131" s="15"/>
      <c r="G131" s="15"/>
      <c r="H131" s="15"/>
      <c r="I131" s="45"/>
    </row>
    <row r="132" s="1" customFormat="1" ht="35" customHeight="1" spans="1:9">
      <c r="A132" s="58"/>
      <c r="B132" s="59"/>
      <c r="C132" s="60"/>
      <c r="D132" s="61"/>
      <c r="E132" s="78">
        <v>0</v>
      </c>
      <c r="F132" s="15"/>
      <c r="G132" s="15"/>
      <c r="H132" s="15"/>
      <c r="I132" s="45"/>
    </row>
    <row r="133" s="1" customFormat="1" ht="35" customHeight="1" spans="1:9">
      <c r="A133" s="58"/>
      <c r="B133" s="59"/>
      <c r="C133" s="60"/>
      <c r="D133" s="61"/>
      <c r="E133" s="78">
        <v>0</v>
      </c>
      <c r="F133" s="15"/>
      <c r="G133" s="15"/>
      <c r="H133" s="15"/>
      <c r="I133" s="45"/>
    </row>
    <row r="134" s="1" customFormat="1" ht="35" customHeight="1" spans="1:9">
      <c r="A134" s="67"/>
      <c r="B134" s="68"/>
      <c r="C134" s="60"/>
      <c r="D134" s="61"/>
      <c r="E134" s="78">
        <v>0</v>
      </c>
      <c r="F134" s="15"/>
      <c r="G134" s="15"/>
      <c r="H134" s="15"/>
      <c r="I134" s="45"/>
    </row>
    <row r="135" s="1" customFormat="1" ht="35" customHeight="1" spans="1:9">
      <c r="A135" s="51" t="s">
        <v>60</v>
      </c>
      <c r="B135" s="69"/>
      <c r="C135" s="70"/>
      <c r="D135" s="71"/>
      <c r="E135" s="78">
        <f>C96</f>
        <v>0</v>
      </c>
      <c r="F135" s="15"/>
      <c r="G135" s="15"/>
      <c r="H135" s="15"/>
      <c r="I135" s="45"/>
    </row>
    <row r="136" s="1" customFormat="1" ht="35" customHeight="1" spans="1:9">
      <c r="A136" s="72"/>
      <c r="B136" s="73"/>
      <c r="C136" s="37" t="s">
        <v>61</v>
      </c>
      <c r="D136" s="37"/>
      <c r="E136" s="79">
        <f ca="1">(F16+E116)-(SUM(E118:E127)+SUM(E129:E135))</f>
        <v>0</v>
      </c>
      <c r="F136" s="15"/>
      <c r="G136" s="15"/>
      <c r="H136" s="15"/>
      <c r="I136" s="45"/>
    </row>
    <row r="137" s="1" customFormat="1" ht="35" customHeight="1" spans="1:9">
      <c r="A137" s="15"/>
      <c r="B137" s="15"/>
      <c r="C137" s="15"/>
      <c r="D137" s="15"/>
      <c r="E137" s="15"/>
      <c r="F137" s="15"/>
      <c r="G137" s="15"/>
      <c r="H137" s="15"/>
      <c r="I137" s="45"/>
    </row>
    <row r="138" s="1" customFormat="1" ht="35" customHeight="1" spans="1:9">
      <c r="A138" s="15"/>
      <c r="B138" s="15"/>
      <c r="C138" s="15"/>
      <c r="D138" s="15"/>
      <c r="E138" s="15"/>
      <c r="F138" s="15"/>
      <c r="G138" s="15"/>
      <c r="H138" s="15"/>
      <c r="I138" s="45"/>
    </row>
    <row r="139" s="1" customFormat="1" ht="35" customHeight="1" spans="1:9">
      <c r="A139" s="15"/>
      <c r="B139" s="15"/>
      <c r="C139" s="15"/>
      <c r="D139" s="15"/>
      <c r="E139" s="15"/>
      <c r="F139" s="15"/>
      <c r="G139" s="15"/>
      <c r="H139" s="15"/>
      <c r="I139" s="45"/>
    </row>
    <row r="140" s="1" customFormat="1" ht="35" customHeight="1" spans="1:9">
      <c r="A140" s="15"/>
      <c r="B140" s="15"/>
      <c r="C140" s="15"/>
      <c r="D140" s="15"/>
      <c r="E140" s="15"/>
      <c r="F140" s="15"/>
      <c r="G140" s="15"/>
      <c r="H140" s="15"/>
      <c r="I140" s="45"/>
    </row>
    <row r="141" s="1" customFormat="1" ht="35" customHeight="1" spans="1:9">
      <c r="A141" s="48" t="str">
        <f>"Debts Or Credits For the Comming "&amp;IF(Main!B2,TEXT(EDATE(Main!B3,43),"mmmm dd yyyy"),TEXT(Main!B3+((Main!B5-Main!B3)*43+43),"dd mmmm yyyy"))&amp;" to "&amp;IF(Main!B2,TEXT(EDATE(Main!B3,44)-1,"mmmm dd yyyy"),TEXT(Main!B3+((Main!B5-Main!B3)*44+43),"mmmm dd yyyy"))</f>
        <v>Debts Or Credits For the Comming December 01 2028 to December 31 2028</v>
      </c>
      <c r="B141" s="49"/>
      <c r="C141" s="49"/>
      <c r="D141" s="49"/>
      <c r="E141" s="50"/>
      <c r="F141" s="15"/>
      <c r="G141" s="15"/>
      <c r="H141" s="15"/>
      <c r="I141" s="45"/>
    </row>
    <row r="142" s="1" customFormat="1" ht="35" customHeight="1" spans="1:9">
      <c r="A142" s="48" t="s">
        <v>57</v>
      </c>
      <c r="B142" s="50"/>
      <c r="C142" s="74" t="s">
        <v>44</v>
      </c>
      <c r="D142" s="75"/>
      <c r="E142" s="80" t="s">
        <v>45</v>
      </c>
      <c r="F142" s="15"/>
      <c r="G142" s="15"/>
      <c r="H142" s="15"/>
      <c r="I142" s="45"/>
    </row>
    <row r="143" s="1" customFormat="1" ht="35" customHeight="1" spans="1:9">
      <c r="A143" s="51" t="str">
        <f>"Balance Brought Forward From "&amp;IF(Main!B2,TEXT(EDATE(Main!B3,43)-1,"mmmm yyyy"),TEXT(Main!B3+((Main!B5-Main!B3)*43+42),"mmmm yyyy"))</f>
        <v>Balance Brought Forward From November 2028</v>
      </c>
      <c r="B143" s="52"/>
      <c r="C143" s="53"/>
      <c r="D143" s="53"/>
      <c r="E143" s="79">
        <f ca="1">E136</f>
        <v>0</v>
      </c>
      <c r="F143" s="15"/>
      <c r="G143" s="15"/>
      <c r="H143" s="15"/>
      <c r="I143" s="45"/>
    </row>
    <row r="144" s="1" customFormat="1" ht="35" customHeight="1" spans="1:9">
      <c r="A144" s="54" t="s">
        <v>52</v>
      </c>
      <c r="B144" s="55"/>
      <c r="C144" s="76" t="s">
        <v>58</v>
      </c>
      <c r="D144" s="77"/>
      <c r="E144" s="81"/>
      <c r="F144" s="15"/>
      <c r="G144" s="15"/>
      <c r="H144" s="15"/>
      <c r="I144" s="45"/>
    </row>
    <row r="145" s="1" customFormat="1" ht="35" customHeight="1" spans="1:9">
      <c r="A145" s="58"/>
      <c r="B145" s="59"/>
      <c r="C145" s="60"/>
      <c r="D145" s="61"/>
      <c r="E145" s="35">
        <v>0</v>
      </c>
      <c r="F145" s="15"/>
      <c r="G145" s="15"/>
      <c r="H145" s="15"/>
      <c r="I145" s="45"/>
    </row>
    <row r="146" s="1" customFormat="1" ht="35" customHeight="1" spans="1:9">
      <c r="A146" s="58"/>
      <c r="B146" s="59"/>
      <c r="C146" s="60"/>
      <c r="D146" s="61"/>
      <c r="E146" s="35">
        <v>0</v>
      </c>
      <c r="F146" s="15"/>
      <c r="G146" s="15"/>
      <c r="H146" s="15"/>
      <c r="I146" s="45"/>
    </row>
    <row r="147" s="1" customFormat="1" ht="35" customHeight="1" spans="1:9">
      <c r="A147" s="58"/>
      <c r="B147" s="59"/>
      <c r="C147" s="60"/>
      <c r="D147" s="61"/>
      <c r="E147" s="35">
        <v>0</v>
      </c>
      <c r="F147" s="15"/>
      <c r="G147" s="15"/>
      <c r="H147" s="15"/>
      <c r="I147" s="45"/>
    </row>
    <row r="148" s="1" customFormat="1" ht="35" customHeight="1" spans="1:9">
      <c r="A148" s="58"/>
      <c r="B148" s="59"/>
      <c r="C148" s="60"/>
      <c r="D148" s="61"/>
      <c r="E148" s="35">
        <v>0</v>
      </c>
      <c r="F148" s="15"/>
      <c r="G148" s="15"/>
      <c r="H148" s="15"/>
      <c r="I148" s="45"/>
    </row>
    <row r="149" s="1" customFormat="1" ht="35" customHeight="1" spans="1:9">
      <c r="A149" s="58"/>
      <c r="B149" s="59"/>
      <c r="C149" s="60"/>
      <c r="D149" s="61"/>
      <c r="E149" s="35">
        <v>0</v>
      </c>
      <c r="F149" s="15"/>
      <c r="G149" s="15"/>
      <c r="H149" s="15"/>
      <c r="I149" s="45"/>
    </row>
    <row r="150" s="1" customFormat="1" ht="35" customHeight="1" spans="1:9">
      <c r="A150" s="58"/>
      <c r="B150" s="59"/>
      <c r="C150" s="60"/>
      <c r="D150" s="61"/>
      <c r="E150" s="35">
        <v>0</v>
      </c>
      <c r="F150" s="15"/>
      <c r="G150" s="15"/>
      <c r="H150" s="15"/>
      <c r="I150" s="45"/>
    </row>
    <row r="151" s="1" customFormat="1" ht="35" customHeight="1" spans="1:9">
      <c r="A151" s="58"/>
      <c r="B151" s="59"/>
      <c r="C151" s="60"/>
      <c r="D151" s="61"/>
      <c r="E151" s="35">
        <v>0</v>
      </c>
      <c r="F151" s="15"/>
      <c r="G151" s="15"/>
      <c r="H151" s="15"/>
      <c r="I151" s="45"/>
    </row>
    <row r="152" s="1" customFormat="1" ht="35" customHeight="1" spans="1:9">
      <c r="A152" s="58"/>
      <c r="B152" s="59"/>
      <c r="C152" s="60"/>
      <c r="D152" s="61"/>
      <c r="E152" s="35">
        <v>0</v>
      </c>
      <c r="F152" s="15"/>
      <c r="G152" s="15"/>
      <c r="H152" s="15"/>
      <c r="I152" s="45"/>
    </row>
    <row r="153" s="1" customFormat="1" ht="35" customHeight="1" spans="1:9">
      <c r="A153" s="58"/>
      <c r="B153" s="59"/>
      <c r="C153" s="60"/>
      <c r="D153" s="61"/>
      <c r="E153" s="35">
        <v>0</v>
      </c>
      <c r="F153" s="15"/>
      <c r="G153" s="15"/>
      <c r="H153" s="15"/>
      <c r="I153" s="45"/>
    </row>
    <row r="154" s="1" customFormat="1" ht="35" customHeight="1" spans="1:9">
      <c r="A154" s="58"/>
      <c r="B154" s="59"/>
      <c r="C154" s="60"/>
      <c r="D154" s="61"/>
      <c r="E154" s="35">
        <v>0</v>
      </c>
      <c r="F154" s="15"/>
      <c r="G154" s="15"/>
      <c r="H154" s="15"/>
      <c r="I154" s="45"/>
    </row>
    <row r="155" s="1" customFormat="1" ht="35" customHeight="1" spans="1:9">
      <c r="A155" s="58"/>
      <c r="B155" s="59"/>
      <c r="C155" s="56" t="s">
        <v>59</v>
      </c>
      <c r="D155" s="57"/>
      <c r="E155" s="66"/>
      <c r="F155" s="15"/>
      <c r="G155" s="15"/>
      <c r="H155" s="15"/>
      <c r="I155" s="45"/>
    </row>
    <row r="156" s="1" customFormat="1" ht="35" customHeight="1" spans="1:9">
      <c r="A156" s="58"/>
      <c r="B156" s="59"/>
      <c r="C156" s="60"/>
      <c r="D156" s="61"/>
      <c r="E156" s="78">
        <v>0</v>
      </c>
      <c r="F156" s="15"/>
      <c r="G156" s="15"/>
      <c r="H156" s="15"/>
      <c r="I156" s="45"/>
    </row>
    <row r="157" s="1" customFormat="1" ht="35" customHeight="1" spans="1:9">
      <c r="A157" s="58"/>
      <c r="B157" s="59"/>
      <c r="C157" s="60"/>
      <c r="D157" s="61"/>
      <c r="E157" s="78">
        <v>0</v>
      </c>
      <c r="F157" s="15"/>
      <c r="G157" s="15"/>
      <c r="H157" s="15"/>
      <c r="I157" s="45"/>
    </row>
    <row r="158" s="1" customFormat="1" ht="35" customHeight="1" spans="1:9">
      <c r="A158" s="58"/>
      <c r="B158" s="59"/>
      <c r="C158" s="60"/>
      <c r="D158" s="61"/>
      <c r="E158" s="78">
        <v>0</v>
      </c>
      <c r="F158" s="15"/>
      <c r="G158" s="15"/>
      <c r="H158" s="15"/>
      <c r="I158" s="45"/>
    </row>
    <row r="159" s="1" customFormat="1" ht="35" customHeight="1" spans="1:9">
      <c r="A159" s="58"/>
      <c r="B159" s="59"/>
      <c r="C159" s="60"/>
      <c r="D159" s="61"/>
      <c r="E159" s="78">
        <v>0</v>
      </c>
      <c r="F159" s="15"/>
      <c r="G159" s="15"/>
      <c r="H159" s="15"/>
      <c r="I159" s="45"/>
    </row>
    <row r="160" s="1" customFormat="1" ht="35" customHeight="1" spans="1:9">
      <c r="A160" s="58"/>
      <c r="B160" s="59"/>
      <c r="C160" s="60"/>
      <c r="D160" s="61"/>
      <c r="E160" s="78">
        <v>0</v>
      </c>
      <c r="F160" s="15"/>
      <c r="G160" s="15"/>
      <c r="H160" s="15"/>
      <c r="I160" s="45"/>
    </row>
    <row r="161" s="1" customFormat="1" ht="35" customHeight="1" spans="1:9">
      <c r="A161" s="67"/>
      <c r="B161" s="68"/>
      <c r="C161" s="60"/>
      <c r="D161" s="61"/>
      <c r="E161" s="78">
        <v>0</v>
      </c>
      <c r="F161" s="15"/>
      <c r="G161" s="15"/>
      <c r="H161" s="15"/>
      <c r="I161" s="45"/>
    </row>
    <row r="162" s="1" customFormat="1" ht="35" customHeight="1" spans="1:9">
      <c r="A162" s="51" t="s">
        <v>60</v>
      </c>
      <c r="B162" s="69"/>
      <c r="C162" s="70"/>
      <c r="D162" s="71"/>
      <c r="E162" s="78">
        <f>C96</f>
        <v>0</v>
      </c>
      <c r="F162" s="15"/>
      <c r="G162" s="15"/>
      <c r="H162" s="15"/>
      <c r="I162" s="45"/>
    </row>
    <row r="163" s="1" customFormat="1" ht="35" customHeight="1" spans="1:9">
      <c r="A163" s="72"/>
      <c r="B163" s="73"/>
      <c r="C163" s="37" t="s">
        <v>61</v>
      </c>
      <c r="D163" s="37"/>
      <c r="E163" s="65">
        <f ca="1">(F28+E143)-(SUM(E145:E154)+SUM(E156:E162))</f>
        <v>0</v>
      </c>
      <c r="F163" s="15"/>
      <c r="G163" s="15"/>
      <c r="H163" s="15"/>
      <c r="I163" s="45"/>
    </row>
    <row r="164" s="1" customFormat="1" ht="35" customHeight="1" spans="1:9">
      <c r="A164" s="15"/>
      <c r="B164" s="15"/>
      <c r="C164" s="15"/>
      <c r="D164" s="15"/>
      <c r="E164" s="15"/>
      <c r="F164" s="15"/>
      <c r="G164" s="15"/>
      <c r="H164" s="15"/>
      <c r="I164" s="45"/>
    </row>
    <row r="165" s="1" customFormat="1" ht="35" customHeight="1" spans="1:9">
      <c r="A165" s="15"/>
      <c r="B165" s="15"/>
      <c r="C165" s="15"/>
      <c r="D165" s="15"/>
      <c r="E165" s="15"/>
      <c r="F165" s="15"/>
      <c r="G165" s="15"/>
      <c r="H165" s="15"/>
      <c r="I165" s="45"/>
    </row>
    <row r="166" s="1" customFormat="1" ht="35" customHeight="1" spans="1:9">
      <c r="A166" s="15"/>
      <c r="B166" s="15"/>
      <c r="C166" s="15"/>
      <c r="D166" s="15"/>
      <c r="E166" s="15"/>
      <c r="F166" s="15"/>
      <c r="G166" s="15"/>
      <c r="H166" s="15"/>
      <c r="I166" s="45"/>
    </row>
    <row r="167" s="1" customFormat="1" ht="35" customHeight="1" spans="1:9">
      <c r="A167" s="15"/>
      <c r="B167" s="15"/>
      <c r="C167" s="15"/>
      <c r="D167" s="15"/>
      <c r="E167" s="15"/>
      <c r="F167" s="15"/>
      <c r="G167" s="15"/>
      <c r="H167" s="15"/>
      <c r="I167" s="45"/>
    </row>
    <row r="168" s="1" customFormat="1" ht="35" customHeight="1" spans="1:9">
      <c r="A168" s="48" t="str">
        <f>"Debts Or Credits For the Comming "&amp;IF(Main!B2,TEXT(EDATE(Main!B3,44),"mmmm dd yyyy"),TEXT(Main!B3+((Main!B5-Main!B3)*44+44),"mmmm dd yyyy"))&amp;" to "&amp;IF(Main!B2,TEXT(EDATE(Main!B3,45)-1,"mmmm dd yyyy"),TEXT(Main!B3+((Main!B5-Main!B3)*45+44),"mmmm dd yyyy"))</f>
        <v>Debts Or Credits For the Comming January 01 2029 to January 31 2029</v>
      </c>
      <c r="B168" s="49"/>
      <c r="C168" s="49"/>
      <c r="D168" s="49"/>
      <c r="E168" s="50"/>
      <c r="F168" s="15"/>
      <c r="G168" s="15"/>
      <c r="H168" s="15"/>
      <c r="I168" s="45"/>
    </row>
    <row r="169" s="1" customFormat="1" ht="35" customHeight="1" spans="1:9">
      <c r="A169" s="48" t="s">
        <v>57</v>
      </c>
      <c r="B169" s="50"/>
      <c r="C169" s="74" t="s">
        <v>44</v>
      </c>
      <c r="D169" s="75"/>
      <c r="E169" s="80" t="s">
        <v>45</v>
      </c>
      <c r="F169" s="15"/>
      <c r="G169" s="15"/>
      <c r="H169" s="15"/>
      <c r="I169" s="45"/>
    </row>
    <row r="170" s="1" customFormat="1" ht="35" customHeight="1" spans="1:9">
      <c r="A170" s="51" t="str">
        <f>"Balance Brought Forward From "&amp;IF(Main!B2,TEXT(EDATE(Main!B3,44)-1,"mmmm yyyy"),TEXT(Main!B3+((Main!B5-Main!B3)*44+43),"mmmm yyyy"))</f>
        <v>Balance Brought Forward From December 2028</v>
      </c>
      <c r="B170" s="52"/>
      <c r="C170" s="53"/>
      <c r="D170" s="53"/>
      <c r="E170" s="65">
        <f ca="1">E163</f>
        <v>0</v>
      </c>
      <c r="F170" s="15"/>
      <c r="G170" s="15"/>
      <c r="H170" s="15"/>
      <c r="I170" s="45"/>
    </row>
    <row r="171" s="1" customFormat="1" ht="35" customHeight="1" spans="1:9">
      <c r="A171" s="54" t="s">
        <v>52</v>
      </c>
      <c r="B171" s="55"/>
      <c r="C171" s="76" t="s">
        <v>58</v>
      </c>
      <c r="D171" s="77"/>
      <c r="E171" s="81"/>
      <c r="F171" s="15"/>
      <c r="G171" s="15"/>
      <c r="H171" s="15"/>
      <c r="I171" s="45"/>
    </row>
    <row r="172" s="1" customFormat="1" ht="35" customHeight="1" spans="1:9">
      <c r="A172" s="58"/>
      <c r="B172" s="59"/>
      <c r="C172" s="60"/>
      <c r="D172" s="61"/>
      <c r="E172" s="35">
        <v>0</v>
      </c>
      <c r="F172" s="15"/>
      <c r="G172" s="15"/>
      <c r="H172" s="15"/>
      <c r="I172" s="45"/>
    </row>
    <row r="173" s="1" customFormat="1" ht="35" customHeight="1" spans="1:9">
      <c r="A173" s="58"/>
      <c r="B173" s="59"/>
      <c r="C173" s="60"/>
      <c r="D173" s="61"/>
      <c r="E173" s="35">
        <v>0</v>
      </c>
      <c r="F173" s="15"/>
      <c r="G173" s="15"/>
      <c r="H173" s="15"/>
      <c r="I173" s="45"/>
    </row>
    <row r="174" s="1" customFormat="1" ht="35" customHeight="1" spans="1:9">
      <c r="A174" s="58"/>
      <c r="B174" s="59"/>
      <c r="C174" s="60"/>
      <c r="D174" s="61"/>
      <c r="E174" s="35">
        <v>0</v>
      </c>
      <c r="F174" s="15"/>
      <c r="G174" s="15"/>
      <c r="H174" s="15"/>
      <c r="I174" s="45"/>
    </row>
    <row r="175" s="1" customFormat="1" ht="35" customHeight="1" spans="1:9">
      <c r="A175" s="58"/>
      <c r="B175" s="59"/>
      <c r="C175" s="60"/>
      <c r="D175" s="61"/>
      <c r="E175" s="35">
        <v>0</v>
      </c>
      <c r="F175" s="15"/>
      <c r="G175" s="15"/>
      <c r="H175" s="15"/>
      <c r="I175" s="45"/>
    </row>
    <row r="176" s="1" customFormat="1" ht="35" customHeight="1" spans="1:9">
      <c r="A176" s="58"/>
      <c r="B176" s="59"/>
      <c r="C176" s="60"/>
      <c r="D176" s="61"/>
      <c r="E176" s="35">
        <v>0</v>
      </c>
      <c r="F176" s="15"/>
      <c r="G176" s="15"/>
      <c r="H176" s="15"/>
      <c r="I176" s="45"/>
    </row>
    <row r="177" s="1" customFormat="1" ht="35" customHeight="1" spans="1:9">
      <c r="A177" s="58"/>
      <c r="B177" s="59"/>
      <c r="C177" s="60"/>
      <c r="D177" s="61"/>
      <c r="E177" s="35">
        <v>0</v>
      </c>
      <c r="F177" s="15"/>
      <c r="G177" s="15"/>
      <c r="H177" s="15"/>
      <c r="I177" s="45"/>
    </row>
    <row r="178" s="1" customFormat="1" ht="35" customHeight="1" spans="1:9">
      <c r="A178" s="58"/>
      <c r="B178" s="59"/>
      <c r="C178" s="60"/>
      <c r="D178" s="61"/>
      <c r="E178" s="35">
        <v>0</v>
      </c>
      <c r="F178" s="15"/>
      <c r="G178" s="15"/>
      <c r="H178" s="15"/>
      <c r="I178" s="45"/>
    </row>
    <row r="179" s="1" customFormat="1" ht="35" customHeight="1" spans="1:9">
      <c r="A179" s="58"/>
      <c r="B179" s="59"/>
      <c r="C179" s="60"/>
      <c r="D179" s="61"/>
      <c r="E179" s="35">
        <v>0</v>
      </c>
      <c r="F179" s="15"/>
      <c r="G179" s="15"/>
      <c r="H179" s="15"/>
      <c r="I179" s="45"/>
    </row>
    <row r="180" s="1" customFormat="1" ht="35" customHeight="1" spans="1:9">
      <c r="A180" s="58"/>
      <c r="B180" s="59"/>
      <c r="C180" s="60"/>
      <c r="D180" s="61"/>
      <c r="E180" s="35">
        <v>0</v>
      </c>
      <c r="F180" s="15"/>
      <c r="G180" s="15"/>
      <c r="H180" s="15"/>
      <c r="I180" s="45"/>
    </row>
    <row r="181" s="1" customFormat="1" ht="35" customHeight="1" spans="1:9">
      <c r="A181" s="58"/>
      <c r="B181" s="59"/>
      <c r="C181" s="60"/>
      <c r="D181" s="61"/>
      <c r="E181" s="35">
        <v>0</v>
      </c>
      <c r="F181" s="15"/>
      <c r="G181" s="15"/>
      <c r="H181" s="15"/>
      <c r="I181" s="45"/>
    </row>
    <row r="182" s="1" customFormat="1" ht="35" customHeight="1" spans="1:9">
      <c r="A182" s="58"/>
      <c r="B182" s="59"/>
      <c r="C182" s="56" t="s">
        <v>59</v>
      </c>
      <c r="D182" s="57"/>
      <c r="E182" s="66"/>
      <c r="F182" s="15"/>
      <c r="G182" s="15"/>
      <c r="H182" s="15"/>
      <c r="I182" s="45"/>
    </row>
    <row r="183" s="1" customFormat="1" ht="35" customHeight="1" spans="1:9">
      <c r="A183" s="58"/>
      <c r="B183" s="59"/>
      <c r="C183" s="60"/>
      <c r="D183" s="61"/>
      <c r="E183" s="78">
        <v>0</v>
      </c>
      <c r="F183" s="15"/>
      <c r="G183" s="15"/>
      <c r="H183" s="15"/>
      <c r="I183" s="45"/>
    </row>
    <row r="184" s="1" customFormat="1" ht="35" customHeight="1" spans="1:9">
      <c r="A184" s="58"/>
      <c r="B184" s="59"/>
      <c r="C184" s="60"/>
      <c r="D184" s="61"/>
      <c r="E184" s="78">
        <v>0</v>
      </c>
      <c r="F184" s="15"/>
      <c r="G184" s="15"/>
      <c r="H184" s="15"/>
      <c r="I184" s="45"/>
    </row>
    <row r="185" s="1" customFormat="1" ht="35" customHeight="1" spans="1:9">
      <c r="A185" s="58"/>
      <c r="B185" s="59"/>
      <c r="C185" s="60"/>
      <c r="D185" s="61"/>
      <c r="E185" s="78">
        <v>0</v>
      </c>
      <c r="F185" s="15"/>
      <c r="G185" s="15"/>
      <c r="H185" s="15"/>
      <c r="I185" s="45"/>
    </row>
    <row r="186" s="1" customFormat="1" ht="35" customHeight="1" spans="1:9">
      <c r="A186" s="58"/>
      <c r="B186" s="59"/>
      <c r="C186" s="60"/>
      <c r="D186" s="61"/>
      <c r="E186" s="78">
        <v>0</v>
      </c>
      <c r="F186" s="15"/>
      <c r="G186" s="15"/>
      <c r="H186" s="15"/>
      <c r="I186" s="45"/>
    </row>
    <row r="187" s="1" customFormat="1" ht="35" customHeight="1" spans="1:9">
      <c r="A187" s="58"/>
      <c r="B187" s="59"/>
      <c r="C187" s="60"/>
      <c r="D187" s="61"/>
      <c r="E187" s="78">
        <v>0</v>
      </c>
      <c r="F187" s="15"/>
      <c r="G187" s="15"/>
      <c r="H187" s="15"/>
      <c r="I187" s="45"/>
    </row>
    <row r="188" s="1" customFormat="1" ht="35" customHeight="1" spans="1:9">
      <c r="A188" s="67"/>
      <c r="B188" s="68"/>
      <c r="C188" s="60"/>
      <c r="D188" s="61"/>
      <c r="E188" s="78">
        <v>0</v>
      </c>
      <c r="F188" s="15"/>
      <c r="G188" s="15"/>
      <c r="H188" s="15"/>
      <c r="I188" s="45"/>
    </row>
    <row r="189" s="1" customFormat="1" ht="35" customHeight="1" spans="1:9">
      <c r="A189" s="51" t="s">
        <v>60</v>
      </c>
      <c r="B189" s="69"/>
      <c r="C189" s="70"/>
      <c r="D189" s="71"/>
      <c r="E189" s="78">
        <f>C96</f>
        <v>0</v>
      </c>
      <c r="F189" s="15"/>
      <c r="G189" s="15"/>
      <c r="H189" s="15"/>
      <c r="I189" s="45"/>
    </row>
    <row r="190" s="1" customFormat="1" ht="35" customHeight="1" spans="1:9">
      <c r="A190" s="72"/>
      <c r="B190" s="73"/>
      <c r="C190" s="37" t="s">
        <v>61</v>
      </c>
      <c r="D190" s="37"/>
      <c r="E190" s="65">
        <f ca="1">(F40+E170)-(SUM(E172:E181)+SUM(E183:E189))</f>
        <v>0</v>
      </c>
      <c r="F190" s="15"/>
      <c r="G190" s="15"/>
      <c r="H190" s="15"/>
      <c r="I190" s="45"/>
    </row>
    <row r="191" s="1" customFormat="1" ht="35" customHeight="1" spans="1:9">
      <c r="A191" s="15"/>
      <c r="B191" s="15"/>
      <c r="C191" s="15"/>
      <c r="D191" s="15"/>
      <c r="E191" s="15"/>
      <c r="F191" s="15"/>
      <c r="G191" s="15"/>
      <c r="H191" s="15"/>
      <c r="I191" s="45"/>
    </row>
    <row r="192" ht="24.75" customHeight="1" spans="1:9">
      <c r="A192" s="82"/>
      <c r="B192" s="82"/>
      <c r="C192" s="82"/>
      <c r="D192" s="82"/>
      <c r="E192" s="82"/>
      <c r="F192" s="82"/>
      <c r="G192" s="82"/>
      <c r="H192" s="82"/>
      <c r="I192" s="82"/>
    </row>
    <row r="193" spans="1:9">
      <c r="A193" s="82"/>
      <c r="B193" s="82"/>
      <c r="C193" s="82"/>
      <c r="D193" s="82"/>
      <c r="E193" s="82"/>
      <c r="F193" s="82"/>
      <c r="G193" s="82"/>
      <c r="H193" s="82"/>
      <c r="I193" s="82"/>
    </row>
  </sheetData>
  <sheetProtection sheet="1" formatCells="0" formatColumns="0" formatRows="0" objects="1"/>
  <protectedRanges>
    <protectedRange sqref="A10:G15" name="R1"/>
    <protectedRange sqref="A22:G27" name="R2"/>
    <protectedRange sqref="A34:G39" name="R3"/>
    <protectedRange sqref="A46:C46 C47:C54" name="F1"/>
    <protectedRange sqref="C56:C65" name="F2"/>
    <protectedRange sqref="C67:C74" name="F3"/>
    <protectedRange sqref="C76:C84" name="F4"/>
    <protectedRange sqref="C86:C94" name="F5"/>
    <protectedRange sqref="C117:E134" name="E1"/>
    <protectedRange sqref="C144:E161" name="E2"/>
    <protectedRange sqref="C171:E188" name="E3"/>
    <protectedRange sqref="A56:B56" name="F2_1"/>
    <protectedRange sqref="A76:B76" name="F4_1"/>
    <protectedRange sqref="A56:B56" name="F2_2"/>
    <protectedRange sqref="A67:B67" name="F3_1"/>
    <protectedRange sqref="A76:B76" name="F4_2"/>
    <protectedRange sqref="A86:B86" name="F5_1"/>
  </protectedRanges>
  <mergeCells count="174">
    <mergeCell ref="A1:G1"/>
    <mergeCell ref="C2:G2"/>
    <mergeCell ref="C3:G3"/>
    <mergeCell ref="A4:B4"/>
    <mergeCell ref="C4:G4"/>
    <mergeCell ref="A5:B5"/>
    <mergeCell ref="C5:G5"/>
    <mergeCell ref="A8:G8"/>
    <mergeCell ref="B9:C9"/>
    <mergeCell ref="D9:E9"/>
    <mergeCell ref="F9:G9"/>
    <mergeCell ref="B10:C10"/>
    <mergeCell ref="D10:E10"/>
    <mergeCell ref="F10:G10"/>
    <mergeCell ref="B11:C11"/>
    <mergeCell ref="D11:E11"/>
    <mergeCell ref="F11:G11"/>
    <mergeCell ref="B12:C12"/>
    <mergeCell ref="D12:E12"/>
    <mergeCell ref="F12:G12"/>
    <mergeCell ref="B13:C13"/>
    <mergeCell ref="D13:E13"/>
    <mergeCell ref="F13:G13"/>
    <mergeCell ref="B14:C14"/>
    <mergeCell ref="D14:E14"/>
    <mergeCell ref="F14:G14"/>
    <mergeCell ref="B15:C15"/>
    <mergeCell ref="D15:E15"/>
    <mergeCell ref="F15:G15"/>
    <mergeCell ref="B16:C16"/>
    <mergeCell ref="D16:E16"/>
    <mergeCell ref="F16:G16"/>
    <mergeCell ref="A20:G20"/>
    <mergeCell ref="B21:C21"/>
    <mergeCell ref="D21:E21"/>
    <mergeCell ref="F21:G21"/>
    <mergeCell ref="B22:C22"/>
    <mergeCell ref="D22:E22"/>
    <mergeCell ref="F22:G22"/>
    <mergeCell ref="B23:C23"/>
    <mergeCell ref="D23:E23"/>
    <mergeCell ref="F23:G23"/>
    <mergeCell ref="B24:C24"/>
    <mergeCell ref="D24:E24"/>
    <mergeCell ref="F24:G24"/>
    <mergeCell ref="B25:C25"/>
    <mergeCell ref="D25:E25"/>
    <mergeCell ref="F25:G25"/>
    <mergeCell ref="B26:C26"/>
    <mergeCell ref="D26:E26"/>
    <mergeCell ref="F26:G26"/>
    <mergeCell ref="B27:C27"/>
    <mergeCell ref="D27:E27"/>
    <mergeCell ref="F27:G27"/>
    <mergeCell ref="B28:C28"/>
    <mergeCell ref="D28:E28"/>
    <mergeCell ref="F28:G28"/>
    <mergeCell ref="A32:G32"/>
    <mergeCell ref="B33:C33"/>
    <mergeCell ref="D33:E33"/>
    <mergeCell ref="F33:G33"/>
    <mergeCell ref="B34:C34"/>
    <mergeCell ref="D34:E34"/>
    <mergeCell ref="F34:G34"/>
    <mergeCell ref="B35:C35"/>
    <mergeCell ref="D35:E35"/>
    <mergeCell ref="F35:G35"/>
    <mergeCell ref="B36:C36"/>
    <mergeCell ref="D36:E36"/>
    <mergeCell ref="F36:G36"/>
    <mergeCell ref="B37:C37"/>
    <mergeCell ref="D37:E37"/>
    <mergeCell ref="F37:G37"/>
    <mergeCell ref="B38:C38"/>
    <mergeCell ref="D38:E38"/>
    <mergeCell ref="F38:G38"/>
    <mergeCell ref="B39:C39"/>
    <mergeCell ref="D39:E39"/>
    <mergeCell ref="F39:G39"/>
    <mergeCell ref="B40:C40"/>
    <mergeCell ref="D40:E40"/>
    <mergeCell ref="F40:G40"/>
    <mergeCell ref="A44:C44"/>
    <mergeCell ref="A46:C46"/>
    <mergeCell ref="A56:C56"/>
    <mergeCell ref="A67:C67"/>
    <mergeCell ref="A76:C76"/>
    <mergeCell ref="A86:C86"/>
    <mergeCell ref="A97:C97"/>
    <mergeCell ref="A114:E114"/>
    <mergeCell ref="A115:B115"/>
    <mergeCell ref="C115:D115"/>
    <mergeCell ref="A116:B116"/>
    <mergeCell ref="C116:D116"/>
    <mergeCell ref="C117:D117"/>
    <mergeCell ref="C118:D118"/>
    <mergeCell ref="C119:D119"/>
    <mergeCell ref="C120:D120"/>
    <mergeCell ref="C121:D121"/>
    <mergeCell ref="C122:D122"/>
    <mergeCell ref="C123:D123"/>
    <mergeCell ref="C124:D124"/>
    <mergeCell ref="C125:D125"/>
    <mergeCell ref="C126:D126"/>
    <mergeCell ref="C127:D127"/>
    <mergeCell ref="C128:D128"/>
    <mergeCell ref="C129:D129"/>
    <mergeCell ref="C130:D130"/>
    <mergeCell ref="C131:D131"/>
    <mergeCell ref="C132:D132"/>
    <mergeCell ref="C133:D133"/>
    <mergeCell ref="C134:D134"/>
    <mergeCell ref="A135:B135"/>
    <mergeCell ref="C135:D135"/>
    <mergeCell ref="A136:B136"/>
    <mergeCell ref="C136:D136"/>
    <mergeCell ref="A141:E141"/>
    <mergeCell ref="A142:B142"/>
    <mergeCell ref="C142:D142"/>
    <mergeCell ref="A143:B143"/>
    <mergeCell ref="C143:D143"/>
    <mergeCell ref="C144:D144"/>
    <mergeCell ref="C145:D145"/>
    <mergeCell ref="C146:D146"/>
    <mergeCell ref="C147:D147"/>
    <mergeCell ref="C148:D148"/>
    <mergeCell ref="C149:D149"/>
    <mergeCell ref="C150:D150"/>
    <mergeCell ref="C151:D151"/>
    <mergeCell ref="C152:D152"/>
    <mergeCell ref="C153:D153"/>
    <mergeCell ref="C154:D154"/>
    <mergeCell ref="C155:D155"/>
    <mergeCell ref="C156:D156"/>
    <mergeCell ref="C157:D157"/>
    <mergeCell ref="C158:D158"/>
    <mergeCell ref="C159:D159"/>
    <mergeCell ref="C160:D160"/>
    <mergeCell ref="C161:D161"/>
    <mergeCell ref="A162:B162"/>
    <mergeCell ref="C162:D162"/>
    <mergeCell ref="A163:B163"/>
    <mergeCell ref="C163:D163"/>
    <mergeCell ref="A168:E168"/>
    <mergeCell ref="A169:B169"/>
    <mergeCell ref="C169:D169"/>
    <mergeCell ref="A170:B170"/>
    <mergeCell ref="C170:D170"/>
    <mergeCell ref="C171:D171"/>
    <mergeCell ref="C172:D172"/>
    <mergeCell ref="C173:D173"/>
    <mergeCell ref="C174:D174"/>
    <mergeCell ref="C175:D175"/>
    <mergeCell ref="C176:D176"/>
    <mergeCell ref="C177:D177"/>
    <mergeCell ref="C178:D178"/>
    <mergeCell ref="C179:D179"/>
    <mergeCell ref="C180:D180"/>
    <mergeCell ref="C181:D181"/>
    <mergeCell ref="C182:D182"/>
    <mergeCell ref="C183:D183"/>
    <mergeCell ref="C184:D184"/>
    <mergeCell ref="C185:D185"/>
    <mergeCell ref="C186:D186"/>
    <mergeCell ref="C187:D187"/>
    <mergeCell ref="C188:D188"/>
    <mergeCell ref="A189:B189"/>
    <mergeCell ref="C189:D189"/>
    <mergeCell ref="A190:B190"/>
    <mergeCell ref="C190:D190"/>
    <mergeCell ref="A2:A3"/>
    <mergeCell ref="A171:B188"/>
    <mergeCell ref="A144:B161"/>
    <mergeCell ref="A117:B134"/>
  </mergeCells>
  <conditionalFormatting sqref="C5">
    <cfRule type="cellIs" dxfId="0" priority="6" operator="equal">
      <formula>0</formula>
    </cfRule>
    <cfRule type="cellIs" dxfId="1" priority="5" operator="greaterThan">
      <formula>0</formula>
    </cfRule>
  </conditionalFormatting>
  <conditionalFormatting sqref="C75">
    <cfRule type="cellIs" dxfId="0" priority="51" operator="equal">
      <formula>0</formula>
    </cfRule>
    <cfRule type="cellIs" dxfId="1" priority="50" operator="greaterThan">
      <formula>0</formula>
    </cfRule>
  </conditionalFormatting>
  <conditionalFormatting sqref="C77">
    <cfRule type="cellIs" dxfId="0" priority="49" operator="equal">
      <formula>0</formula>
    </cfRule>
    <cfRule type="cellIs" dxfId="1" priority="48" operator="greaterThan">
      <formula>0</formula>
    </cfRule>
  </conditionalFormatting>
  <conditionalFormatting sqref="C108">
    <cfRule type="cellIs" dxfId="0" priority="4" operator="greaterThanOrEqual">
      <formula>0</formula>
    </cfRule>
    <cfRule type="cellIs" dxfId="1" priority="3" operator="lessThan">
      <formula>0</formula>
    </cfRule>
  </conditionalFormatting>
  <conditionalFormatting sqref="C109">
    <cfRule type="cellIs" dxfId="0" priority="2" operator="greaterThanOrEqual">
      <formula>0</formula>
    </cfRule>
    <cfRule type="cellIs" dxfId="1" priority="1" operator="lessThan">
      <formula>0</formula>
    </cfRule>
  </conditionalFormatting>
  <conditionalFormatting sqref="E116">
    <cfRule type="cellIs" dxfId="3" priority="12" operator="greaterThanOrEqual">
      <formula>0</formula>
    </cfRule>
    <cfRule type="cellIs" dxfId="4" priority="11" operator="lessThan">
      <formula>0</formula>
    </cfRule>
  </conditionalFormatting>
  <conditionalFormatting sqref="E136">
    <cfRule type="cellIs" dxfId="3" priority="43" operator="greaterThanOrEqual">
      <formula>0</formula>
    </cfRule>
    <cfRule type="cellIs" dxfId="4" priority="42" operator="lessThan">
      <formula>0</formula>
    </cfRule>
  </conditionalFormatting>
  <conditionalFormatting sqref="E143">
    <cfRule type="cellIs" dxfId="3" priority="30" operator="greaterThanOrEqual">
      <formula>0</formula>
    </cfRule>
    <cfRule type="cellIs" dxfId="4" priority="29" operator="lessThan">
      <formula>0</formula>
    </cfRule>
  </conditionalFormatting>
  <conditionalFormatting sqref="E163">
    <cfRule type="cellIs" dxfId="3" priority="32" operator="greaterThanOrEqual">
      <formula>0</formula>
    </cfRule>
    <cfRule type="cellIs" dxfId="4" priority="31" operator="lessThan">
      <formula>0</formula>
    </cfRule>
  </conditionalFormatting>
  <conditionalFormatting sqref="E170">
    <cfRule type="cellIs" dxfId="3" priority="24" operator="greaterThanOrEqual">
      <formula>0</formula>
    </cfRule>
    <cfRule type="cellIs" dxfId="4" priority="23" operator="lessThan">
      <formula>0</formula>
    </cfRule>
  </conditionalFormatting>
  <conditionalFormatting sqref="E190">
    <cfRule type="cellIs" dxfId="3" priority="26" operator="greaterThanOrEqual">
      <formula>0</formula>
    </cfRule>
    <cfRule type="cellIs" dxfId="4" priority="25" operator="lessThan">
      <formula>0</formula>
    </cfRule>
  </conditionalFormatting>
  <conditionalFormatting sqref="C57:C66">
    <cfRule type="cellIs" dxfId="0" priority="55" operator="equal">
      <formula>0</formula>
    </cfRule>
    <cfRule type="cellIs" dxfId="1" priority="54" operator="greaterThan">
      <formula>0</formula>
    </cfRule>
  </conditionalFormatting>
  <conditionalFormatting sqref="C68:C69">
    <cfRule type="cellIs" dxfId="0" priority="53" operator="equal">
      <formula>0</formula>
    </cfRule>
    <cfRule type="cellIs" dxfId="1" priority="52" operator="greaterThan">
      <formula>0</formula>
    </cfRule>
  </conditionalFormatting>
  <conditionalFormatting sqref="C70:C74">
    <cfRule type="cellIs" dxfId="0" priority="41" operator="equal">
      <formula>0</formula>
    </cfRule>
    <cfRule type="cellIs" dxfId="1" priority="40" operator="greaterThan">
      <formula>0</formula>
    </cfRule>
  </conditionalFormatting>
  <conditionalFormatting sqref="C78:C79">
    <cfRule type="cellIs" dxfId="0" priority="10" operator="equal">
      <formula>0</formula>
    </cfRule>
    <cfRule type="cellIs" dxfId="1" priority="9" operator="greaterThan">
      <formula>0</formula>
    </cfRule>
  </conditionalFormatting>
  <conditionalFormatting sqref="C80:C84">
    <cfRule type="cellIs" dxfId="0" priority="39" operator="equal">
      <formula>0</formula>
    </cfRule>
    <cfRule type="cellIs" dxfId="1" priority="38" operator="greaterThan">
      <formula>0</formula>
    </cfRule>
  </conditionalFormatting>
  <conditionalFormatting sqref="C87:C89">
    <cfRule type="cellIs" dxfId="0" priority="47" operator="equal">
      <formula>0</formula>
    </cfRule>
    <cfRule type="cellIs" dxfId="1" priority="46" operator="greaterThan">
      <formula>0</formula>
    </cfRule>
  </conditionalFormatting>
  <conditionalFormatting sqref="C90:C91">
    <cfRule type="cellIs" dxfId="0" priority="8" operator="equal">
      <formula>0</formula>
    </cfRule>
    <cfRule type="cellIs" dxfId="1" priority="7" operator="greaterThan">
      <formula>0</formula>
    </cfRule>
  </conditionalFormatting>
  <conditionalFormatting sqref="C92:C94">
    <cfRule type="cellIs" dxfId="0" priority="37" operator="equal">
      <formula>0</formula>
    </cfRule>
    <cfRule type="cellIs" dxfId="1" priority="36" operator="greaterThan">
      <formula>0</formula>
    </cfRule>
  </conditionalFormatting>
  <conditionalFormatting sqref="C98:C107">
    <cfRule type="cellIs" dxfId="1" priority="20" operator="lessThan">
      <formula>0</formula>
    </cfRule>
    <cfRule type="cellIs" dxfId="2" priority="19" operator="greaterThanOrEqual">
      <formula>0</formula>
    </cfRule>
  </conditionalFormatting>
  <conditionalFormatting sqref="E118:E127">
    <cfRule type="cellIs" dxfId="0" priority="18" operator="equal">
      <formula>0</formula>
    </cfRule>
    <cfRule type="cellIs" dxfId="1" priority="17" operator="greaterThan">
      <formula>0</formula>
    </cfRule>
  </conditionalFormatting>
  <conditionalFormatting sqref="E145:E154">
    <cfRule type="cellIs" dxfId="0" priority="16" operator="equal">
      <formula>0</formula>
    </cfRule>
    <cfRule type="cellIs" dxfId="1" priority="15" operator="greaterThan">
      <formula>0</formula>
    </cfRule>
  </conditionalFormatting>
  <conditionalFormatting sqref="E172:E181">
    <cfRule type="cellIs" dxfId="0" priority="14" operator="equal">
      <formula>0</formula>
    </cfRule>
    <cfRule type="cellIs" dxfId="1" priority="13" operator="greaterThan">
      <formula>0</formula>
    </cfRule>
  </conditionalFormatting>
  <conditionalFormatting sqref="C47:C55 C85 C95:C96">
    <cfRule type="cellIs" dxfId="0" priority="57" operator="equal">
      <formula>0</formula>
    </cfRule>
  </conditionalFormatting>
  <conditionalFormatting sqref="C47:C55 C85 C95:C96 E144 E155:E162">
    <cfRule type="cellIs" dxfId="1" priority="56" operator="greaterThan">
      <formula>0</formula>
    </cfRule>
  </conditionalFormatting>
  <conditionalFormatting sqref="E117 E128:E135">
    <cfRule type="cellIs" dxfId="0" priority="45" operator="equal">
      <formula>0</formula>
    </cfRule>
    <cfRule type="cellIs" dxfId="1" priority="44" operator="greaterThan">
      <formula>0</formula>
    </cfRule>
  </conditionalFormatting>
  <conditionalFormatting sqref="E144 E155:E162">
    <cfRule type="cellIs" dxfId="2" priority="33" operator="equal">
      <formula>0</formula>
    </cfRule>
  </conditionalFormatting>
  <conditionalFormatting sqref="E171 E182:E189">
    <cfRule type="cellIs" dxfId="2" priority="28" operator="equal">
      <formula>0</formula>
    </cfRule>
    <cfRule type="cellIs" dxfId="1" priority="27" operator="greaterThan">
      <formula>0</formula>
    </cfRule>
  </conditionalFormatting>
  <pageMargins left="0.7" right="0.7" top="0.75" bottom="0.75" header="0.3" footer="0.3"/>
  <headerFooter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93"/>
  <sheetViews>
    <sheetView topLeftCell="A168" workbookViewId="0">
      <selection activeCell="F178" sqref="F178"/>
    </sheetView>
  </sheetViews>
  <sheetFormatPr defaultColWidth="9" defaultRowHeight="17.6"/>
  <cols>
    <col min="1" max="7" width="25.6111111111111" customWidth="1"/>
    <col min="8" max="8" width="20.625" customWidth="1"/>
    <col min="10" max="10" width="20.625" customWidth="1"/>
  </cols>
  <sheetData>
    <row r="1" s="1" customFormat="1" ht="35" customHeight="1" spans="1:9">
      <c r="A1" s="2" t="str">
        <f>"Forecasts For the Year "&amp;IF(Main!B2,TEXT(EDATE(Main!B3,45),"mmmm yyyy"),TEXT(Main!B3+((Main!B5-Main!B3)*45+45),"mmmm yyyy"))&amp;" to "&amp;IF(Main!B2,TEXT(EDATE(Main!B3,48)-1,"mmmm yyyy"),TEXT(Main!B3+((Main!B5-Main!B3)*48+47),"mmmm yyyy"))</f>
        <v>Forecasts For the Year February 2029 to April 2029</v>
      </c>
      <c r="B1" s="2"/>
      <c r="C1" s="2"/>
      <c r="D1" s="2"/>
      <c r="E1" s="2"/>
      <c r="F1" s="2"/>
      <c r="G1" s="2"/>
      <c r="H1" s="38"/>
      <c r="I1" s="38"/>
    </row>
    <row r="2" s="1" customFormat="1" ht="35" customHeight="1" spans="1:9">
      <c r="A2" s="3" t="s">
        <v>33</v>
      </c>
      <c r="B2" s="4" t="s">
        <v>62</v>
      </c>
      <c r="C2" s="5" cm="1">
        <f ca="1" t="array" ref="C2">INDIRECT("'"&amp;Main!B9&amp;"'!$C$16")</f>
        <v>0</v>
      </c>
      <c r="D2" s="5"/>
      <c r="E2" s="5"/>
      <c r="F2" s="5"/>
      <c r="G2" s="5"/>
      <c r="H2" s="38"/>
      <c r="I2" s="38"/>
    </row>
    <row r="3" s="1" customFormat="1" ht="35" customHeight="1" spans="1:9">
      <c r="A3" s="6"/>
      <c r="B3" s="7" t="s">
        <v>63</v>
      </c>
      <c r="C3" s="8">
        <f ca="1">E190</f>
        <v>0</v>
      </c>
      <c r="D3" s="8"/>
      <c r="E3" s="8"/>
      <c r="F3" s="8"/>
      <c r="G3" s="8"/>
      <c r="H3" s="38"/>
      <c r="I3" s="38"/>
    </row>
    <row r="4" s="1" customFormat="1" ht="35" customHeight="1" spans="1:9">
      <c r="A4" s="9" t="s">
        <v>42</v>
      </c>
      <c r="B4" s="10"/>
      <c r="C4" s="11">
        <f ca="1">SUM(C2:G3)</f>
        <v>0</v>
      </c>
      <c r="D4" s="11"/>
      <c r="E4" s="11"/>
      <c r="F4" s="11"/>
      <c r="G4" s="11"/>
      <c r="H4" s="15"/>
      <c r="I4" s="45"/>
    </row>
    <row r="5" s="1" customFormat="1" ht="35" customHeight="1" spans="1:9">
      <c r="A5" s="12" t="s">
        <v>64</v>
      </c>
      <c r="B5" s="12"/>
      <c r="C5" s="13">
        <f ca="1">C108</f>
        <v>0</v>
      </c>
      <c r="D5" s="14"/>
      <c r="E5" s="14"/>
      <c r="F5" s="14"/>
      <c r="G5" s="14"/>
      <c r="H5" s="15"/>
      <c r="I5" s="45"/>
    </row>
    <row r="6" s="1" customFormat="1" ht="35" customHeight="1" spans="1:9">
      <c r="A6" s="15"/>
      <c r="B6" s="15"/>
      <c r="C6" s="15"/>
      <c r="D6" s="15"/>
      <c r="E6" s="15"/>
      <c r="F6" s="15"/>
      <c r="G6" s="15"/>
      <c r="H6" s="15"/>
      <c r="I6" s="45"/>
    </row>
    <row r="7" s="1" customFormat="1" ht="35" customHeight="1" spans="1:9">
      <c r="A7" s="15"/>
      <c r="B7" s="15"/>
      <c r="C7" s="15"/>
      <c r="D7" s="15"/>
      <c r="E7" s="15"/>
      <c r="F7" s="15"/>
      <c r="G7" s="15"/>
      <c r="H7" s="15"/>
      <c r="I7" s="45"/>
    </row>
    <row r="8" s="1" customFormat="1" ht="35" customHeight="1" spans="1:9">
      <c r="A8" s="16" t="str">
        <f>IF(Main!B2,TEXT(EDATE(Main!B3,45),"dd mmmm yyyy"),TEXT(Main!B3+((Main!B5-Main!B3)*45+45),"dd mmmm yyyy"))&amp;" - "&amp;IF(Main!B2,TEXT(EDATE(Main!B3,46)-1,"dd mmmm yyyy"),TEXT(Main!B3+((Main!B5-Main!B3)*46+45),"dd mmmm yyyy"))&amp;" / "&amp;" (Revenue / Deferred Debts Or Expenses)"</f>
        <v>01 February 2029 - 28 February 2029 /  (Revenue / Deferred Debts Or Expenses)</v>
      </c>
      <c r="B8" s="17"/>
      <c r="C8" s="17"/>
      <c r="D8" s="17"/>
      <c r="E8" s="17"/>
      <c r="F8" s="17"/>
      <c r="G8" s="17"/>
      <c r="H8" s="15"/>
      <c r="I8" s="45"/>
    </row>
    <row r="9" s="1" customFormat="1" ht="35" customHeight="1" spans="1:9">
      <c r="A9" s="18" t="s">
        <v>29</v>
      </c>
      <c r="B9" s="18" t="s">
        <v>43</v>
      </c>
      <c r="C9" s="18"/>
      <c r="D9" s="18" t="s">
        <v>44</v>
      </c>
      <c r="E9" s="18"/>
      <c r="F9" s="18" t="s">
        <v>45</v>
      </c>
      <c r="G9" s="18"/>
      <c r="H9" s="15"/>
      <c r="I9" s="45"/>
    </row>
    <row r="10" s="1" customFormat="1" ht="35" customHeight="1" spans="1:9">
      <c r="A10" s="19"/>
      <c r="B10" s="20"/>
      <c r="C10" s="20"/>
      <c r="D10" s="20"/>
      <c r="E10" s="20"/>
      <c r="F10" s="39">
        <v>0</v>
      </c>
      <c r="G10" s="40"/>
      <c r="H10" s="15"/>
      <c r="I10" s="45"/>
    </row>
    <row r="11" s="1" customFormat="1" ht="35" customHeight="1" spans="1:9">
      <c r="A11" s="19"/>
      <c r="B11" s="21"/>
      <c r="C11" s="22"/>
      <c r="D11" s="23"/>
      <c r="E11" s="41"/>
      <c r="F11" s="39">
        <v>0</v>
      </c>
      <c r="G11" s="40"/>
      <c r="H11" s="15"/>
      <c r="I11" s="45"/>
    </row>
    <row r="12" s="1" customFormat="1" ht="35" customHeight="1" spans="1:9">
      <c r="A12" s="19"/>
      <c r="B12" s="21"/>
      <c r="C12" s="22"/>
      <c r="D12" s="23"/>
      <c r="E12" s="41"/>
      <c r="F12" s="39">
        <v>0</v>
      </c>
      <c r="G12" s="40"/>
      <c r="H12" s="15"/>
      <c r="I12" s="45"/>
    </row>
    <row r="13" s="1" customFormat="1" ht="35" customHeight="1" spans="1:9">
      <c r="A13" s="19"/>
      <c r="B13" s="21"/>
      <c r="C13" s="22"/>
      <c r="D13" s="23"/>
      <c r="E13" s="41"/>
      <c r="F13" s="39">
        <v>0</v>
      </c>
      <c r="G13" s="40"/>
      <c r="H13" s="15"/>
      <c r="I13" s="45"/>
    </row>
    <row r="14" s="1" customFormat="1" ht="35" customHeight="1" spans="1:9">
      <c r="A14" s="19"/>
      <c r="B14" s="21"/>
      <c r="C14" s="22"/>
      <c r="D14" s="23"/>
      <c r="E14" s="41"/>
      <c r="F14" s="39">
        <v>0</v>
      </c>
      <c r="G14" s="40"/>
      <c r="H14" s="15"/>
      <c r="I14" s="45"/>
    </row>
    <row r="15" s="1" customFormat="1" ht="35" customHeight="1" spans="1:9">
      <c r="A15" s="19"/>
      <c r="B15" s="21"/>
      <c r="C15" s="22"/>
      <c r="D15" s="23"/>
      <c r="E15" s="41"/>
      <c r="F15" s="39">
        <v>0</v>
      </c>
      <c r="G15" s="40"/>
      <c r="H15" s="15"/>
      <c r="I15" s="45"/>
    </row>
    <row r="16" s="1" customFormat="1" ht="35" customHeight="1" spans="1:9">
      <c r="A16" s="24"/>
      <c r="B16" s="25"/>
      <c r="C16" s="26"/>
      <c r="D16" s="27" t="s">
        <v>46</v>
      </c>
      <c r="E16" s="42"/>
      <c r="F16" s="43">
        <f>SUM(F10:G15)</f>
        <v>0</v>
      </c>
      <c r="G16" s="44"/>
      <c r="H16" s="15"/>
      <c r="I16" s="45"/>
    </row>
    <row r="17" s="1" customFormat="1" ht="35" customHeight="1" spans="1:9">
      <c r="A17" s="15"/>
      <c r="B17" s="15"/>
      <c r="C17" s="15"/>
      <c r="D17" s="15"/>
      <c r="E17" s="15"/>
      <c r="F17" s="15"/>
      <c r="G17" s="15"/>
      <c r="H17" s="15"/>
      <c r="I17" s="45"/>
    </row>
    <row r="18" s="1" customFormat="1" ht="35" customHeight="1" spans="1:9">
      <c r="A18" s="15"/>
      <c r="B18" s="15"/>
      <c r="C18" s="15"/>
      <c r="D18" s="15"/>
      <c r="E18" s="15"/>
      <c r="F18" s="15"/>
      <c r="G18" s="15"/>
      <c r="H18" s="15"/>
      <c r="I18" s="45"/>
    </row>
    <row r="19" s="1" customFormat="1" ht="35" customHeight="1" spans="1:9">
      <c r="A19" s="15"/>
      <c r="B19" s="15"/>
      <c r="C19" s="15"/>
      <c r="D19" s="15"/>
      <c r="E19" s="15"/>
      <c r="F19" s="15"/>
      <c r="G19" s="15"/>
      <c r="H19" s="15"/>
      <c r="I19" s="45"/>
    </row>
    <row r="20" s="1" customFormat="1" ht="35" customHeight="1" spans="1:9">
      <c r="A20" s="16" t="str">
        <f>IF(Main!B2,TEXT(EDATE(Main!B3,46),"dd mmmm yyyy"),TEXT(Main!B3+((Main!B5-Main!B3)*46+46),"dd mmmm yyyy"))&amp;" - "&amp;IF(Main!B2,TEXT(EDATE(Main!B3,47)-1,"dd mmmm yyyy"),TEXT(Main!B3+((Main!B5-Main!B3)*47+46),"dd mmmm yyyy"))&amp;" / "&amp;" (Revenue / Deferred Debts Or Expenses)"</f>
        <v>01 March 2029 - 31 March 2029 /  (Revenue / Deferred Debts Or Expenses)</v>
      </c>
      <c r="B20" s="17"/>
      <c r="C20" s="17"/>
      <c r="D20" s="17"/>
      <c r="E20" s="17"/>
      <c r="F20" s="17"/>
      <c r="G20" s="17"/>
      <c r="H20" s="15"/>
      <c r="I20" s="45"/>
    </row>
    <row r="21" s="1" customFormat="1" ht="35" customHeight="1" spans="1:9">
      <c r="A21" s="18" t="s">
        <v>29</v>
      </c>
      <c r="B21" s="18" t="s">
        <v>43</v>
      </c>
      <c r="C21" s="18"/>
      <c r="D21" s="18" t="s">
        <v>44</v>
      </c>
      <c r="E21" s="18"/>
      <c r="F21" s="18" t="s">
        <v>45</v>
      </c>
      <c r="G21" s="18"/>
      <c r="H21" s="15"/>
      <c r="I21" s="45"/>
    </row>
    <row r="22" s="1" customFormat="1" ht="35" customHeight="1" spans="1:9">
      <c r="A22" s="19"/>
      <c r="B22" s="20"/>
      <c r="C22" s="20"/>
      <c r="D22" s="20"/>
      <c r="E22" s="20"/>
      <c r="F22" s="39">
        <v>0</v>
      </c>
      <c r="G22" s="40"/>
      <c r="H22" s="15"/>
      <c r="I22" s="45"/>
    </row>
    <row r="23" s="1" customFormat="1" ht="35" customHeight="1" spans="1:9">
      <c r="A23" s="19"/>
      <c r="B23" s="21"/>
      <c r="C23" s="22"/>
      <c r="D23" s="23"/>
      <c r="E23" s="41"/>
      <c r="F23" s="39">
        <v>0</v>
      </c>
      <c r="G23" s="40"/>
      <c r="H23" s="15"/>
      <c r="I23" s="45"/>
    </row>
    <row r="24" s="1" customFormat="1" ht="35" customHeight="1" spans="1:9">
      <c r="A24" s="19"/>
      <c r="B24" s="21"/>
      <c r="C24" s="22"/>
      <c r="D24" s="23"/>
      <c r="E24" s="41"/>
      <c r="F24" s="39">
        <v>0</v>
      </c>
      <c r="G24" s="40"/>
      <c r="H24" s="15"/>
      <c r="I24" s="45"/>
    </row>
    <row r="25" s="1" customFormat="1" ht="35" customHeight="1" spans="1:9">
      <c r="A25" s="19"/>
      <c r="B25" s="21"/>
      <c r="C25" s="22"/>
      <c r="D25" s="23"/>
      <c r="E25" s="41"/>
      <c r="F25" s="39">
        <v>0</v>
      </c>
      <c r="G25" s="40"/>
      <c r="H25" s="15"/>
      <c r="I25" s="45"/>
    </row>
    <row r="26" s="1" customFormat="1" ht="35" customHeight="1" spans="1:9">
      <c r="A26" s="19"/>
      <c r="B26" s="21"/>
      <c r="C26" s="22"/>
      <c r="D26" s="23"/>
      <c r="E26" s="41"/>
      <c r="F26" s="39">
        <v>0</v>
      </c>
      <c r="G26" s="40"/>
      <c r="H26" s="15"/>
      <c r="I26" s="45"/>
    </row>
    <row r="27" s="1" customFormat="1" ht="35" customHeight="1" spans="1:9">
      <c r="A27" s="19"/>
      <c r="B27" s="21"/>
      <c r="C27" s="22"/>
      <c r="D27" s="23"/>
      <c r="E27" s="41"/>
      <c r="F27" s="39">
        <v>0</v>
      </c>
      <c r="G27" s="40"/>
      <c r="H27" s="15"/>
      <c r="I27" s="45"/>
    </row>
    <row r="28" s="1" customFormat="1" ht="35" customHeight="1" spans="1:9">
      <c r="A28" s="24"/>
      <c r="B28" s="25"/>
      <c r="C28" s="26"/>
      <c r="D28" s="27" t="s">
        <v>46</v>
      </c>
      <c r="E28" s="42"/>
      <c r="F28" s="43">
        <f>SUM(F22:G27)</f>
        <v>0</v>
      </c>
      <c r="G28" s="44"/>
      <c r="H28" s="15"/>
      <c r="I28" s="45"/>
    </row>
    <row r="29" s="1" customFormat="1" ht="35" customHeight="1" spans="1:9">
      <c r="A29" s="15"/>
      <c r="B29" s="15"/>
      <c r="C29" s="15"/>
      <c r="D29" s="15"/>
      <c r="E29" s="15"/>
      <c r="F29" s="15"/>
      <c r="G29" s="15"/>
      <c r="H29" s="15"/>
      <c r="I29" s="45"/>
    </row>
    <row r="30" s="1" customFormat="1" ht="35" customHeight="1" spans="1:9">
      <c r="A30" s="15"/>
      <c r="B30" s="15"/>
      <c r="C30" s="15"/>
      <c r="D30" s="15"/>
      <c r="E30" s="15"/>
      <c r="F30" s="15"/>
      <c r="G30" s="15"/>
      <c r="H30" s="15"/>
      <c r="I30" s="45"/>
    </row>
    <row r="31" s="1" customFormat="1" ht="35" customHeight="1" spans="1:9">
      <c r="A31" s="15"/>
      <c r="B31" s="15"/>
      <c r="C31" s="15"/>
      <c r="D31" s="15"/>
      <c r="E31" s="15"/>
      <c r="F31" s="15"/>
      <c r="G31" s="15"/>
      <c r="H31" s="15"/>
      <c r="I31" s="45"/>
    </row>
    <row r="32" s="1" customFormat="1" ht="35" customHeight="1" spans="1:9">
      <c r="A32" s="16" t="str">
        <f>IF(Main!B2,TEXT(EDATE(Main!B3,47),"dd mmmm yyyy"),TEXT(Main!B3+((Main!B5-Main!B3)*47+47),"dd mmmm yyyy"))&amp;" - "&amp;IF(Main!B2,TEXT(EDATE(Main!B3,48)-1,"dd mmmm yyyy"),TEXT(Main!B3+((Main!B5-Main!B3)*48+47),"dd mmmm yyyy"))&amp;" / "&amp;" (Revenue / Deferred Debts Or Expenses)"</f>
        <v>01 April 2029 - 30 April 2029 /  (Revenue / Deferred Debts Or Expenses)</v>
      </c>
      <c r="B32" s="17"/>
      <c r="C32" s="17"/>
      <c r="D32" s="17"/>
      <c r="E32" s="17"/>
      <c r="F32" s="17"/>
      <c r="G32" s="17"/>
      <c r="H32" s="15"/>
      <c r="I32" s="45"/>
    </row>
    <row r="33" s="1" customFormat="1" ht="35" customHeight="1" spans="1:9">
      <c r="A33" s="18" t="s">
        <v>29</v>
      </c>
      <c r="B33" s="18" t="s">
        <v>43</v>
      </c>
      <c r="C33" s="18"/>
      <c r="D33" s="18" t="s">
        <v>44</v>
      </c>
      <c r="E33" s="18"/>
      <c r="F33" s="18" t="s">
        <v>45</v>
      </c>
      <c r="G33" s="18"/>
      <c r="H33" s="15"/>
      <c r="I33" s="45"/>
    </row>
    <row r="34" s="1" customFormat="1" ht="35" customHeight="1" spans="1:9">
      <c r="A34" s="19"/>
      <c r="B34" s="20"/>
      <c r="C34" s="20"/>
      <c r="D34" s="20"/>
      <c r="E34" s="20"/>
      <c r="F34" s="39">
        <v>0</v>
      </c>
      <c r="G34" s="40"/>
      <c r="H34" s="15"/>
      <c r="I34" s="45"/>
    </row>
    <row r="35" s="1" customFormat="1" ht="35" customHeight="1" spans="1:9">
      <c r="A35" s="19"/>
      <c r="B35" s="21"/>
      <c r="C35" s="22"/>
      <c r="D35" s="23"/>
      <c r="E35" s="41"/>
      <c r="F35" s="39">
        <v>0</v>
      </c>
      <c r="G35" s="40"/>
      <c r="H35" s="15"/>
      <c r="I35" s="45"/>
    </row>
    <row r="36" s="1" customFormat="1" ht="35" customHeight="1" spans="1:9">
      <c r="A36" s="19"/>
      <c r="B36" s="21"/>
      <c r="C36" s="22"/>
      <c r="D36" s="23"/>
      <c r="E36" s="41"/>
      <c r="F36" s="39">
        <v>0</v>
      </c>
      <c r="G36" s="40"/>
      <c r="H36" s="15"/>
      <c r="I36" s="45"/>
    </row>
    <row r="37" s="1" customFormat="1" ht="35" customHeight="1" spans="1:9">
      <c r="A37" s="19"/>
      <c r="B37" s="21"/>
      <c r="C37" s="22"/>
      <c r="D37" s="23"/>
      <c r="E37" s="41"/>
      <c r="F37" s="39">
        <v>0</v>
      </c>
      <c r="G37" s="40"/>
      <c r="H37" s="15"/>
      <c r="I37" s="45"/>
    </row>
    <row r="38" s="1" customFormat="1" ht="35" customHeight="1" spans="1:9">
      <c r="A38" s="19"/>
      <c r="B38" s="21"/>
      <c r="C38" s="22"/>
      <c r="D38" s="23"/>
      <c r="E38" s="41"/>
      <c r="F38" s="39">
        <v>0</v>
      </c>
      <c r="G38" s="40"/>
      <c r="H38" s="15"/>
      <c r="I38" s="45"/>
    </row>
    <row r="39" s="1" customFormat="1" ht="35" customHeight="1" spans="1:9">
      <c r="A39" s="19"/>
      <c r="B39" s="21"/>
      <c r="C39" s="22"/>
      <c r="D39" s="23"/>
      <c r="E39" s="41"/>
      <c r="F39" s="39">
        <v>0</v>
      </c>
      <c r="G39" s="40"/>
      <c r="H39" s="15"/>
      <c r="I39" s="45"/>
    </row>
    <row r="40" s="1" customFormat="1" ht="35" customHeight="1" spans="1:9">
      <c r="A40" s="24"/>
      <c r="B40" s="25"/>
      <c r="C40" s="26"/>
      <c r="D40" s="27" t="s">
        <v>46</v>
      </c>
      <c r="E40" s="42"/>
      <c r="F40" s="43">
        <f>SUM(F34:G39)</f>
        <v>0</v>
      </c>
      <c r="G40" s="44"/>
      <c r="H40" s="15"/>
      <c r="I40" s="45"/>
    </row>
    <row r="41" s="1" customFormat="1" ht="35" customHeight="1" spans="1:9">
      <c r="A41" s="15"/>
      <c r="B41" s="15"/>
      <c r="C41" s="15"/>
      <c r="D41" s="15"/>
      <c r="E41" s="15"/>
      <c r="F41" s="15"/>
      <c r="G41" s="15"/>
      <c r="H41" s="15"/>
      <c r="I41" s="45"/>
    </row>
    <row r="42" s="1" customFormat="1" ht="35" customHeight="1" spans="1:9">
      <c r="A42" s="15"/>
      <c r="B42" s="15"/>
      <c r="C42" s="15"/>
      <c r="D42" s="15"/>
      <c r="E42" s="15"/>
      <c r="F42" s="15"/>
      <c r="G42" s="15"/>
      <c r="H42" s="15"/>
      <c r="I42" s="45"/>
    </row>
    <row r="43" s="1" customFormat="1" ht="35" customHeight="1" spans="1:9">
      <c r="A43" s="15"/>
      <c r="B43" s="15"/>
      <c r="C43" s="15"/>
      <c r="D43" s="15"/>
      <c r="E43" s="15"/>
      <c r="F43" s="15"/>
      <c r="G43" s="15"/>
      <c r="H43" s="15"/>
      <c r="I43" s="45"/>
    </row>
    <row r="44" s="1" customFormat="1" ht="35" customHeight="1" spans="1:9">
      <c r="A44" s="28" t="str">
        <f>"Fixed Expense For the Year "&amp;IF(Main!B2,TEXT(EDATE(Main!B3,45),"mmmm yyyy"),TEXT(Main!B3+((Main!B5-Main!B3)*45+45),"mmmm yyyy"))&amp;" to "&amp;IF(Main!B2,TEXT(EDATE(Main!B3,48)-1,"mmmm yyyy"),TEXT(Main!B3+((Main!B5-Main!B3)*48+47),"mmmm yyyy"))</f>
        <v>Fixed Expense For the Year February 2029 to April 2029</v>
      </c>
      <c r="B44" s="29"/>
      <c r="C44" s="30"/>
      <c r="D44" s="15"/>
      <c r="E44" s="15"/>
      <c r="F44" s="15"/>
      <c r="G44" s="15"/>
      <c r="H44" s="15"/>
      <c r="I44" s="45"/>
    </row>
    <row r="45" s="1" customFormat="1" ht="35" customHeight="1" spans="1:9">
      <c r="A45" s="2" t="s">
        <v>43</v>
      </c>
      <c r="B45" s="2" t="s">
        <v>44</v>
      </c>
      <c r="C45" s="2" t="s">
        <v>45</v>
      </c>
      <c r="D45" s="15"/>
      <c r="E45" s="15"/>
      <c r="F45" s="15"/>
      <c r="G45" s="15"/>
      <c r="H45" s="15"/>
      <c r="I45" s="45"/>
    </row>
    <row r="46" s="1" customFormat="1" ht="35" customHeight="1" spans="1:9">
      <c r="A46" s="31" t="s">
        <v>47</v>
      </c>
      <c r="B46" s="32"/>
      <c r="C46" s="33"/>
      <c r="D46" s="15"/>
      <c r="E46" s="15"/>
      <c r="F46" s="15"/>
      <c r="G46" s="15"/>
      <c r="H46" s="15"/>
      <c r="I46" s="45"/>
    </row>
    <row r="47" s="1" customFormat="1" ht="35" customHeight="1" spans="1:9">
      <c r="A47" s="34" t="str" cm="1">
        <f ca="1" t="array" ref="A47">IF((INDIRECT("'"&amp;INDIRECT("Main!B9")&amp;"'!A61"))=0,"",(INDIRECT("'"&amp;INDIRECT("Main!B9")&amp;"'!A61")))</f>
        <v/>
      </c>
      <c r="B47" s="34" t="str" cm="1">
        <f ca="1" t="array" ref="B47">IF((INDIRECT("'"&amp;INDIRECT("Main!B9")&amp;"'!B61"))=0,"",(INDIRECT("'"&amp;INDIRECT("Main!B9")&amp;"'!B61")))</f>
        <v/>
      </c>
      <c r="C47" s="35">
        <v>0</v>
      </c>
      <c r="D47" s="15"/>
      <c r="E47" s="15"/>
      <c r="F47" s="15"/>
      <c r="G47" s="15"/>
      <c r="H47" s="15"/>
      <c r="I47" s="45"/>
    </row>
    <row r="48" s="1" customFormat="1" ht="35" customHeight="1" spans="1:9">
      <c r="A48" s="34" t="str" cm="1">
        <f ca="1" t="array" ref="A48">IF((INDIRECT("'"&amp;INDIRECT("Main!B9")&amp;"'!A62"))=0,"",(INDIRECT("'"&amp;INDIRECT("Main!B9")&amp;"'!A62")))</f>
        <v/>
      </c>
      <c r="B48" s="34" t="str" cm="1">
        <f ca="1" t="array" ref="B48">IF((INDIRECT("'"&amp;INDIRECT("Main!B9")&amp;"'!B62"))=0,"",(INDIRECT("'"&amp;INDIRECT("Main!B9")&amp;"'!B62")))</f>
        <v/>
      </c>
      <c r="C48" s="35">
        <v>0</v>
      </c>
      <c r="D48" s="15"/>
      <c r="E48" s="15"/>
      <c r="F48" s="15"/>
      <c r="G48" s="15"/>
      <c r="H48" s="15"/>
      <c r="I48" s="45"/>
    </row>
    <row r="49" s="1" customFormat="1" ht="35" customHeight="1" spans="1:9">
      <c r="A49" s="34" t="str" cm="1">
        <f ca="1" t="array" ref="A49">IF((INDIRECT("'"&amp;INDIRECT("Main!B9")&amp;"'!A63"))=0,"",(INDIRECT("'"&amp;INDIRECT("Main!B9")&amp;"'!A63")))</f>
        <v/>
      </c>
      <c r="B49" s="34" t="str" cm="1">
        <f ca="1" t="array" ref="B49">IF((INDIRECT("'"&amp;INDIRECT("Main!B9")&amp;"'!B63"))=0,"",(INDIRECT("'"&amp;INDIRECT("Main!B9")&amp;"'!B63")))</f>
        <v/>
      </c>
      <c r="C49" s="35">
        <v>0</v>
      </c>
      <c r="D49" s="15"/>
      <c r="E49" s="15"/>
      <c r="F49" s="15"/>
      <c r="G49" s="15"/>
      <c r="H49" s="15"/>
      <c r="I49" s="45"/>
    </row>
    <row r="50" s="1" customFormat="1" ht="35" customHeight="1" spans="1:9">
      <c r="A50" s="34" t="str" cm="1">
        <f ca="1" t="array" ref="A50">IF((INDIRECT("'"&amp;INDIRECT("Main!B9")&amp;"'!A64"))=0,"",(INDIRECT("'"&amp;INDIRECT("Main!B9")&amp;"'!A64")))</f>
        <v/>
      </c>
      <c r="B50" s="34" t="str" cm="1">
        <f ca="1" t="array" ref="B50">IF((INDIRECT("'"&amp;INDIRECT("Main!B9")&amp;"'!B64"))=0,"",(INDIRECT("'"&amp;INDIRECT("Main!B9")&amp;"'!B64")))</f>
        <v/>
      </c>
      <c r="C50" s="35">
        <v>0</v>
      </c>
      <c r="D50" s="15"/>
      <c r="E50" s="15"/>
      <c r="F50" s="15"/>
      <c r="G50" s="15"/>
      <c r="H50" s="15"/>
      <c r="I50" s="45"/>
    </row>
    <row r="51" s="1" customFormat="1" ht="35" customHeight="1" spans="1:9">
      <c r="A51" s="34" t="str" cm="1">
        <f ca="1" t="array" ref="A51">IF((INDIRECT("'"&amp;INDIRECT("Main!B9")&amp;"'!A65"))=0,"",(INDIRECT("'"&amp;INDIRECT("Main!B9")&amp;"'!A65")))</f>
        <v/>
      </c>
      <c r="B51" s="34" t="str" cm="1">
        <f ca="1" t="array" ref="B51">IF((INDIRECT("'"&amp;INDIRECT("Main!B9")&amp;"'!B65"))=0,"",(INDIRECT("'"&amp;INDIRECT("Main!B9")&amp;"'!B65")))</f>
        <v/>
      </c>
      <c r="C51" s="35">
        <v>0</v>
      </c>
      <c r="D51" s="15"/>
      <c r="E51" s="15"/>
      <c r="F51" s="15"/>
      <c r="G51" s="15"/>
      <c r="H51" s="15"/>
      <c r="I51" s="45"/>
    </row>
    <row r="52" s="1" customFormat="1" ht="35" customHeight="1" spans="1:9">
      <c r="A52" s="34" t="str" cm="1">
        <f ca="1" t="array" ref="A52">IF((INDIRECT("'"&amp;INDIRECT("Main!B9")&amp;"'!A66"))=0,"",(INDIRECT("'"&amp;INDIRECT("Main!B9")&amp;"'!A66")))</f>
        <v/>
      </c>
      <c r="B52" s="34" t="str" cm="1">
        <f ca="1" t="array" ref="B52">IF((INDIRECT("'"&amp;INDIRECT("Main!B9")&amp;"'!B66"))=0,"",(INDIRECT("'"&amp;INDIRECT("Main!B9")&amp;"'!B66")))</f>
        <v/>
      </c>
      <c r="C52" s="35">
        <v>0</v>
      </c>
      <c r="D52" s="15"/>
      <c r="E52" s="15"/>
      <c r="F52" s="15"/>
      <c r="G52" s="15"/>
      <c r="H52" s="15"/>
      <c r="I52" s="45"/>
    </row>
    <row r="53" s="1" customFormat="1" ht="35" customHeight="1" spans="1:9">
      <c r="A53" s="34" t="str" cm="1">
        <f ca="1" t="array" ref="A53">IF((INDIRECT("'"&amp;INDIRECT("Main!B9")&amp;"'!A67"))=0,"",(INDIRECT("'"&amp;INDIRECT("Main!B9")&amp;"'!A67")))</f>
        <v/>
      </c>
      <c r="B53" s="34" t="str" cm="1">
        <f ca="1" t="array" ref="B53">IF((INDIRECT("'"&amp;INDIRECT("Main!B9")&amp;"'!B67"))=0,"",(INDIRECT("'"&amp;INDIRECT("Main!B9")&amp;"'!B67")))</f>
        <v/>
      </c>
      <c r="C53" s="35">
        <v>0</v>
      </c>
      <c r="D53" s="15"/>
      <c r="E53" s="15"/>
      <c r="F53" s="15"/>
      <c r="G53" s="15"/>
      <c r="H53" s="15"/>
      <c r="I53" s="45"/>
    </row>
    <row r="54" s="1" customFormat="1" ht="35" customHeight="1" spans="1:9">
      <c r="A54" s="34" t="str" cm="1">
        <f ca="1" t="array" ref="A54">IF((INDIRECT("'"&amp;INDIRECT("Main!B9")&amp;"'!A68"))=0,"",(INDIRECT("'"&amp;INDIRECT("Main!B9")&amp;"'!A68")))</f>
        <v/>
      </c>
      <c r="B54" s="34" t="str" cm="1">
        <f ca="1" t="array" ref="B54">IF((INDIRECT("'"&amp;INDIRECT("Main!B9")&amp;"'!B68"))=0,"",(INDIRECT("'"&amp;INDIRECT("Main!B9")&amp;"'!B68")))</f>
        <v/>
      </c>
      <c r="C54" s="35">
        <v>0</v>
      </c>
      <c r="D54" s="15"/>
      <c r="E54" s="15"/>
      <c r="F54" s="15"/>
      <c r="G54" s="15"/>
      <c r="H54" s="15"/>
      <c r="I54" s="45"/>
    </row>
    <row r="55" s="1" customFormat="1" ht="35" customHeight="1" spans="1:9">
      <c r="A55" s="36"/>
      <c r="B55" s="37" t="s">
        <v>48</v>
      </c>
      <c r="C55" s="35">
        <f>SUM(C47:C54)</f>
        <v>0</v>
      </c>
      <c r="D55" s="15"/>
      <c r="E55" s="15"/>
      <c r="F55" s="15"/>
      <c r="G55" s="15"/>
      <c r="H55" s="15"/>
      <c r="I55" s="45"/>
    </row>
    <row r="56" s="1" customFormat="1" ht="35" customHeight="1" spans="1:9">
      <c r="A56" s="31" t="s">
        <v>49</v>
      </c>
      <c r="B56" s="32"/>
      <c r="C56" s="33"/>
      <c r="D56" s="15"/>
      <c r="E56" s="15"/>
      <c r="F56" s="15"/>
      <c r="G56" s="15"/>
      <c r="H56" s="15"/>
      <c r="I56" s="45"/>
    </row>
    <row r="57" s="1" customFormat="1" ht="35" customHeight="1" spans="1:9">
      <c r="A57" s="34" t="str" cm="1">
        <f ca="1" t="array" ref="A57">IF((INDIRECT("'"&amp;INDIRECT("Main!B9")&amp;"'!A71"))=0,"",(INDIRECT("'"&amp;INDIRECT("Main!B9")&amp;"'!A71")))</f>
        <v/>
      </c>
      <c r="B57" s="34" t="str" cm="1">
        <f ca="1" t="array" ref="B57">IF((INDIRECT("'"&amp;INDIRECT("Main!B9")&amp;"'!B71"))=0,"",(INDIRECT("'"&amp;INDIRECT("Main!B9")&amp;"'!B71")))</f>
        <v/>
      </c>
      <c r="C57" s="35">
        <v>0</v>
      </c>
      <c r="D57" s="15"/>
      <c r="E57" s="15"/>
      <c r="F57" s="15"/>
      <c r="G57" s="15"/>
      <c r="H57" s="15"/>
      <c r="I57" s="45"/>
    </row>
    <row r="58" s="1" customFormat="1" ht="35" customHeight="1" spans="1:9">
      <c r="A58" s="34" t="str" cm="1">
        <f ca="1" t="array" ref="A58">IF((INDIRECT("'"&amp;INDIRECT("Main!B9")&amp;"'!A72"))=0,"",(INDIRECT("'"&amp;INDIRECT("Main!B9")&amp;"'!A72")))</f>
        <v/>
      </c>
      <c r="B58" s="34" t="str" cm="1">
        <f ca="1" t="array" ref="B58">IF((INDIRECT("'"&amp;INDIRECT("Main!B9")&amp;"'!B72"))=0,"",(INDIRECT("'"&amp;INDIRECT("Main!B9")&amp;"'!B72")))</f>
        <v/>
      </c>
      <c r="C58" s="35">
        <v>0</v>
      </c>
      <c r="D58" s="15"/>
      <c r="E58" s="15"/>
      <c r="F58" s="15"/>
      <c r="G58" s="15"/>
      <c r="H58" s="15"/>
      <c r="I58" s="45"/>
    </row>
    <row r="59" s="1" customFormat="1" ht="35" customHeight="1" spans="1:9">
      <c r="A59" s="34" t="str" cm="1">
        <f ca="1" t="array" ref="A59">IF((INDIRECT("'"&amp;INDIRECT("Main!B9")&amp;"'!A73"))=0,"",(INDIRECT("'"&amp;INDIRECT("Main!B9")&amp;"'!A73")))</f>
        <v/>
      </c>
      <c r="B59" s="34" t="str" cm="1">
        <f ca="1" t="array" ref="B59">IF((INDIRECT("'"&amp;INDIRECT("Main!B9")&amp;"'!B73"))=0,"",(INDIRECT("'"&amp;INDIRECT("Main!B9")&amp;"'!B73")))</f>
        <v/>
      </c>
      <c r="C59" s="35">
        <v>0</v>
      </c>
      <c r="D59" s="15"/>
      <c r="E59" s="15"/>
      <c r="F59" s="15"/>
      <c r="G59" s="15"/>
      <c r="H59" s="15"/>
      <c r="I59" s="45"/>
    </row>
    <row r="60" s="1" customFormat="1" ht="35" customHeight="1" spans="1:9">
      <c r="A60" s="34" t="str" cm="1">
        <f ca="1" t="array" ref="A60">IF((INDIRECT("'"&amp;INDIRECT("Main!B9")&amp;"'!A74"))=0,"",(INDIRECT("'"&amp;INDIRECT("Main!B9")&amp;"'!A74")))</f>
        <v/>
      </c>
      <c r="B60" s="34" t="str" cm="1">
        <f ca="1" t="array" ref="B60">IF((INDIRECT("'"&amp;INDIRECT("Main!B9")&amp;"'!B74"))=0,"",(INDIRECT("'"&amp;INDIRECT("Main!B9")&amp;"'!B74")))</f>
        <v/>
      </c>
      <c r="C60" s="35">
        <v>0</v>
      </c>
      <c r="D60" s="15"/>
      <c r="E60" s="15"/>
      <c r="F60" s="15"/>
      <c r="G60" s="15"/>
      <c r="H60" s="15"/>
      <c r="I60" s="45"/>
    </row>
    <row r="61" s="1" customFormat="1" ht="35" customHeight="1" spans="1:9">
      <c r="A61" s="34" t="str" cm="1">
        <f ca="1" t="array" ref="A61">IF((INDIRECT("'"&amp;INDIRECT("Main!B9")&amp;"'!A75"))=0,"",(INDIRECT("'"&amp;INDIRECT("Main!B9")&amp;"'!A75")))</f>
        <v/>
      </c>
      <c r="B61" s="34" t="str" cm="1">
        <f ca="1" t="array" ref="B61">IF((INDIRECT("'"&amp;INDIRECT("Main!B9")&amp;"'!B75"))=0,"",(INDIRECT("'"&amp;INDIRECT("Main!B9")&amp;"'!B75")))</f>
        <v/>
      </c>
      <c r="C61" s="35">
        <v>0</v>
      </c>
      <c r="D61" s="15"/>
      <c r="E61" s="15"/>
      <c r="F61" s="15"/>
      <c r="G61" s="15"/>
      <c r="H61" s="15"/>
      <c r="I61" s="45"/>
    </row>
    <row r="62" s="1" customFormat="1" ht="35" customHeight="1" spans="1:9">
      <c r="A62" s="34" t="str" cm="1">
        <f ca="1" t="array" ref="A62">IF((INDIRECT("'"&amp;INDIRECT("Main!B9")&amp;"'!A76"))=0,"",(INDIRECT("'"&amp;INDIRECT("Main!B9")&amp;"'!A76")))</f>
        <v/>
      </c>
      <c r="B62" s="34" t="str" cm="1">
        <f ca="1" t="array" ref="B62">IF((INDIRECT("'"&amp;INDIRECT("Main!B9")&amp;"'!B76"))=0,"",(INDIRECT("'"&amp;INDIRECT("Main!B9")&amp;"'!B76")))</f>
        <v/>
      </c>
      <c r="C62" s="35">
        <v>0</v>
      </c>
      <c r="D62" s="15"/>
      <c r="E62" s="15"/>
      <c r="F62" s="15"/>
      <c r="G62" s="15"/>
      <c r="H62" s="15"/>
      <c r="I62" s="45"/>
    </row>
    <row r="63" s="1" customFormat="1" ht="35" customHeight="1" spans="1:9">
      <c r="A63" s="34" t="str" cm="1">
        <f ca="1" t="array" ref="A63">IF((INDIRECT("'"&amp;INDIRECT("Main!B9")&amp;"'!A77"))=0,"",(INDIRECT("'"&amp;INDIRECT("Main!B9")&amp;"'!A77")))</f>
        <v/>
      </c>
      <c r="B63" s="34" t="str" cm="1">
        <f ca="1" t="array" ref="B63">IF((INDIRECT("'"&amp;INDIRECT("Main!B9")&amp;"'!B77"))=0,"",(INDIRECT("'"&amp;INDIRECT("Main!B9")&amp;"'!B77")))</f>
        <v/>
      </c>
      <c r="C63" s="35">
        <v>0</v>
      </c>
      <c r="D63" s="15"/>
      <c r="E63" s="15"/>
      <c r="F63" s="15"/>
      <c r="G63" s="15"/>
      <c r="H63" s="15"/>
      <c r="I63" s="45"/>
    </row>
    <row r="64" s="1" customFormat="1" ht="35" customHeight="1" spans="1:9">
      <c r="A64" s="34" t="str" cm="1">
        <f ca="1" t="array" ref="A64">IF((INDIRECT("'"&amp;INDIRECT("Main!B9")&amp;"'!A78"))=0,"",(INDIRECT("'"&amp;INDIRECT("Main!B9")&amp;"'!A78")))</f>
        <v/>
      </c>
      <c r="B64" s="34" t="str" cm="1">
        <f ca="1" t="array" ref="B64">IF((INDIRECT("'"&amp;INDIRECT("Main!B9")&amp;"'!B78"))=0,"",(INDIRECT("'"&amp;INDIRECT("Main!B9")&amp;"'!B78")))</f>
        <v/>
      </c>
      <c r="C64" s="35">
        <v>0</v>
      </c>
      <c r="D64" s="15"/>
      <c r="E64" s="15"/>
      <c r="F64" s="15"/>
      <c r="G64" s="15"/>
      <c r="H64" s="15"/>
      <c r="I64" s="45"/>
    </row>
    <row r="65" s="1" customFormat="1" ht="35" customHeight="1" spans="1:9">
      <c r="A65" s="34" t="str" cm="1">
        <f ca="1" t="array" ref="A65">IF((INDIRECT("'"&amp;INDIRECT("Main!B9")&amp;"'!A79"))=0,"",(INDIRECT("'"&amp;INDIRECT("Main!B9")&amp;"'!A79")))</f>
        <v/>
      </c>
      <c r="B65" s="34" t="str" cm="1">
        <f ca="1" t="array" ref="B65">IF((INDIRECT("'"&amp;INDIRECT("Main!B9")&amp;"'!B79"))=0,"",(INDIRECT("'"&amp;INDIRECT("Main!B9")&amp;"'!B79")))</f>
        <v/>
      </c>
      <c r="C65" s="35">
        <v>0</v>
      </c>
      <c r="D65" s="15"/>
      <c r="E65" s="15"/>
      <c r="F65" s="15"/>
      <c r="G65" s="15"/>
      <c r="H65" s="15"/>
      <c r="I65" s="45"/>
    </row>
    <row r="66" s="1" customFormat="1" ht="35" customHeight="1" spans="1:9">
      <c r="A66" s="46"/>
      <c r="B66" s="37" t="s">
        <v>48</v>
      </c>
      <c r="C66" s="35">
        <f>SUM(C57:C65)</f>
        <v>0</v>
      </c>
      <c r="D66" s="15"/>
      <c r="E66" s="15"/>
      <c r="F66" s="15"/>
      <c r="G66" s="15"/>
      <c r="H66" s="15"/>
      <c r="I66" s="45"/>
    </row>
    <row r="67" s="1" customFormat="1" ht="35" customHeight="1" spans="1:9">
      <c r="A67" s="31" t="s">
        <v>50</v>
      </c>
      <c r="B67" s="32"/>
      <c r="C67" s="33"/>
      <c r="D67" s="15"/>
      <c r="E67" s="15"/>
      <c r="F67" s="15"/>
      <c r="G67" s="15"/>
      <c r="H67" s="15"/>
      <c r="I67" s="45"/>
    </row>
    <row r="68" s="1" customFormat="1" ht="35" customHeight="1" spans="1:9">
      <c r="A68" s="47" t="str" cm="1">
        <f ca="1" t="array" ref="A68">IF((INDIRECT("'"&amp;INDIRECT("Main!B9")&amp;"'!A82"))=0,"",(INDIRECT("'"&amp;INDIRECT("Main!B9")&amp;"'!A82")))</f>
        <v/>
      </c>
      <c r="B68" s="47" t="str" cm="1">
        <f ca="1" t="array" ref="B68">IF((INDIRECT("'"&amp;INDIRECT("Main!B9")&amp;"'!B82"))=0,"",(INDIRECT("'"&amp;INDIRECT("Main!B9")&amp;"'!B82")))</f>
        <v/>
      </c>
      <c r="C68" s="35">
        <v>0</v>
      </c>
      <c r="D68" s="15"/>
      <c r="E68" s="15"/>
      <c r="F68" s="15"/>
      <c r="G68" s="15"/>
      <c r="H68" s="15"/>
      <c r="I68" s="45"/>
    </row>
    <row r="69" s="1" customFormat="1" ht="35" customHeight="1" spans="1:9">
      <c r="A69" s="47" t="str" cm="1">
        <f ca="1" t="array" ref="A69">IF((INDIRECT("'"&amp;INDIRECT("Main!B9")&amp;"'!A83"))=0,"",(INDIRECT("'"&amp;INDIRECT("Main!B9")&amp;"'!A83")))</f>
        <v/>
      </c>
      <c r="B69" s="47" t="str" cm="1">
        <f ca="1" t="array" ref="B69">IF((INDIRECT("'"&amp;INDIRECT("Main!B9")&amp;"'!B83"))=0,"",(INDIRECT("'"&amp;INDIRECT("Main!B9")&amp;"'!B83")))</f>
        <v/>
      </c>
      <c r="C69" s="35">
        <v>0</v>
      </c>
      <c r="D69" s="15"/>
      <c r="E69" s="15"/>
      <c r="F69" s="15"/>
      <c r="G69" s="15"/>
      <c r="H69" s="15"/>
      <c r="I69" s="45"/>
    </row>
    <row r="70" s="1" customFormat="1" ht="35" customHeight="1" spans="1:9">
      <c r="A70" s="47" t="str" cm="1">
        <f ca="1" t="array" ref="A70">IF((INDIRECT("'"&amp;INDIRECT("Main!B9")&amp;"'!A84"))=0,"",(INDIRECT("'"&amp;INDIRECT("Main!B9")&amp;"'!A84")))</f>
        <v/>
      </c>
      <c r="B70" s="47" t="str" cm="1">
        <f ca="1" t="array" ref="B70">IF((INDIRECT("'"&amp;INDIRECT("Main!B9")&amp;"'!B84"))=0,"",(INDIRECT("'"&amp;INDIRECT("Main!B9")&amp;"'!B84")))</f>
        <v/>
      </c>
      <c r="C70" s="35">
        <v>0</v>
      </c>
      <c r="D70" s="15"/>
      <c r="E70" s="15"/>
      <c r="F70" s="15"/>
      <c r="G70" s="15"/>
      <c r="H70" s="15"/>
      <c r="I70" s="45"/>
    </row>
    <row r="71" s="1" customFormat="1" ht="35" customHeight="1" spans="1:9">
      <c r="A71" s="47" t="str" cm="1">
        <f ca="1" t="array" ref="A71">IF((INDIRECT("'"&amp;INDIRECT("Main!B9")&amp;"'!A85"))=0,"",(INDIRECT("'"&amp;INDIRECT("Main!B9")&amp;"'!A85")))</f>
        <v/>
      </c>
      <c r="B71" s="47" t="str" cm="1">
        <f ca="1" t="array" ref="B71">IF((INDIRECT("'"&amp;INDIRECT("Main!B9")&amp;"'!B85"))=0,"",(INDIRECT("'"&amp;INDIRECT("Main!B9")&amp;"'!B85")))</f>
        <v/>
      </c>
      <c r="C71" s="35">
        <v>0</v>
      </c>
      <c r="D71" s="15"/>
      <c r="E71" s="15"/>
      <c r="F71" s="15"/>
      <c r="G71" s="15"/>
      <c r="H71" s="15"/>
      <c r="I71" s="45"/>
    </row>
    <row r="72" s="1" customFormat="1" ht="35" customHeight="1" spans="1:9">
      <c r="A72" s="47" t="str" cm="1">
        <f ca="1" t="array" ref="A72">IF((INDIRECT("'"&amp;INDIRECT("Main!B9")&amp;"'!A86"))=0,"",(INDIRECT("'"&amp;INDIRECT("Main!B9")&amp;"'!A86")))</f>
        <v/>
      </c>
      <c r="B72" s="47" t="str" cm="1">
        <f ca="1" t="array" ref="B72">IF((INDIRECT("'"&amp;INDIRECT("Main!B9")&amp;"'!B86"))=0,"",(INDIRECT("'"&amp;INDIRECT("Main!B9")&amp;"'!B86")))</f>
        <v/>
      </c>
      <c r="C72" s="35">
        <v>0</v>
      </c>
      <c r="D72" s="15"/>
      <c r="E72" s="15"/>
      <c r="F72" s="15"/>
      <c r="G72" s="15"/>
      <c r="H72" s="15"/>
      <c r="I72" s="45"/>
    </row>
    <row r="73" s="1" customFormat="1" ht="35" customHeight="1" spans="1:9">
      <c r="A73" s="47" t="str" cm="1">
        <f ca="1" t="array" ref="A73">IF((INDIRECT("'"&amp;INDIRECT("Main!B9")&amp;"'!A87"))=0,"",(INDIRECT("'"&amp;INDIRECT("Main!B9")&amp;"'!A87")))</f>
        <v/>
      </c>
      <c r="B73" s="47" t="str" cm="1">
        <f ca="1" t="array" ref="B73">IF((INDIRECT("'"&amp;INDIRECT("Main!B9")&amp;"'!B87"))=0,"",(INDIRECT("'"&amp;INDIRECT("Main!B9")&amp;"'!B87")))</f>
        <v/>
      </c>
      <c r="C73" s="35">
        <v>0</v>
      </c>
      <c r="D73" s="15"/>
      <c r="E73" s="15"/>
      <c r="F73" s="15"/>
      <c r="G73" s="15"/>
      <c r="H73" s="15"/>
      <c r="I73" s="45"/>
    </row>
    <row r="74" s="1" customFormat="1" ht="35" customHeight="1" spans="1:9">
      <c r="A74" s="47" t="str" cm="1">
        <f ca="1" t="array" ref="A74">IF((INDIRECT("'"&amp;INDIRECT("Main!B9")&amp;"'!A88"))=0,"",(INDIRECT("'"&amp;INDIRECT("Main!B9")&amp;"'!A88")))</f>
        <v/>
      </c>
      <c r="B74" s="47" t="str" cm="1">
        <f ca="1" t="array" ref="B74">IF((INDIRECT("'"&amp;INDIRECT("Main!B9")&amp;"'!B88"))=0,"",(INDIRECT("'"&amp;INDIRECT("Main!B9")&amp;"'!B88")))</f>
        <v/>
      </c>
      <c r="C74" s="35">
        <v>0</v>
      </c>
      <c r="D74" s="15"/>
      <c r="E74" s="15"/>
      <c r="F74" s="15"/>
      <c r="G74" s="15"/>
      <c r="H74" s="15"/>
      <c r="I74" s="45"/>
    </row>
    <row r="75" s="1" customFormat="1" ht="35" customHeight="1" spans="1:9">
      <c r="A75" s="46"/>
      <c r="B75" s="37" t="s">
        <v>48</v>
      </c>
      <c r="C75" s="35">
        <f>SUM(C68:C74)</f>
        <v>0</v>
      </c>
      <c r="D75" s="15"/>
      <c r="E75" s="15"/>
      <c r="F75" s="15"/>
      <c r="G75" s="15"/>
      <c r="H75" s="15"/>
      <c r="I75" s="45"/>
    </row>
    <row r="76" s="1" customFormat="1" ht="35" customHeight="1" spans="1:9">
      <c r="A76" s="31" t="s">
        <v>51</v>
      </c>
      <c r="B76" s="32"/>
      <c r="C76" s="33"/>
      <c r="D76" s="15"/>
      <c r="E76" s="15"/>
      <c r="F76" s="15"/>
      <c r="G76" s="15"/>
      <c r="H76" s="15"/>
      <c r="I76" s="45"/>
    </row>
    <row r="77" s="1" customFormat="1" ht="35" customHeight="1" spans="1:9">
      <c r="A77" s="34" t="str" cm="1">
        <f ca="1" t="array" ref="A77">IF((INDIRECT("'"&amp;INDIRECT("Main!B9")&amp;"'!A91"))=0,"",(INDIRECT("'"&amp;INDIRECT("Main!B9")&amp;"'!A91")))</f>
        <v/>
      </c>
      <c r="B77" s="34" t="str" cm="1">
        <f ca="1" t="array" ref="B77">IF((INDIRECT("'"&amp;INDIRECT("Main!B9")&amp;"'!B91"))=0,"",(INDIRECT("'"&amp;INDIRECT("Main!B9")&amp;"'!B91")))</f>
        <v/>
      </c>
      <c r="C77" s="35">
        <v>0</v>
      </c>
      <c r="D77" s="15"/>
      <c r="E77" s="15"/>
      <c r="F77" s="15"/>
      <c r="G77" s="15"/>
      <c r="H77" s="15"/>
      <c r="I77" s="45"/>
    </row>
    <row r="78" s="1" customFormat="1" ht="35" customHeight="1" spans="1:9">
      <c r="A78" s="34" t="str" cm="1">
        <f ca="1" t="array" ref="A78">IF((INDIRECT("'"&amp;INDIRECT("Main!B9")&amp;"'!A92"))=0,"",(INDIRECT("'"&amp;INDIRECT("Main!B9")&amp;"'!A92")))</f>
        <v/>
      </c>
      <c r="B78" s="34" t="str" cm="1">
        <f ca="1" t="array" ref="B78">IF((INDIRECT("'"&amp;INDIRECT("Main!B9")&amp;"'!B92"))=0,"",(INDIRECT("'"&amp;INDIRECT("Main!B9")&amp;"'!B92")))</f>
        <v/>
      </c>
      <c r="C78" s="35">
        <v>0</v>
      </c>
      <c r="D78" s="15"/>
      <c r="E78" s="15"/>
      <c r="F78" s="15"/>
      <c r="G78" s="15"/>
      <c r="H78" s="15"/>
      <c r="I78" s="45"/>
    </row>
    <row r="79" s="1" customFormat="1" ht="35" customHeight="1" spans="1:9">
      <c r="A79" s="34" t="str" cm="1">
        <f ca="1" t="array" ref="A79">IF((INDIRECT("'"&amp;INDIRECT("Main!B9")&amp;"'!A93"))=0,"",(INDIRECT("'"&amp;INDIRECT("Main!B9")&amp;"'!A93")))</f>
        <v/>
      </c>
      <c r="B79" s="34" t="str" cm="1">
        <f ca="1" t="array" ref="B79">IF((INDIRECT("'"&amp;INDIRECT("Main!B9")&amp;"'!B93"))=0,"",(INDIRECT("'"&amp;INDIRECT("Main!B9")&amp;"'!B93")))</f>
        <v/>
      </c>
      <c r="C79" s="35">
        <v>0</v>
      </c>
      <c r="D79" s="15"/>
      <c r="E79" s="15"/>
      <c r="F79" s="15"/>
      <c r="G79" s="15"/>
      <c r="H79" s="15"/>
      <c r="I79" s="45"/>
    </row>
    <row r="80" s="1" customFormat="1" ht="35" customHeight="1" spans="1:9">
      <c r="A80" s="34" t="str" cm="1">
        <f ca="1" t="array" ref="A80">IF((INDIRECT("'"&amp;INDIRECT("Main!B9")&amp;"'!A94"))=0,"",(INDIRECT("'"&amp;INDIRECT("Main!B9")&amp;"'!A94")))</f>
        <v/>
      </c>
      <c r="B80" s="34" t="str" cm="1">
        <f ca="1" t="array" ref="B80">IF((INDIRECT("'"&amp;INDIRECT("Main!B9")&amp;"'!B94"))=0,"",(INDIRECT("'"&amp;INDIRECT("Main!B9")&amp;"'!B94")))</f>
        <v/>
      </c>
      <c r="C80" s="35">
        <v>0</v>
      </c>
      <c r="D80" s="15"/>
      <c r="E80" s="15"/>
      <c r="F80" s="15"/>
      <c r="G80" s="15"/>
      <c r="H80" s="15"/>
      <c r="I80" s="45"/>
    </row>
    <row r="81" s="1" customFormat="1" ht="35" customHeight="1" spans="1:9">
      <c r="A81" s="34" t="str" cm="1">
        <f ca="1" t="array" ref="A81">IF((INDIRECT("'"&amp;INDIRECT("Main!B9")&amp;"'!A95"))=0,"",(INDIRECT("'"&amp;INDIRECT("Main!B9")&amp;"'!A95")))</f>
        <v/>
      </c>
      <c r="B81" s="34" t="str" cm="1">
        <f ca="1" t="array" ref="B81">IF((INDIRECT("'"&amp;INDIRECT("Main!B9")&amp;"'!B95"))=0,"",(INDIRECT("'"&amp;INDIRECT("Main!B9")&amp;"'!B95")))</f>
        <v/>
      </c>
      <c r="C81" s="35">
        <v>0</v>
      </c>
      <c r="D81" s="15"/>
      <c r="E81" s="15"/>
      <c r="F81" s="15"/>
      <c r="G81" s="15"/>
      <c r="H81" s="15"/>
      <c r="I81" s="45"/>
    </row>
    <row r="82" s="1" customFormat="1" ht="35" customHeight="1" spans="1:9">
      <c r="A82" s="34" t="str" cm="1">
        <f ca="1" t="array" ref="A82">IF((INDIRECT("'"&amp;INDIRECT("Main!B9")&amp;"'!A96"))=0,"",(INDIRECT("'"&amp;INDIRECT("Main!B9")&amp;"'!A96")))</f>
        <v/>
      </c>
      <c r="B82" s="34" t="str" cm="1">
        <f ca="1" t="array" ref="B82">IF((INDIRECT("'"&amp;INDIRECT("Main!B9")&amp;"'!B96"))=0,"",(INDIRECT("'"&amp;INDIRECT("Main!B9")&amp;"'!B96")))</f>
        <v/>
      </c>
      <c r="C82" s="35">
        <v>0</v>
      </c>
      <c r="D82" s="15"/>
      <c r="E82" s="15"/>
      <c r="F82" s="15"/>
      <c r="G82" s="15"/>
      <c r="H82" s="15"/>
      <c r="I82" s="45"/>
    </row>
    <row r="83" s="1" customFormat="1" ht="35" customHeight="1" spans="1:9">
      <c r="A83" s="34" t="str" cm="1">
        <f ca="1" t="array" ref="A83">IF((INDIRECT("'"&amp;INDIRECT("Main!B9")&amp;"'!A97"))=0,"",(INDIRECT("'"&amp;INDIRECT("Main!B9")&amp;"'!A97")))</f>
        <v/>
      </c>
      <c r="B83" s="34" t="str" cm="1">
        <f ca="1" t="array" ref="B83">IF((INDIRECT("'"&amp;INDIRECT("Main!B9")&amp;"'!B97"))=0,"",(INDIRECT("'"&amp;INDIRECT("Main!B9")&amp;"'!B97")))</f>
        <v/>
      </c>
      <c r="C83" s="35">
        <v>0</v>
      </c>
      <c r="D83" s="15"/>
      <c r="E83" s="15"/>
      <c r="F83" s="15"/>
      <c r="G83" s="15"/>
      <c r="H83" s="15"/>
      <c r="I83" s="45"/>
    </row>
    <row r="84" s="1" customFormat="1" ht="35" customHeight="1" spans="1:9">
      <c r="A84" s="34" t="str" cm="1">
        <f ca="1" t="array" ref="A84">IF((INDIRECT("'"&amp;INDIRECT("Main!B9")&amp;"'!A98"))=0,"",(INDIRECT("'"&amp;INDIRECT("Main!B9")&amp;"'!A98")))</f>
        <v/>
      </c>
      <c r="B84" s="34" t="str" cm="1">
        <f ca="1" t="array" ref="B84">IF((INDIRECT("'"&amp;INDIRECT("Main!B9")&amp;"'!B98"))=0,"",(INDIRECT("'"&amp;INDIRECT("Main!B9")&amp;"'!B98")))</f>
        <v/>
      </c>
      <c r="C84" s="35">
        <v>0</v>
      </c>
      <c r="D84" s="15"/>
      <c r="E84" s="15"/>
      <c r="F84" s="15"/>
      <c r="G84" s="15"/>
      <c r="H84" s="15"/>
      <c r="I84" s="45"/>
    </row>
    <row r="85" s="1" customFormat="1" ht="35" customHeight="1" spans="1:9">
      <c r="A85" s="46"/>
      <c r="B85" s="37" t="s">
        <v>48</v>
      </c>
      <c r="C85" s="35">
        <f>SUM(C77:C84)</f>
        <v>0</v>
      </c>
      <c r="D85" s="15"/>
      <c r="E85" s="15"/>
      <c r="F85" s="15"/>
      <c r="G85" s="15"/>
      <c r="H85" s="15"/>
      <c r="I85" s="45"/>
    </row>
    <row r="86" s="1" customFormat="1" ht="35" customHeight="1" spans="1:9">
      <c r="A86" s="31" t="s">
        <v>52</v>
      </c>
      <c r="B86" s="32"/>
      <c r="C86" s="33"/>
      <c r="D86" s="15"/>
      <c r="E86" s="15"/>
      <c r="F86" s="15"/>
      <c r="G86" s="15"/>
      <c r="H86" s="15"/>
      <c r="I86" s="45"/>
    </row>
    <row r="87" s="1" customFormat="1" ht="35" customHeight="1" spans="1:9">
      <c r="A87" s="34" t="str" cm="1">
        <f ca="1" t="array" ref="A87">IF((INDIRECT("'"&amp;INDIRECT("Main!B9")&amp;"'!A101"))=0,"",(INDIRECT("'"&amp;INDIRECT("Main!B9")&amp;"'!A101")))</f>
        <v/>
      </c>
      <c r="B87" s="34" t="str" cm="1">
        <f ca="1" t="array" ref="B87">IF((INDIRECT("'"&amp;INDIRECT("Main!B9")&amp;"'!B101"))=0,"",(INDIRECT("'"&amp;INDIRECT("Main!B9")&amp;"'!B101")))</f>
        <v/>
      </c>
      <c r="C87" s="35">
        <v>0</v>
      </c>
      <c r="D87" s="15"/>
      <c r="E87" s="15"/>
      <c r="F87" s="15"/>
      <c r="G87" s="15"/>
      <c r="H87" s="15"/>
      <c r="I87" s="45"/>
    </row>
    <row r="88" s="1" customFormat="1" ht="35" customHeight="1" spans="1:9">
      <c r="A88" s="34" t="str" cm="1">
        <f ca="1" t="array" ref="A88">IF((INDIRECT("'"&amp;INDIRECT("Main!B9")&amp;"'!A102"))=0,"",(INDIRECT("'"&amp;INDIRECT("Main!B9")&amp;"'!A102")))</f>
        <v/>
      </c>
      <c r="B88" s="34" t="str" cm="1">
        <f ca="1" t="array" ref="B88">IF((INDIRECT("'"&amp;INDIRECT("Main!B9")&amp;"'!B102"))=0,"",(INDIRECT("'"&amp;INDIRECT("Main!B9")&amp;"'!B102")))</f>
        <v/>
      </c>
      <c r="C88" s="35">
        <v>0</v>
      </c>
      <c r="D88" s="15"/>
      <c r="E88" s="15"/>
      <c r="F88" s="15"/>
      <c r="G88" s="15"/>
      <c r="H88" s="15"/>
      <c r="I88" s="45"/>
    </row>
    <row r="89" s="1" customFormat="1" ht="35" customHeight="1" spans="1:9">
      <c r="A89" s="34" t="str" cm="1">
        <f ca="1" t="array" ref="A89">IF((INDIRECT("'"&amp;INDIRECT("Main!B9")&amp;"'!A103"))=0,"",(INDIRECT("'"&amp;INDIRECT("Main!B9")&amp;"'!A103")))</f>
        <v/>
      </c>
      <c r="B89" s="34" t="str" cm="1">
        <f ca="1" t="array" ref="B89">IF((INDIRECT("'"&amp;INDIRECT("Main!B9")&amp;"'!B103"))=0,"",(INDIRECT("'"&amp;INDIRECT("Main!B9")&amp;"'!B103")))</f>
        <v/>
      </c>
      <c r="C89" s="35">
        <v>0</v>
      </c>
      <c r="D89" s="15"/>
      <c r="E89" s="15"/>
      <c r="F89" s="15"/>
      <c r="G89" s="15"/>
      <c r="H89" s="15"/>
      <c r="I89" s="45"/>
    </row>
    <row r="90" s="1" customFormat="1" ht="35" customHeight="1" spans="1:9">
      <c r="A90" s="34" t="str" cm="1">
        <f ca="1" t="array" ref="A90">IF((INDIRECT("'"&amp;INDIRECT("Main!B9")&amp;"'!A104"))=0,"",(INDIRECT("'"&amp;INDIRECT("Main!B9")&amp;"'!A104")))</f>
        <v/>
      </c>
      <c r="B90" s="34" t="str" cm="1">
        <f ca="1" t="array" ref="B90">IF((INDIRECT("'"&amp;INDIRECT("Main!B9")&amp;"'!B104"))=0,"",(INDIRECT("'"&amp;INDIRECT("Main!B9")&amp;"'!B104")))</f>
        <v/>
      </c>
      <c r="C90" s="35">
        <v>0</v>
      </c>
      <c r="D90" s="15"/>
      <c r="E90" s="62"/>
      <c r="F90" s="15"/>
      <c r="G90" s="15"/>
      <c r="H90" s="15"/>
      <c r="I90" s="45"/>
    </row>
    <row r="91" s="1" customFormat="1" ht="35" customHeight="1" spans="1:9">
      <c r="A91" s="34" t="str" cm="1">
        <f ca="1" t="array" ref="A91">IF((INDIRECT("'"&amp;INDIRECT("Main!B9")&amp;"'!A105"))=0,"",(INDIRECT("'"&amp;INDIRECT("Main!B9")&amp;"'!A105")))</f>
        <v/>
      </c>
      <c r="B91" s="34" t="str" cm="1">
        <f ca="1" t="array" ref="B91">IF((INDIRECT("'"&amp;INDIRECT("Main!B9")&amp;"'!B105"))=0,"",(INDIRECT("'"&amp;INDIRECT("Main!B9")&amp;"'!B105")))</f>
        <v/>
      </c>
      <c r="C91" s="35">
        <v>0</v>
      </c>
      <c r="D91" s="15"/>
      <c r="E91" s="15"/>
      <c r="F91" s="15"/>
      <c r="G91" s="15"/>
      <c r="H91" s="15"/>
      <c r="I91" s="45"/>
    </row>
    <row r="92" s="1" customFormat="1" ht="35" customHeight="1" spans="1:9">
      <c r="A92" s="34" t="str" cm="1">
        <f ca="1" t="array" ref="A92">IF((INDIRECT("'"&amp;INDIRECT("Main!B9")&amp;"'!A106"))=0,"",(INDIRECT("'"&amp;INDIRECT("Main!B9")&amp;"'!A106")))</f>
        <v/>
      </c>
      <c r="B92" s="34" t="str" cm="1">
        <f ca="1" t="array" ref="B92">IF((INDIRECT("'"&amp;INDIRECT("Main!B9")&amp;"'!B106"))=0,"",(INDIRECT("'"&amp;INDIRECT("Main!B9")&amp;"'!B106")))</f>
        <v/>
      </c>
      <c r="C92" s="35">
        <v>0</v>
      </c>
      <c r="D92" s="15"/>
      <c r="E92" s="15"/>
      <c r="F92" s="15"/>
      <c r="G92" s="15"/>
      <c r="H92" s="15"/>
      <c r="I92" s="45"/>
    </row>
    <row r="93" s="1" customFormat="1" ht="35" customHeight="1" spans="1:9">
      <c r="A93" s="34" t="str" cm="1">
        <f ca="1" t="array" ref="A93">IF((INDIRECT("'"&amp;INDIRECT("Main!B9")&amp;"'!A107"))=0,"",(INDIRECT("'"&amp;INDIRECT("Main!B9")&amp;"'!A107")))</f>
        <v/>
      </c>
      <c r="B93" s="34" t="str" cm="1">
        <f ca="1" t="array" ref="B93">IF((INDIRECT("'"&amp;INDIRECT("Main!B9")&amp;"'!B107"))=0,"",(INDIRECT("'"&amp;INDIRECT("Main!B9")&amp;"'!B107")))</f>
        <v/>
      </c>
      <c r="C93" s="35">
        <v>0</v>
      </c>
      <c r="D93" s="15"/>
      <c r="E93" s="15"/>
      <c r="F93" s="15"/>
      <c r="G93" s="15"/>
      <c r="H93" s="15"/>
      <c r="I93" s="45"/>
    </row>
    <row r="94" s="1" customFormat="1" ht="35" customHeight="1" spans="1:9">
      <c r="A94" s="34" t="str" cm="1">
        <f ca="1" t="array" ref="A94">IF((INDIRECT("'"&amp;INDIRECT("Main!B9")&amp;"'!A108"))=0,"",(INDIRECT("'"&amp;INDIRECT("Main!B9")&amp;"'!A108")))</f>
        <v/>
      </c>
      <c r="B94" s="34" t="str" cm="1">
        <f ca="1" t="array" ref="B94">IF((INDIRECT("'"&amp;INDIRECT("Main!B9")&amp;"'!B108"))=0,"",(INDIRECT("'"&amp;INDIRECT("Main!B9")&amp;"'!B108")))</f>
        <v/>
      </c>
      <c r="C94" s="35">
        <v>0</v>
      </c>
      <c r="D94" s="15"/>
      <c r="E94" s="15"/>
      <c r="F94" s="15"/>
      <c r="G94" s="15"/>
      <c r="H94" s="15"/>
      <c r="I94" s="45"/>
    </row>
    <row r="95" s="1" customFormat="1" ht="35" customHeight="1" spans="1:9">
      <c r="A95" s="47"/>
      <c r="B95" s="37" t="s">
        <v>48</v>
      </c>
      <c r="C95" s="35">
        <f>SUM(C87:C94)</f>
        <v>0</v>
      </c>
      <c r="D95" s="15"/>
      <c r="E95" s="15"/>
      <c r="F95" s="15"/>
      <c r="G95" s="15"/>
      <c r="H95" s="15"/>
      <c r="I95" s="45"/>
    </row>
    <row r="96" s="1" customFormat="1" ht="35" customHeight="1" spans="1:9">
      <c r="A96" s="46"/>
      <c r="B96" s="37" t="s">
        <v>53</v>
      </c>
      <c r="C96" s="35">
        <f>C55+C66+C75+C85+C95</f>
        <v>0</v>
      </c>
      <c r="D96" s="15"/>
      <c r="E96" s="15"/>
      <c r="F96" s="15"/>
      <c r="G96" s="15"/>
      <c r="H96" s="15"/>
      <c r="I96" s="45"/>
    </row>
    <row r="97" s="1" customFormat="1" ht="35" customHeight="1" spans="1:9">
      <c r="A97" s="31" t="s">
        <v>54</v>
      </c>
      <c r="B97" s="32"/>
      <c r="C97" s="33"/>
      <c r="D97" s="15"/>
      <c r="E97" s="15"/>
      <c r="F97" s="15"/>
      <c r="G97" s="15"/>
      <c r="H97" s="15"/>
      <c r="I97" s="45"/>
    </row>
    <row r="98" s="1" customFormat="1" ht="35" customHeight="1" spans="1:9">
      <c r="A98" s="34" t="str" cm="1">
        <f ca="1" t="array" ref="A98">IF((INDIRECT("'"&amp;INDIRECT("Main!B9")&amp;"'!A112"))=0,"",(INDIRECT("'"&amp;INDIRECT("Main!B9")&amp;"'!A112")))</f>
        <v/>
      </c>
      <c r="B98" s="34" t="str" cm="1">
        <f ca="1" t="array" ref="B98">IF((INDIRECT("'"&amp;INDIRECT("Main!B9")&amp;"'!B112"))=0,"",(INDIRECT("'"&amp;INDIRECT("Main!B9")&amp;"'!B112")))</f>
        <v/>
      </c>
      <c r="C98" s="35" cm="1">
        <f ca="1" t="array" ref="C98">INDIRECT("'"&amp;INDIRECT("Main!B51")&amp;"'!C98")+SUM(E118+E145+E172)</f>
        <v>0</v>
      </c>
      <c r="D98" s="15"/>
      <c r="E98" s="63"/>
      <c r="F98" s="15"/>
      <c r="G98" s="15"/>
      <c r="H98" s="15"/>
      <c r="I98" s="45"/>
    </row>
    <row r="99" s="1" customFormat="1" ht="35" customHeight="1" spans="1:9">
      <c r="A99" s="34" t="str" cm="1">
        <f ca="1" t="array" ref="A99">IF((INDIRECT("'"&amp;INDIRECT("Main!B9")&amp;"'!A113"))=0,"",(INDIRECT("'"&amp;INDIRECT("Main!B9")&amp;"'!A113")))</f>
        <v/>
      </c>
      <c r="B99" s="34" t="str" cm="1">
        <f ca="1" t="array" ref="B99">IF((INDIRECT("'"&amp;INDIRECT("Main!B9")&amp;"'!B113"))=0,"",(INDIRECT("'"&amp;INDIRECT("Main!B9")&amp;"'!B113")))</f>
        <v/>
      </c>
      <c r="C99" s="35" cm="1">
        <f ca="1" t="array" ref="C99">INDIRECT("'"&amp;INDIRECT("Main!B51")&amp;"'!C99")+SUM(E119+E146+E173)</f>
        <v>0</v>
      </c>
      <c r="D99" s="15"/>
      <c r="E99" s="15"/>
      <c r="F99" s="15"/>
      <c r="G99" s="15"/>
      <c r="H99" s="15"/>
      <c r="I99" s="45"/>
    </row>
    <row r="100" s="1" customFormat="1" ht="35" customHeight="1" spans="1:9">
      <c r="A100" s="34" t="str" cm="1">
        <f ca="1" t="array" ref="A100">IF((INDIRECT("'"&amp;INDIRECT("Main!B9")&amp;"'!A114"))=0,"",(INDIRECT("'"&amp;INDIRECT("Main!B9")&amp;"'!A114")))</f>
        <v/>
      </c>
      <c r="B100" s="34" t="str" cm="1">
        <f ca="1" t="array" ref="B100">IF((INDIRECT("'"&amp;INDIRECT("Main!B9")&amp;"'!B114"))=0,"",(INDIRECT("'"&amp;INDIRECT("Main!B9")&amp;"'!B114")))</f>
        <v/>
      </c>
      <c r="C100" s="35" cm="1">
        <f ca="1" t="array" ref="C100">INDIRECT("'"&amp;INDIRECT("Main!B51")&amp;"'!C100")+SUM(E120+E147+E174)</f>
        <v>0</v>
      </c>
      <c r="D100" s="15"/>
      <c r="E100" s="15"/>
      <c r="F100" s="15"/>
      <c r="G100" s="15"/>
      <c r="H100" s="15"/>
      <c r="I100" s="45"/>
    </row>
    <row r="101" s="1" customFormat="1" ht="35" customHeight="1" spans="1:9">
      <c r="A101" s="34" t="str" cm="1">
        <f ca="1" t="array" ref="A101">IF((INDIRECT("'"&amp;INDIRECT("Main!B9")&amp;"'!A115"))=0,"",(INDIRECT("'"&amp;INDIRECT("Main!B9")&amp;"'!A115")))</f>
        <v/>
      </c>
      <c r="B101" s="34" t="str" cm="1">
        <f ca="1" t="array" ref="B101">IF((INDIRECT("'"&amp;INDIRECT("Main!B9")&amp;"'!B115"))=0,"",(INDIRECT("'"&amp;INDIRECT("Main!B9")&amp;"'!B115")))</f>
        <v/>
      </c>
      <c r="C101" s="35" cm="1">
        <f ca="1" t="array" ref="C101">INDIRECT("'"&amp;INDIRECT("Main!B51")&amp;"'!C101")+SUM(E121+E148+E175)</f>
        <v>0</v>
      </c>
      <c r="D101" s="15"/>
      <c r="E101" s="15"/>
      <c r="F101" s="15"/>
      <c r="G101" s="15"/>
      <c r="H101" s="15"/>
      <c r="I101" s="45"/>
    </row>
    <row r="102" s="1" customFormat="1" ht="35" customHeight="1" spans="1:9">
      <c r="A102" s="34" t="str" cm="1">
        <f ca="1" t="array" ref="A102">IF((INDIRECT("'"&amp;INDIRECT("Main!B9")&amp;"'!A116"))=0,"",(INDIRECT("'"&amp;INDIRECT("Main!B9")&amp;"'!A116")))</f>
        <v/>
      </c>
      <c r="B102" s="34" t="str" cm="1">
        <f ca="1" t="array" ref="B102">IF((INDIRECT("'"&amp;INDIRECT("Main!B9")&amp;"'!B116"))=0,"",(INDIRECT("'"&amp;INDIRECT("Main!B9")&amp;"'!B116")))</f>
        <v/>
      </c>
      <c r="C102" s="35" cm="1">
        <f ca="1" t="array" ref="C102">INDIRECT("'"&amp;INDIRECT("Main!B51")&amp;"'!C102")+SUM(E122+E149+E176)</f>
        <v>0</v>
      </c>
      <c r="D102" s="15"/>
      <c r="E102" s="15"/>
      <c r="F102" s="15"/>
      <c r="G102" s="15"/>
      <c r="H102" s="15"/>
      <c r="I102" s="45"/>
    </row>
    <row r="103" s="1" customFormat="1" ht="35" customHeight="1" spans="1:9">
      <c r="A103" s="34" t="str" cm="1">
        <f ca="1" t="array" ref="A103">IF((INDIRECT("'"&amp;INDIRECT("Main!B9")&amp;"'!A117"))=0,"",(INDIRECT("'"&amp;INDIRECT("Main!B9")&amp;"'!A117")))</f>
        <v/>
      </c>
      <c r="B103" s="34" t="str" cm="1">
        <f ca="1" t="array" ref="B103">IF((INDIRECT("'"&amp;INDIRECT("Main!B9")&amp;"'!B117"))=0,"",(INDIRECT("'"&amp;INDIRECT("Main!B9")&amp;"'!B117")))</f>
        <v/>
      </c>
      <c r="C103" s="35" cm="1">
        <f ca="1" t="array" ref="C103">INDIRECT("'"&amp;INDIRECT("Main!B51")&amp;"'!C103")+SUM(E123+E150+E177)</f>
        <v>0</v>
      </c>
      <c r="D103" s="15"/>
      <c r="E103" s="15"/>
      <c r="F103" s="15"/>
      <c r="G103" s="15"/>
      <c r="H103" s="15"/>
      <c r="I103" s="45"/>
    </row>
    <row r="104" s="1" customFormat="1" ht="35" customHeight="1" spans="1:9">
      <c r="A104" s="34" t="str" cm="1">
        <f ca="1" t="array" ref="A104">IF((INDIRECT("'"&amp;INDIRECT("Main!B9")&amp;"'!A118"))=0,"",(INDIRECT("'"&amp;INDIRECT("Main!B9")&amp;"'!A118")))</f>
        <v/>
      </c>
      <c r="B104" s="34" t="str" cm="1">
        <f ca="1" t="array" ref="B104">IF((INDIRECT("'"&amp;INDIRECT("Main!B9")&amp;"'!B118"))=0,"",(INDIRECT("'"&amp;INDIRECT("Main!B9")&amp;"'!B118")))</f>
        <v/>
      </c>
      <c r="C104" s="35" cm="1">
        <f ca="1" t="array" ref="C104">INDIRECT("'"&amp;INDIRECT("Main!B51")&amp;"'!C104")+SUM(E124+E151+E178)</f>
        <v>0</v>
      </c>
      <c r="D104" s="15"/>
      <c r="E104" s="15"/>
      <c r="F104" s="15"/>
      <c r="G104" s="15"/>
      <c r="H104" s="15"/>
      <c r="I104" s="45"/>
    </row>
    <row r="105" s="1" customFormat="1" ht="35" customHeight="1" spans="1:9">
      <c r="A105" s="34" t="str" cm="1">
        <f ca="1" t="array" ref="A105">IF((INDIRECT("'"&amp;INDIRECT("Main!B9")&amp;"'!A119"))=0,"",(INDIRECT("'"&amp;INDIRECT("Main!B9")&amp;"'!A119")))</f>
        <v/>
      </c>
      <c r="B105" s="34" t="str" cm="1">
        <f ca="1" t="array" ref="B105">IF((INDIRECT("'"&amp;INDIRECT("Main!B9")&amp;"'!B119"))=0,"",(INDIRECT("'"&amp;INDIRECT("Main!B9")&amp;"'!B119")))</f>
        <v/>
      </c>
      <c r="C105" s="35" cm="1">
        <f ca="1" t="array" ref="C105">INDIRECT("'"&amp;INDIRECT("Main!B51")&amp;"'!C105")+SUM(E125+E152+E179)</f>
        <v>0</v>
      </c>
      <c r="D105" s="15"/>
      <c r="E105" s="15"/>
      <c r="F105" s="15"/>
      <c r="G105" s="15"/>
      <c r="H105" s="15"/>
      <c r="I105" s="45"/>
    </row>
    <row r="106" s="1" customFormat="1" ht="35" customHeight="1" spans="1:9">
      <c r="A106" s="34" t="str" cm="1">
        <f ca="1" t="array" ref="A106">IF((INDIRECT("'"&amp;INDIRECT("Main!B9")&amp;"'!A120"))=0,"",(INDIRECT("'"&amp;INDIRECT("Main!B9")&amp;"'!A120")))</f>
        <v/>
      </c>
      <c r="B106" s="34" t="str" cm="1">
        <f ca="1" t="array" ref="B106">IF((INDIRECT("'"&amp;INDIRECT("Main!B9")&amp;"'!B120"))=0,"",(INDIRECT("'"&amp;INDIRECT("Main!B9")&amp;"'!B120")))</f>
        <v/>
      </c>
      <c r="C106" s="35" cm="1">
        <f ca="1" t="array" ref="C106">INDIRECT("'"&amp;INDIRECT("Main!B51")&amp;"'!C106")+SUM(E126+E153+E180)</f>
        <v>0</v>
      </c>
      <c r="D106" s="15"/>
      <c r="E106" s="15"/>
      <c r="F106" s="15"/>
      <c r="G106" s="15"/>
      <c r="H106" s="15"/>
      <c r="I106" s="45"/>
    </row>
    <row r="107" s="1" customFormat="1" ht="35" customHeight="1" spans="1:9">
      <c r="A107" s="34" t="str" cm="1">
        <f ca="1" t="array" ref="A107">IF((INDIRECT("'"&amp;INDIRECT("Main!B9")&amp;"'!A121"))=0,"",(INDIRECT("'"&amp;INDIRECT("Main!B9")&amp;"'!A121")))</f>
        <v/>
      </c>
      <c r="B107" s="34" t="str" cm="1">
        <f ca="1" t="array" ref="B107">IF((INDIRECT("'"&amp;INDIRECT("Main!B9")&amp;"'!B121"))=0,"",(INDIRECT("'"&amp;INDIRECT("Main!B9")&amp;"'!B121")))</f>
        <v/>
      </c>
      <c r="C107" s="35" cm="1">
        <f ca="1" t="array" ref="C107">INDIRECT("'"&amp;INDIRECT("Main!B51")&amp;"'!C107")+SUM(E127+E154+E181)</f>
        <v>0</v>
      </c>
      <c r="D107" s="15"/>
      <c r="E107" s="15"/>
      <c r="F107" s="15"/>
      <c r="G107" s="15"/>
      <c r="H107" s="15"/>
      <c r="I107" s="45"/>
    </row>
    <row r="108" s="1" customFormat="1" ht="35" customHeight="1" spans="1:9">
      <c r="A108" s="46"/>
      <c r="B108" s="37" t="s">
        <v>55</v>
      </c>
      <c r="C108" s="35">
        <f ca="1">SUM(C98:C107)</f>
        <v>0</v>
      </c>
      <c r="D108" s="15"/>
      <c r="E108" s="15"/>
      <c r="F108" s="15"/>
      <c r="G108" s="15"/>
      <c r="H108" s="15"/>
      <c r="I108" s="45"/>
    </row>
    <row r="109" s="1" customFormat="1" ht="35" customHeight="1" spans="1:9">
      <c r="A109" s="46"/>
      <c r="B109" s="37" t="s">
        <v>56</v>
      </c>
      <c r="C109" s="35">
        <f ca="1">C108-C96</f>
        <v>0</v>
      </c>
      <c r="D109" s="15"/>
      <c r="E109" s="15"/>
      <c r="F109" s="15"/>
      <c r="G109" s="15"/>
      <c r="H109" s="15"/>
      <c r="I109" s="45"/>
    </row>
    <row r="110" s="1" customFormat="1" ht="35" customHeight="1" spans="1:9">
      <c r="A110" s="15"/>
      <c r="B110" s="15"/>
      <c r="C110" s="15"/>
      <c r="D110" s="15"/>
      <c r="E110" s="15"/>
      <c r="F110" s="15"/>
      <c r="G110" s="15"/>
      <c r="H110" s="15"/>
      <c r="I110" s="45"/>
    </row>
    <row r="111" s="1" customFormat="1" ht="35" customHeight="1" spans="1:9">
      <c r="A111" s="15"/>
      <c r="B111" s="15"/>
      <c r="C111" s="15"/>
      <c r="D111" s="15"/>
      <c r="E111" s="15"/>
      <c r="F111" s="15"/>
      <c r="G111" s="15"/>
      <c r="H111" s="15"/>
      <c r="I111" s="45"/>
    </row>
    <row r="112" s="1" customFormat="1" ht="35" customHeight="1" spans="1:9">
      <c r="A112" s="15"/>
      <c r="B112" s="15"/>
      <c r="C112" s="15"/>
      <c r="D112" s="15"/>
      <c r="E112" s="15"/>
      <c r="F112" s="15"/>
      <c r="G112" s="15"/>
      <c r="H112" s="15"/>
      <c r="I112" s="45"/>
    </row>
    <row r="113" s="1" customFormat="1" ht="35" customHeight="1" spans="1:9">
      <c r="A113" s="15"/>
      <c r="B113" s="15"/>
      <c r="C113" s="15"/>
      <c r="D113" s="15"/>
      <c r="E113" s="15"/>
      <c r="F113" s="15"/>
      <c r="G113" s="15"/>
      <c r="H113" s="15"/>
      <c r="I113" s="45"/>
    </row>
    <row r="114" s="1" customFormat="1" ht="35" customHeight="1" spans="1:9">
      <c r="A114" s="48" t="str">
        <f>"Debts Or Credits For the Comming "&amp;IF(Main!B2,TEXT(EDATE(Main!B3,45),"mmmm dd yyyy"),TEXT(Main!B3+((Main!B5-Main!B3)*45+45),"mmmm dd yyyy"))&amp;" to "&amp;IF(Main!B2,TEXT(EDATE(Main!B3,46)-1,"mmmm dd yyyy"),TEXT(Main!B3+((Main!B5-Main!B3)*46+45),"mmmm dd yyyy"))</f>
        <v>Debts Or Credits For the Comming February 01 2029 to February 28 2029</v>
      </c>
      <c r="B114" s="49"/>
      <c r="C114" s="49"/>
      <c r="D114" s="49"/>
      <c r="E114" s="50"/>
      <c r="F114" s="15"/>
      <c r="G114" s="15"/>
      <c r="H114" s="15"/>
      <c r="I114" s="45"/>
    </row>
    <row r="115" s="1" customFormat="1" ht="35" customHeight="1" spans="1:9">
      <c r="A115" s="48" t="s">
        <v>57</v>
      </c>
      <c r="B115" s="50"/>
      <c r="C115" s="48" t="s">
        <v>44</v>
      </c>
      <c r="D115" s="50"/>
      <c r="E115" s="64" t="s">
        <v>45</v>
      </c>
      <c r="F115" s="15"/>
      <c r="G115" s="15"/>
      <c r="H115" s="15"/>
      <c r="I115" s="45"/>
    </row>
    <row r="116" s="1" customFormat="1" ht="35" customHeight="1" spans="1:9">
      <c r="A116" s="51" t="str">
        <f>"Balance Brought Forward From "&amp;IF(Main!B2,TEXT(EDATE(Main!B3,45)-1,"mmmm yyyy"),TEXT(Main!B3+((Main!B5-Main!B3)*45+44),"mmmm yyyy"))</f>
        <v>Balance Brought Forward From January 2029</v>
      </c>
      <c r="B116" s="52"/>
      <c r="C116" s="53"/>
      <c r="D116" s="53"/>
      <c r="E116" s="65" cm="1">
        <f ca="1" t="array" ref="E116">INDIRECT("'"&amp;INDIRECT("Main!B51")&amp;"'!E190")</f>
        <v>0</v>
      </c>
      <c r="F116" s="15"/>
      <c r="G116" s="15"/>
      <c r="H116" s="15"/>
      <c r="I116" s="45"/>
    </row>
    <row r="117" s="1" customFormat="1" ht="35" customHeight="1" spans="1:9">
      <c r="A117" s="54" t="s">
        <v>52</v>
      </c>
      <c r="B117" s="55"/>
      <c r="C117" s="56" t="s">
        <v>58</v>
      </c>
      <c r="D117" s="57"/>
      <c r="E117" s="66"/>
      <c r="F117" s="15"/>
      <c r="G117" s="15"/>
      <c r="H117" s="15"/>
      <c r="I117" s="45"/>
    </row>
    <row r="118" s="1" customFormat="1" ht="35" customHeight="1" spans="1:9">
      <c r="A118" s="58"/>
      <c r="B118" s="59"/>
      <c r="C118" s="60"/>
      <c r="D118" s="61"/>
      <c r="E118" s="35">
        <v>0</v>
      </c>
      <c r="F118" s="15"/>
      <c r="G118" s="15"/>
      <c r="H118" s="15"/>
      <c r="I118" s="45"/>
    </row>
    <row r="119" s="1" customFormat="1" ht="35" customHeight="1" spans="1:9">
      <c r="A119" s="58"/>
      <c r="B119" s="59"/>
      <c r="C119" s="60"/>
      <c r="D119" s="61"/>
      <c r="E119" s="35">
        <v>0</v>
      </c>
      <c r="F119" s="15"/>
      <c r="G119" s="15"/>
      <c r="H119" s="15"/>
      <c r="I119" s="45"/>
    </row>
    <row r="120" s="1" customFormat="1" ht="35" customHeight="1" spans="1:9">
      <c r="A120" s="58"/>
      <c r="B120" s="59"/>
      <c r="C120" s="60"/>
      <c r="D120" s="61"/>
      <c r="E120" s="35">
        <v>0</v>
      </c>
      <c r="F120" s="15"/>
      <c r="G120" s="15"/>
      <c r="H120" s="15"/>
      <c r="I120" s="45"/>
    </row>
    <row r="121" s="1" customFormat="1" ht="35" customHeight="1" spans="1:9">
      <c r="A121" s="58"/>
      <c r="B121" s="59"/>
      <c r="C121" s="60"/>
      <c r="D121" s="61"/>
      <c r="E121" s="35">
        <v>0</v>
      </c>
      <c r="F121" s="15"/>
      <c r="G121" s="15"/>
      <c r="H121" s="15"/>
      <c r="I121" s="45"/>
    </row>
    <row r="122" s="1" customFormat="1" ht="35" customHeight="1" spans="1:9">
      <c r="A122" s="58"/>
      <c r="B122" s="59"/>
      <c r="C122" s="60"/>
      <c r="D122" s="61"/>
      <c r="E122" s="35">
        <v>0</v>
      </c>
      <c r="F122" s="15"/>
      <c r="G122" s="15"/>
      <c r="H122" s="15"/>
      <c r="I122" s="45"/>
    </row>
    <row r="123" s="1" customFormat="1" ht="35" customHeight="1" spans="1:9">
      <c r="A123" s="58"/>
      <c r="B123" s="59"/>
      <c r="C123" s="60"/>
      <c r="D123" s="61"/>
      <c r="E123" s="35">
        <v>0</v>
      </c>
      <c r="F123" s="15"/>
      <c r="G123" s="15"/>
      <c r="H123" s="15"/>
      <c r="I123" s="45"/>
    </row>
    <row r="124" s="1" customFormat="1" ht="35" customHeight="1" spans="1:9">
      <c r="A124" s="58"/>
      <c r="B124" s="59"/>
      <c r="C124" s="60"/>
      <c r="D124" s="61"/>
      <c r="E124" s="35">
        <v>0</v>
      </c>
      <c r="F124" s="15"/>
      <c r="G124" s="15"/>
      <c r="H124" s="15"/>
      <c r="I124" s="45"/>
    </row>
    <row r="125" s="1" customFormat="1" ht="35" customHeight="1" spans="1:9">
      <c r="A125" s="58"/>
      <c r="B125" s="59"/>
      <c r="C125" s="60"/>
      <c r="D125" s="61"/>
      <c r="E125" s="35">
        <v>0</v>
      </c>
      <c r="F125" s="15"/>
      <c r="G125" s="15"/>
      <c r="H125" s="15"/>
      <c r="I125" s="45"/>
    </row>
    <row r="126" s="1" customFormat="1" ht="35" customHeight="1" spans="1:9">
      <c r="A126" s="58"/>
      <c r="B126" s="59"/>
      <c r="C126" s="60"/>
      <c r="D126" s="61"/>
      <c r="E126" s="35">
        <v>0</v>
      </c>
      <c r="F126" s="15"/>
      <c r="G126" s="15"/>
      <c r="H126" s="15"/>
      <c r="I126" s="45"/>
    </row>
    <row r="127" s="1" customFormat="1" ht="35" customHeight="1" spans="1:9">
      <c r="A127" s="58"/>
      <c r="B127" s="59"/>
      <c r="C127" s="60"/>
      <c r="D127" s="61"/>
      <c r="E127" s="35">
        <v>0</v>
      </c>
      <c r="F127" s="15"/>
      <c r="G127" s="15"/>
      <c r="H127" s="15"/>
      <c r="I127" s="45"/>
    </row>
    <row r="128" s="1" customFormat="1" ht="35" customHeight="1" spans="1:9">
      <c r="A128" s="58"/>
      <c r="B128" s="59"/>
      <c r="C128" s="56" t="s">
        <v>59</v>
      </c>
      <c r="D128" s="57"/>
      <c r="E128" s="66"/>
      <c r="F128" s="15"/>
      <c r="G128" s="15"/>
      <c r="H128" s="15"/>
      <c r="I128" s="45"/>
    </row>
    <row r="129" s="1" customFormat="1" ht="35" customHeight="1" spans="1:9">
      <c r="A129" s="58"/>
      <c r="B129" s="59"/>
      <c r="C129" s="60"/>
      <c r="D129" s="61"/>
      <c r="E129" s="78">
        <v>0</v>
      </c>
      <c r="F129" s="15"/>
      <c r="G129" s="15"/>
      <c r="H129" s="15"/>
      <c r="I129" s="45"/>
    </row>
    <row r="130" s="1" customFormat="1" ht="35" customHeight="1" spans="1:9">
      <c r="A130" s="58"/>
      <c r="B130" s="59"/>
      <c r="C130" s="60"/>
      <c r="D130" s="61"/>
      <c r="E130" s="78">
        <v>0</v>
      </c>
      <c r="F130" s="15"/>
      <c r="G130" s="15"/>
      <c r="H130" s="15"/>
      <c r="I130" s="45"/>
    </row>
    <row r="131" s="1" customFormat="1" ht="35" customHeight="1" spans="1:9">
      <c r="A131" s="58"/>
      <c r="B131" s="59"/>
      <c r="C131" s="60"/>
      <c r="D131" s="61"/>
      <c r="E131" s="78">
        <v>0</v>
      </c>
      <c r="F131" s="15"/>
      <c r="G131" s="15"/>
      <c r="H131" s="15"/>
      <c r="I131" s="45"/>
    </row>
    <row r="132" s="1" customFormat="1" ht="35" customHeight="1" spans="1:9">
      <c r="A132" s="58"/>
      <c r="B132" s="59"/>
      <c r="C132" s="60"/>
      <c r="D132" s="61"/>
      <c r="E132" s="78">
        <v>0</v>
      </c>
      <c r="F132" s="15"/>
      <c r="G132" s="15"/>
      <c r="H132" s="15"/>
      <c r="I132" s="45"/>
    </row>
    <row r="133" s="1" customFormat="1" ht="35" customHeight="1" spans="1:9">
      <c r="A133" s="58"/>
      <c r="B133" s="59"/>
      <c r="C133" s="60"/>
      <c r="D133" s="61"/>
      <c r="E133" s="78">
        <v>0</v>
      </c>
      <c r="F133" s="15"/>
      <c r="G133" s="15"/>
      <c r="H133" s="15"/>
      <c r="I133" s="45"/>
    </row>
    <row r="134" s="1" customFormat="1" ht="35" customHeight="1" spans="1:9">
      <c r="A134" s="67"/>
      <c r="B134" s="68"/>
      <c r="C134" s="60"/>
      <c r="D134" s="61"/>
      <c r="E134" s="78">
        <v>0</v>
      </c>
      <c r="F134" s="15"/>
      <c r="G134" s="15"/>
      <c r="H134" s="15"/>
      <c r="I134" s="45"/>
    </row>
    <row r="135" s="1" customFormat="1" ht="35" customHeight="1" spans="1:9">
      <c r="A135" s="51" t="s">
        <v>60</v>
      </c>
      <c r="B135" s="69"/>
      <c r="C135" s="70"/>
      <c r="D135" s="71"/>
      <c r="E135" s="78">
        <f>C96</f>
        <v>0</v>
      </c>
      <c r="F135" s="15"/>
      <c r="G135" s="15"/>
      <c r="H135" s="15"/>
      <c r="I135" s="45"/>
    </row>
    <row r="136" s="1" customFormat="1" ht="35" customHeight="1" spans="1:9">
      <c r="A136" s="72"/>
      <c r="B136" s="73"/>
      <c r="C136" s="37" t="s">
        <v>61</v>
      </c>
      <c r="D136" s="37"/>
      <c r="E136" s="79">
        <f ca="1">(F16+E116)-(SUM(E118:E127)+SUM(E129:E135))</f>
        <v>0</v>
      </c>
      <c r="F136" s="15"/>
      <c r="G136" s="15"/>
      <c r="H136" s="15"/>
      <c r="I136" s="45"/>
    </row>
    <row r="137" s="1" customFormat="1" ht="35" customHeight="1" spans="1:9">
      <c r="A137" s="15"/>
      <c r="B137" s="15"/>
      <c r="C137" s="15"/>
      <c r="D137" s="15"/>
      <c r="E137" s="15"/>
      <c r="F137" s="15"/>
      <c r="G137" s="15"/>
      <c r="H137" s="15"/>
      <c r="I137" s="45"/>
    </row>
    <row r="138" s="1" customFormat="1" ht="35" customHeight="1" spans="1:9">
      <c r="A138" s="15"/>
      <c r="B138" s="15"/>
      <c r="C138" s="15"/>
      <c r="D138" s="15"/>
      <c r="E138" s="15"/>
      <c r="F138" s="15"/>
      <c r="G138" s="15"/>
      <c r="H138" s="15"/>
      <c r="I138" s="45"/>
    </row>
    <row r="139" s="1" customFormat="1" ht="35" customHeight="1" spans="1:9">
      <c r="A139" s="15"/>
      <c r="B139" s="15"/>
      <c r="C139" s="15"/>
      <c r="D139" s="15"/>
      <c r="E139" s="15"/>
      <c r="F139" s="15"/>
      <c r="G139" s="15"/>
      <c r="H139" s="15"/>
      <c r="I139" s="45"/>
    </row>
    <row r="140" s="1" customFormat="1" ht="35" customHeight="1" spans="1:9">
      <c r="A140" s="15"/>
      <c r="B140" s="15"/>
      <c r="C140" s="15"/>
      <c r="D140" s="15"/>
      <c r="E140" s="15"/>
      <c r="F140" s="15"/>
      <c r="G140" s="15"/>
      <c r="H140" s="15"/>
      <c r="I140" s="45"/>
    </row>
    <row r="141" s="1" customFormat="1" ht="35" customHeight="1" spans="1:9">
      <c r="A141" s="48" t="str">
        <f>"Debts Or Credits For the Comming "&amp;IF(Main!B2,TEXT(EDATE(Main!B3,46),"mmmm dd yyyy"),TEXT(Main!B3+((Main!B5-Main!B3)*46+46),"dd mmmm yyyy"))&amp;" to "&amp;IF(Main!B2,TEXT(EDATE(Main!B3,47)-1,"mmmm dd yyyy"),TEXT(Main!B3+((Main!B5-Main!B3)*47+46),"mmmm dd yyyy"))</f>
        <v>Debts Or Credits For the Comming March 01 2029 to March 31 2029</v>
      </c>
      <c r="B141" s="49"/>
      <c r="C141" s="49"/>
      <c r="D141" s="49"/>
      <c r="E141" s="50"/>
      <c r="F141" s="15"/>
      <c r="G141" s="15"/>
      <c r="H141" s="15"/>
      <c r="I141" s="45"/>
    </row>
    <row r="142" s="1" customFormat="1" ht="35" customHeight="1" spans="1:9">
      <c r="A142" s="48" t="s">
        <v>57</v>
      </c>
      <c r="B142" s="50"/>
      <c r="C142" s="74" t="s">
        <v>44</v>
      </c>
      <c r="D142" s="75"/>
      <c r="E142" s="80" t="s">
        <v>45</v>
      </c>
      <c r="F142" s="15"/>
      <c r="G142" s="15"/>
      <c r="H142" s="15"/>
      <c r="I142" s="45"/>
    </row>
    <row r="143" s="1" customFormat="1" ht="35" customHeight="1" spans="1:9">
      <c r="A143" s="51" t="str">
        <f>"Balance Brought Forward From "&amp;IF(Main!B2,TEXT(EDATE(Main!B3,46)-1,"mmmm yyyy"),TEXT(Main!B3+((Main!B5-Main!B3)*46+45),"mmmm yyyy"))</f>
        <v>Balance Brought Forward From February 2029</v>
      </c>
      <c r="B143" s="52"/>
      <c r="C143" s="53"/>
      <c r="D143" s="53"/>
      <c r="E143" s="79">
        <f ca="1">E136</f>
        <v>0</v>
      </c>
      <c r="F143" s="15"/>
      <c r="G143" s="15"/>
      <c r="H143" s="15"/>
      <c r="I143" s="45"/>
    </row>
    <row r="144" s="1" customFormat="1" ht="35" customHeight="1" spans="1:9">
      <c r="A144" s="54" t="s">
        <v>52</v>
      </c>
      <c r="B144" s="55"/>
      <c r="C144" s="76" t="s">
        <v>58</v>
      </c>
      <c r="D144" s="77"/>
      <c r="E144" s="81"/>
      <c r="F144" s="15"/>
      <c r="G144" s="15"/>
      <c r="H144" s="15"/>
      <c r="I144" s="45"/>
    </row>
    <row r="145" s="1" customFormat="1" ht="35" customHeight="1" spans="1:9">
      <c r="A145" s="58"/>
      <c r="B145" s="59"/>
      <c r="C145" s="60"/>
      <c r="D145" s="61"/>
      <c r="E145" s="35">
        <v>0</v>
      </c>
      <c r="F145" s="15"/>
      <c r="G145" s="15"/>
      <c r="H145" s="15"/>
      <c r="I145" s="45"/>
    </row>
    <row r="146" s="1" customFormat="1" ht="35" customHeight="1" spans="1:9">
      <c r="A146" s="58"/>
      <c r="B146" s="59"/>
      <c r="C146" s="60"/>
      <c r="D146" s="61"/>
      <c r="E146" s="35">
        <v>0</v>
      </c>
      <c r="F146" s="15"/>
      <c r="G146" s="15"/>
      <c r="H146" s="15"/>
      <c r="I146" s="45"/>
    </row>
    <row r="147" s="1" customFormat="1" ht="35" customHeight="1" spans="1:9">
      <c r="A147" s="58"/>
      <c r="B147" s="59"/>
      <c r="C147" s="60"/>
      <c r="D147" s="61"/>
      <c r="E147" s="35">
        <v>0</v>
      </c>
      <c r="F147" s="15"/>
      <c r="G147" s="15"/>
      <c r="H147" s="15"/>
      <c r="I147" s="45"/>
    </row>
    <row r="148" s="1" customFormat="1" ht="35" customHeight="1" spans="1:9">
      <c r="A148" s="58"/>
      <c r="B148" s="59"/>
      <c r="C148" s="60"/>
      <c r="D148" s="61"/>
      <c r="E148" s="35">
        <v>0</v>
      </c>
      <c r="F148" s="15"/>
      <c r="G148" s="15"/>
      <c r="H148" s="15"/>
      <c r="I148" s="45"/>
    </row>
    <row r="149" s="1" customFormat="1" ht="35" customHeight="1" spans="1:9">
      <c r="A149" s="58"/>
      <c r="B149" s="59"/>
      <c r="C149" s="60"/>
      <c r="D149" s="61"/>
      <c r="E149" s="35">
        <v>0</v>
      </c>
      <c r="F149" s="15"/>
      <c r="G149" s="15"/>
      <c r="H149" s="15"/>
      <c r="I149" s="45"/>
    </row>
    <row r="150" s="1" customFormat="1" ht="35" customHeight="1" spans="1:9">
      <c r="A150" s="58"/>
      <c r="B150" s="59"/>
      <c r="C150" s="60"/>
      <c r="D150" s="61"/>
      <c r="E150" s="35">
        <v>0</v>
      </c>
      <c r="F150" s="15"/>
      <c r="G150" s="15"/>
      <c r="H150" s="15"/>
      <c r="I150" s="45"/>
    </row>
    <row r="151" s="1" customFormat="1" ht="35" customHeight="1" spans="1:9">
      <c r="A151" s="58"/>
      <c r="B151" s="59"/>
      <c r="C151" s="60"/>
      <c r="D151" s="61"/>
      <c r="E151" s="35">
        <v>0</v>
      </c>
      <c r="F151" s="15"/>
      <c r="G151" s="15"/>
      <c r="H151" s="15"/>
      <c r="I151" s="45"/>
    </row>
    <row r="152" s="1" customFormat="1" ht="35" customHeight="1" spans="1:9">
      <c r="A152" s="58"/>
      <c r="B152" s="59"/>
      <c r="C152" s="60"/>
      <c r="D152" s="61"/>
      <c r="E152" s="35">
        <v>0</v>
      </c>
      <c r="F152" s="15"/>
      <c r="G152" s="15"/>
      <c r="H152" s="15"/>
      <c r="I152" s="45"/>
    </row>
    <row r="153" s="1" customFormat="1" ht="35" customHeight="1" spans="1:9">
      <c r="A153" s="58"/>
      <c r="B153" s="59"/>
      <c r="C153" s="60"/>
      <c r="D153" s="61"/>
      <c r="E153" s="35">
        <v>0</v>
      </c>
      <c r="F153" s="15"/>
      <c r="G153" s="15"/>
      <c r="H153" s="15"/>
      <c r="I153" s="45"/>
    </row>
    <row r="154" s="1" customFormat="1" ht="35" customHeight="1" spans="1:9">
      <c r="A154" s="58"/>
      <c r="B154" s="59"/>
      <c r="C154" s="60"/>
      <c r="D154" s="61"/>
      <c r="E154" s="35">
        <v>0</v>
      </c>
      <c r="F154" s="15"/>
      <c r="G154" s="15"/>
      <c r="H154" s="15"/>
      <c r="I154" s="45"/>
    </row>
    <row r="155" s="1" customFormat="1" ht="35" customHeight="1" spans="1:9">
      <c r="A155" s="58"/>
      <c r="B155" s="59"/>
      <c r="C155" s="56" t="s">
        <v>59</v>
      </c>
      <c r="D155" s="57"/>
      <c r="E155" s="66"/>
      <c r="F155" s="15"/>
      <c r="G155" s="15"/>
      <c r="H155" s="15"/>
      <c r="I155" s="45"/>
    </row>
    <row r="156" s="1" customFormat="1" ht="35" customHeight="1" spans="1:9">
      <c r="A156" s="58"/>
      <c r="B156" s="59"/>
      <c r="C156" s="60"/>
      <c r="D156" s="61"/>
      <c r="E156" s="78">
        <v>0</v>
      </c>
      <c r="F156" s="15"/>
      <c r="G156" s="15"/>
      <c r="H156" s="15"/>
      <c r="I156" s="45"/>
    </row>
    <row r="157" s="1" customFormat="1" ht="35" customHeight="1" spans="1:9">
      <c r="A157" s="58"/>
      <c r="B157" s="59"/>
      <c r="C157" s="60"/>
      <c r="D157" s="61"/>
      <c r="E157" s="78">
        <v>0</v>
      </c>
      <c r="F157" s="15"/>
      <c r="G157" s="15"/>
      <c r="H157" s="15"/>
      <c r="I157" s="45"/>
    </row>
    <row r="158" s="1" customFormat="1" ht="35" customHeight="1" spans="1:9">
      <c r="A158" s="58"/>
      <c r="B158" s="59"/>
      <c r="C158" s="60"/>
      <c r="D158" s="61"/>
      <c r="E158" s="78">
        <v>0</v>
      </c>
      <c r="F158" s="15"/>
      <c r="G158" s="15"/>
      <c r="H158" s="15"/>
      <c r="I158" s="45"/>
    </row>
    <row r="159" s="1" customFormat="1" ht="35" customHeight="1" spans="1:9">
      <c r="A159" s="58"/>
      <c r="B159" s="59"/>
      <c r="C159" s="60"/>
      <c r="D159" s="61"/>
      <c r="E159" s="78">
        <v>0</v>
      </c>
      <c r="F159" s="15"/>
      <c r="G159" s="15"/>
      <c r="H159" s="15"/>
      <c r="I159" s="45"/>
    </row>
    <row r="160" s="1" customFormat="1" ht="35" customHeight="1" spans="1:9">
      <c r="A160" s="58"/>
      <c r="B160" s="59"/>
      <c r="C160" s="60"/>
      <c r="D160" s="61"/>
      <c r="E160" s="78">
        <v>0</v>
      </c>
      <c r="F160" s="15"/>
      <c r="G160" s="15"/>
      <c r="H160" s="15"/>
      <c r="I160" s="45"/>
    </row>
    <row r="161" s="1" customFormat="1" ht="35" customHeight="1" spans="1:9">
      <c r="A161" s="67"/>
      <c r="B161" s="68"/>
      <c r="C161" s="60"/>
      <c r="D161" s="61"/>
      <c r="E161" s="78">
        <v>0</v>
      </c>
      <c r="F161" s="15"/>
      <c r="G161" s="15"/>
      <c r="H161" s="15"/>
      <c r="I161" s="45"/>
    </row>
    <row r="162" s="1" customFormat="1" ht="35" customHeight="1" spans="1:9">
      <c r="A162" s="51" t="s">
        <v>60</v>
      </c>
      <c r="B162" s="69"/>
      <c r="C162" s="70"/>
      <c r="D162" s="71"/>
      <c r="E162" s="78">
        <f>C96</f>
        <v>0</v>
      </c>
      <c r="F162" s="15"/>
      <c r="G162" s="15"/>
      <c r="H162" s="15"/>
      <c r="I162" s="45"/>
    </row>
    <row r="163" s="1" customFormat="1" ht="35" customHeight="1" spans="1:9">
      <c r="A163" s="72"/>
      <c r="B163" s="73"/>
      <c r="C163" s="37" t="s">
        <v>61</v>
      </c>
      <c r="D163" s="37"/>
      <c r="E163" s="65">
        <f ca="1">(F28+E143)-(SUM(E145:E154)+SUM(E156:E162))</f>
        <v>0</v>
      </c>
      <c r="F163" s="15"/>
      <c r="G163" s="15"/>
      <c r="H163" s="15"/>
      <c r="I163" s="45"/>
    </row>
    <row r="164" s="1" customFormat="1" ht="35" customHeight="1" spans="1:9">
      <c r="A164" s="15"/>
      <c r="B164" s="15"/>
      <c r="C164" s="15"/>
      <c r="D164" s="15"/>
      <c r="E164" s="15"/>
      <c r="F164" s="15"/>
      <c r="G164" s="15"/>
      <c r="H164" s="15"/>
      <c r="I164" s="45"/>
    </row>
    <row r="165" s="1" customFormat="1" ht="35" customHeight="1" spans="1:9">
      <c r="A165" s="15"/>
      <c r="B165" s="15"/>
      <c r="C165" s="15"/>
      <c r="D165" s="15"/>
      <c r="E165" s="15"/>
      <c r="F165" s="15"/>
      <c r="G165" s="15"/>
      <c r="H165" s="15"/>
      <c r="I165" s="45"/>
    </row>
    <row r="166" s="1" customFormat="1" ht="35" customHeight="1" spans="1:9">
      <c r="A166" s="15"/>
      <c r="B166" s="15"/>
      <c r="C166" s="15"/>
      <c r="D166" s="15"/>
      <c r="E166" s="15"/>
      <c r="F166" s="15"/>
      <c r="G166" s="15"/>
      <c r="H166" s="15"/>
      <c r="I166" s="45"/>
    </row>
    <row r="167" s="1" customFormat="1" ht="35" customHeight="1" spans="1:9">
      <c r="A167" s="15"/>
      <c r="B167" s="15"/>
      <c r="C167" s="15"/>
      <c r="D167" s="15"/>
      <c r="E167" s="15"/>
      <c r="F167" s="15"/>
      <c r="G167" s="15"/>
      <c r="H167" s="15"/>
      <c r="I167" s="45"/>
    </row>
    <row r="168" s="1" customFormat="1" ht="35" customHeight="1" spans="1:9">
      <c r="A168" s="48" t="str">
        <f>"Debts Or Credits For the Comming "&amp;IF(Main!B2,TEXT(EDATE(Main!B3,47),"mmmm dd yyyy"),TEXT(Main!B3+((Main!B5-Main!B3)*47+47),"mmmm dd yyyy"))&amp;" to "&amp;IF(Main!B2,TEXT(EDATE(Main!B3,48)-1,"mmmm dd yyyy"),TEXT(Main!B3+((Main!B5-Main!B3)*48+47),"mmmm dd yyyy"))</f>
        <v>Debts Or Credits For the Comming April 01 2029 to April 30 2029</v>
      </c>
      <c r="B168" s="49"/>
      <c r="C168" s="49"/>
      <c r="D168" s="49"/>
      <c r="E168" s="50"/>
      <c r="F168" s="15"/>
      <c r="G168" s="15"/>
      <c r="H168" s="15"/>
      <c r="I168" s="45"/>
    </row>
    <row r="169" s="1" customFormat="1" ht="35" customHeight="1" spans="1:9">
      <c r="A169" s="48" t="s">
        <v>57</v>
      </c>
      <c r="B169" s="50"/>
      <c r="C169" s="74" t="s">
        <v>44</v>
      </c>
      <c r="D169" s="75"/>
      <c r="E169" s="80" t="s">
        <v>45</v>
      </c>
      <c r="F169" s="15"/>
      <c r="G169" s="15"/>
      <c r="H169" s="15"/>
      <c r="I169" s="45"/>
    </row>
    <row r="170" s="1" customFormat="1" ht="35" customHeight="1" spans="1:9">
      <c r="A170" s="51" t="str">
        <f>"Balance Brought Forward From "&amp;IF(Main!B2,TEXT(EDATE(Main!B3,47)-1,"mmmm yyyy"),TEXT(Main!B3+((Main!B5-Main!B3)*47+46),"mmmm yyyy"))</f>
        <v>Balance Brought Forward From March 2029</v>
      </c>
      <c r="B170" s="52"/>
      <c r="C170" s="53"/>
      <c r="D170" s="53"/>
      <c r="E170" s="65">
        <f ca="1">E163</f>
        <v>0</v>
      </c>
      <c r="F170" s="15"/>
      <c r="G170" s="15"/>
      <c r="H170" s="15"/>
      <c r="I170" s="45"/>
    </row>
    <row r="171" s="1" customFormat="1" ht="35" customHeight="1" spans="1:9">
      <c r="A171" s="54" t="s">
        <v>52</v>
      </c>
      <c r="B171" s="55"/>
      <c r="C171" s="76" t="s">
        <v>58</v>
      </c>
      <c r="D171" s="77"/>
      <c r="E171" s="81"/>
      <c r="F171" s="15"/>
      <c r="G171" s="15"/>
      <c r="H171" s="15"/>
      <c r="I171" s="45"/>
    </row>
    <row r="172" s="1" customFormat="1" ht="35" customHeight="1" spans="1:9">
      <c r="A172" s="58"/>
      <c r="B172" s="59"/>
      <c r="C172" s="60"/>
      <c r="D172" s="61"/>
      <c r="E172" s="35">
        <v>0</v>
      </c>
      <c r="F172" s="15"/>
      <c r="G172" s="15"/>
      <c r="H172" s="15"/>
      <c r="I172" s="45"/>
    </row>
    <row r="173" s="1" customFormat="1" ht="35" customHeight="1" spans="1:9">
      <c r="A173" s="58"/>
      <c r="B173" s="59"/>
      <c r="C173" s="60"/>
      <c r="D173" s="61"/>
      <c r="E173" s="35">
        <v>0</v>
      </c>
      <c r="F173" s="15"/>
      <c r="G173" s="15"/>
      <c r="H173" s="15"/>
      <c r="I173" s="45"/>
    </row>
    <row r="174" s="1" customFormat="1" ht="35" customHeight="1" spans="1:9">
      <c r="A174" s="58"/>
      <c r="B174" s="59"/>
      <c r="C174" s="60"/>
      <c r="D174" s="61"/>
      <c r="E174" s="35">
        <v>0</v>
      </c>
      <c r="F174" s="15"/>
      <c r="G174" s="15"/>
      <c r="H174" s="15"/>
      <c r="I174" s="45"/>
    </row>
    <row r="175" s="1" customFormat="1" ht="35" customHeight="1" spans="1:9">
      <c r="A175" s="58"/>
      <c r="B175" s="59"/>
      <c r="C175" s="60"/>
      <c r="D175" s="61"/>
      <c r="E175" s="35">
        <v>0</v>
      </c>
      <c r="F175" s="15"/>
      <c r="G175" s="15"/>
      <c r="H175" s="15"/>
      <c r="I175" s="45"/>
    </row>
    <row r="176" s="1" customFormat="1" ht="35" customHeight="1" spans="1:9">
      <c r="A176" s="58"/>
      <c r="B176" s="59"/>
      <c r="C176" s="60"/>
      <c r="D176" s="61"/>
      <c r="E176" s="35">
        <v>0</v>
      </c>
      <c r="F176" s="15"/>
      <c r="G176" s="15"/>
      <c r="H176" s="15"/>
      <c r="I176" s="45"/>
    </row>
    <row r="177" s="1" customFormat="1" ht="35" customHeight="1" spans="1:9">
      <c r="A177" s="58"/>
      <c r="B177" s="59"/>
      <c r="C177" s="60"/>
      <c r="D177" s="61"/>
      <c r="E177" s="35">
        <v>0</v>
      </c>
      <c r="F177" s="15"/>
      <c r="G177" s="15"/>
      <c r="H177" s="15"/>
      <c r="I177" s="45"/>
    </row>
    <row r="178" s="1" customFormat="1" ht="35" customHeight="1" spans="1:9">
      <c r="A178" s="58"/>
      <c r="B178" s="59"/>
      <c r="C178" s="60"/>
      <c r="D178" s="61"/>
      <c r="E178" s="35">
        <v>0</v>
      </c>
      <c r="F178" s="15"/>
      <c r="G178" s="15"/>
      <c r="H178" s="15"/>
      <c r="I178" s="45"/>
    </row>
    <row r="179" s="1" customFormat="1" ht="35" customHeight="1" spans="1:9">
      <c r="A179" s="58"/>
      <c r="B179" s="59"/>
      <c r="C179" s="60"/>
      <c r="D179" s="61"/>
      <c r="E179" s="35">
        <v>0</v>
      </c>
      <c r="F179" s="15"/>
      <c r="G179" s="15"/>
      <c r="H179" s="15"/>
      <c r="I179" s="45"/>
    </row>
    <row r="180" s="1" customFormat="1" ht="35" customHeight="1" spans="1:9">
      <c r="A180" s="58"/>
      <c r="B180" s="59"/>
      <c r="C180" s="60"/>
      <c r="D180" s="61"/>
      <c r="E180" s="35">
        <v>0</v>
      </c>
      <c r="F180" s="15"/>
      <c r="G180" s="15"/>
      <c r="H180" s="15"/>
      <c r="I180" s="45"/>
    </row>
    <row r="181" s="1" customFormat="1" ht="35" customHeight="1" spans="1:9">
      <c r="A181" s="58"/>
      <c r="B181" s="59"/>
      <c r="C181" s="60"/>
      <c r="D181" s="61"/>
      <c r="E181" s="35">
        <v>0</v>
      </c>
      <c r="F181" s="15"/>
      <c r="G181" s="15"/>
      <c r="H181" s="15"/>
      <c r="I181" s="45"/>
    </row>
    <row r="182" s="1" customFormat="1" ht="35" customHeight="1" spans="1:9">
      <c r="A182" s="58"/>
      <c r="B182" s="59"/>
      <c r="C182" s="56" t="s">
        <v>59</v>
      </c>
      <c r="D182" s="57"/>
      <c r="E182" s="66"/>
      <c r="F182" s="15"/>
      <c r="G182" s="15"/>
      <c r="H182" s="15"/>
      <c r="I182" s="45"/>
    </row>
    <row r="183" s="1" customFormat="1" ht="35" customHeight="1" spans="1:9">
      <c r="A183" s="58"/>
      <c r="B183" s="59"/>
      <c r="C183" s="60"/>
      <c r="D183" s="61"/>
      <c r="E183" s="78">
        <v>0</v>
      </c>
      <c r="F183" s="15"/>
      <c r="G183" s="15"/>
      <c r="H183" s="15"/>
      <c r="I183" s="45"/>
    </row>
    <row r="184" s="1" customFormat="1" ht="35" customHeight="1" spans="1:9">
      <c r="A184" s="58"/>
      <c r="B184" s="59"/>
      <c r="C184" s="60"/>
      <c r="D184" s="61"/>
      <c r="E184" s="78">
        <v>0</v>
      </c>
      <c r="F184" s="15"/>
      <c r="G184" s="15"/>
      <c r="H184" s="15"/>
      <c r="I184" s="45"/>
    </row>
    <row r="185" s="1" customFormat="1" ht="35" customHeight="1" spans="1:9">
      <c r="A185" s="58"/>
      <c r="B185" s="59"/>
      <c r="C185" s="60"/>
      <c r="D185" s="61"/>
      <c r="E185" s="78">
        <v>0</v>
      </c>
      <c r="F185" s="15"/>
      <c r="G185" s="15"/>
      <c r="H185" s="15"/>
      <c r="I185" s="45"/>
    </row>
    <row r="186" s="1" customFormat="1" ht="35" customHeight="1" spans="1:9">
      <c r="A186" s="58"/>
      <c r="B186" s="59"/>
      <c r="C186" s="60"/>
      <c r="D186" s="61"/>
      <c r="E186" s="78">
        <v>0</v>
      </c>
      <c r="F186" s="15"/>
      <c r="G186" s="15"/>
      <c r="H186" s="15"/>
      <c r="I186" s="45"/>
    </row>
    <row r="187" s="1" customFormat="1" ht="35" customHeight="1" spans="1:9">
      <c r="A187" s="58"/>
      <c r="B187" s="59"/>
      <c r="C187" s="60"/>
      <c r="D187" s="61"/>
      <c r="E187" s="78">
        <v>0</v>
      </c>
      <c r="F187" s="15"/>
      <c r="G187" s="15"/>
      <c r="H187" s="15"/>
      <c r="I187" s="45"/>
    </row>
    <row r="188" s="1" customFormat="1" ht="35" customHeight="1" spans="1:9">
      <c r="A188" s="67"/>
      <c r="B188" s="68"/>
      <c r="C188" s="60"/>
      <c r="D188" s="61"/>
      <c r="E188" s="78">
        <v>0</v>
      </c>
      <c r="F188" s="15"/>
      <c r="G188" s="15"/>
      <c r="H188" s="15"/>
      <c r="I188" s="45"/>
    </row>
    <row r="189" s="1" customFormat="1" ht="35" customHeight="1" spans="1:9">
      <c r="A189" s="51" t="s">
        <v>60</v>
      </c>
      <c r="B189" s="69"/>
      <c r="C189" s="70"/>
      <c r="D189" s="71"/>
      <c r="E189" s="78">
        <f>C96</f>
        <v>0</v>
      </c>
      <c r="F189" s="15"/>
      <c r="G189" s="15"/>
      <c r="H189" s="15"/>
      <c r="I189" s="45"/>
    </row>
    <row r="190" s="1" customFormat="1" ht="35" customHeight="1" spans="1:9">
      <c r="A190" s="72"/>
      <c r="B190" s="73"/>
      <c r="C190" s="37" t="s">
        <v>61</v>
      </c>
      <c r="D190" s="37"/>
      <c r="E190" s="65">
        <f ca="1">(F40+E170)-(SUM(E172:E181)+SUM(E183:E189))</f>
        <v>0</v>
      </c>
      <c r="F190" s="15"/>
      <c r="G190" s="15"/>
      <c r="H190" s="15"/>
      <c r="I190" s="45"/>
    </row>
    <row r="191" s="1" customFormat="1" ht="35" customHeight="1" spans="1:9">
      <c r="A191" s="15"/>
      <c r="B191" s="15"/>
      <c r="C191" s="15"/>
      <c r="D191" s="15"/>
      <c r="E191" s="15"/>
      <c r="F191" s="15"/>
      <c r="G191" s="15"/>
      <c r="H191" s="15"/>
      <c r="I191" s="45"/>
    </row>
    <row r="192" s="1" customFormat="1" ht="35" customHeight="1" spans="1:9">
      <c r="A192" s="38"/>
      <c r="B192" s="38"/>
      <c r="C192" s="38"/>
      <c r="D192" s="38"/>
      <c r="E192" s="38"/>
      <c r="F192" s="38"/>
      <c r="G192" s="38"/>
      <c r="H192" s="38"/>
      <c r="I192" s="38"/>
    </row>
    <row r="193" spans="1:9">
      <c r="A193" s="82"/>
      <c r="B193" s="82"/>
      <c r="C193" s="82"/>
      <c r="D193" s="82"/>
      <c r="E193" s="82"/>
      <c r="F193" s="82"/>
      <c r="G193" s="82"/>
      <c r="H193" s="82"/>
      <c r="I193" s="82"/>
    </row>
  </sheetData>
  <sheetProtection sheet="1" formatCells="0" formatColumns="0" formatRows="0" objects="1"/>
  <protectedRanges>
    <protectedRange sqref="A10:G15" name="R1"/>
    <protectedRange sqref="A22:G27" name="R2"/>
    <protectedRange sqref="A34:G39" name="R3"/>
    <protectedRange sqref="A46:C46 C47:C54" name="F1"/>
    <protectedRange sqref="A56:C56 C57:C65" name="F2"/>
    <protectedRange sqref="A67:C67 C68:C74" name="F3"/>
    <protectedRange sqref="A76:C76 C77:C84" name="F4"/>
    <protectedRange sqref="A86:C86 C87:C94" name="F5"/>
    <protectedRange sqref="C117:E134" name="E1"/>
    <protectedRange sqref="C144:E161" name="E2"/>
    <protectedRange sqref="C171:E188" name="E3"/>
  </protectedRanges>
  <mergeCells count="169">
    <mergeCell ref="A1:G1"/>
    <mergeCell ref="C2:G2"/>
    <mergeCell ref="C3:G3"/>
    <mergeCell ref="A4:B4"/>
    <mergeCell ref="C4:G4"/>
    <mergeCell ref="A5:B5"/>
    <mergeCell ref="C5:G5"/>
    <mergeCell ref="A8:G8"/>
    <mergeCell ref="B9:C9"/>
    <mergeCell ref="D9:E9"/>
    <mergeCell ref="F9:G9"/>
    <mergeCell ref="B10:C10"/>
    <mergeCell ref="D10:E10"/>
    <mergeCell ref="F10:G10"/>
    <mergeCell ref="B11:C11"/>
    <mergeCell ref="D11:E11"/>
    <mergeCell ref="F11:G11"/>
    <mergeCell ref="B12:C12"/>
    <mergeCell ref="D12:E12"/>
    <mergeCell ref="F12:G12"/>
    <mergeCell ref="B13:C13"/>
    <mergeCell ref="D13:E13"/>
    <mergeCell ref="F13:G13"/>
    <mergeCell ref="B14:C14"/>
    <mergeCell ref="D14:E14"/>
    <mergeCell ref="F14:G14"/>
    <mergeCell ref="B15:C15"/>
    <mergeCell ref="D15:E15"/>
    <mergeCell ref="F15:G15"/>
    <mergeCell ref="B16:C16"/>
    <mergeCell ref="D16:E16"/>
    <mergeCell ref="F16:G16"/>
    <mergeCell ref="A20:G20"/>
    <mergeCell ref="B21:C21"/>
    <mergeCell ref="D21:E21"/>
    <mergeCell ref="F21:G21"/>
    <mergeCell ref="B22:C22"/>
    <mergeCell ref="D22:E22"/>
    <mergeCell ref="F22:G22"/>
    <mergeCell ref="B23:C23"/>
    <mergeCell ref="D23:E23"/>
    <mergeCell ref="F23:G23"/>
    <mergeCell ref="B24:C24"/>
    <mergeCell ref="D24:E24"/>
    <mergeCell ref="F24:G24"/>
    <mergeCell ref="B25:C25"/>
    <mergeCell ref="D25:E25"/>
    <mergeCell ref="F25:G25"/>
    <mergeCell ref="B26:C26"/>
    <mergeCell ref="D26:E26"/>
    <mergeCell ref="F26:G26"/>
    <mergeCell ref="B27:C27"/>
    <mergeCell ref="D27:E27"/>
    <mergeCell ref="F27:G27"/>
    <mergeCell ref="B28:C28"/>
    <mergeCell ref="D28:E28"/>
    <mergeCell ref="F28:G28"/>
    <mergeCell ref="A32:G32"/>
    <mergeCell ref="B33:C33"/>
    <mergeCell ref="D33:E33"/>
    <mergeCell ref="F33:G33"/>
    <mergeCell ref="B34:C34"/>
    <mergeCell ref="D34:E34"/>
    <mergeCell ref="F34:G34"/>
    <mergeCell ref="B35:C35"/>
    <mergeCell ref="D35:E35"/>
    <mergeCell ref="F35:G35"/>
    <mergeCell ref="B36:C36"/>
    <mergeCell ref="D36:E36"/>
    <mergeCell ref="F36:G36"/>
    <mergeCell ref="B37:C37"/>
    <mergeCell ref="D37:E37"/>
    <mergeCell ref="F37:G37"/>
    <mergeCell ref="B38:C38"/>
    <mergeCell ref="D38:E38"/>
    <mergeCell ref="F38:G38"/>
    <mergeCell ref="B39:C39"/>
    <mergeCell ref="D39:E39"/>
    <mergeCell ref="F39:G39"/>
    <mergeCell ref="B40:C40"/>
    <mergeCell ref="D40:E40"/>
    <mergeCell ref="F40:G40"/>
    <mergeCell ref="A44:C44"/>
    <mergeCell ref="A46:C46"/>
    <mergeCell ref="A114:E114"/>
    <mergeCell ref="A115:B115"/>
    <mergeCell ref="C115:D115"/>
    <mergeCell ref="A116:B116"/>
    <mergeCell ref="C116:D116"/>
    <mergeCell ref="C117:D117"/>
    <mergeCell ref="C118:D118"/>
    <mergeCell ref="C119:D119"/>
    <mergeCell ref="C120:D120"/>
    <mergeCell ref="C121:D121"/>
    <mergeCell ref="C122:D122"/>
    <mergeCell ref="C123:D123"/>
    <mergeCell ref="C124:D124"/>
    <mergeCell ref="C125:D125"/>
    <mergeCell ref="C126:D126"/>
    <mergeCell ref="C127:D127"/>
    <mergeCell ref="C128:D128"/>
    <mergeCell ref="C129:D129"/>
    <mergeCell ref="C130:D130"/>
    <mergeCell ref="C131:D131"/>
    <mergeCell ref="C132:D132"/>
    <mergeCell ref="C133:D133"/>
    <mergeCell ref="C134:D134"/>
    <mergeCell ref="A135:B135"/>
    <mergeCell ref="C135:D135"/>
    <mergeCell ref="A136:B136"/>
    <mergeCell ref="C136:D136"/>
    <mergeCell ref="A141:E141"/>
    <mergeCell ref="A142:B142"/>
    <mergeCell ref="C142:D142"/>
    <mergeCell ref="A143:B143"/>
    <mergeCell ref="C143:D143"/>
    <mergeCell ref="C144:D144"/>
    <mergeCell ref="C145:D145"/>
    <mergeCell ref="C146:D146"/>
    <mergeCell ref="C147:D147"/>
    <mergeCell ref="C148:D148"/>
    <mergeCell ref="C149:D149"/>
    <mergeCell ref="C150:D150"/>
    <mergeCell ref="C151:D151"/>
    <mergeCell ref="C152:D152"/>
    <mergeCell ref="C153:D153"/>
    <mergeCell ref="C154:D154"/>
    <mergeCell ref="C155:D155"/>
    <mergeCell ref="C156:D156"/>
    <mergeCell ref="C157:D157"/>
    <mergeCell ref="C158:D158"/>
    <mergeCell ref="C159:D159"/>
    <mergeCell ref="C160:D160"/>
    <mergeCell ref="C161:D161"/>
    <mergeCell ref="A162:B162"/>
    <mergeCell ref="C162:D162"/>
    <mergeCell ref="A163:B163"/>
    <mergeCell ref="C163:D163"/>
    <mergeCell ref="A168:E168"/>
    <mergeCell ref="A169:B169"/>
    <mergeCell ref="C169:D169"/>
    <mergeCell ref="A170:B170"/>
    <mergeCell ref="C170:D170"/>
    <mergeCell ref="C171:D171"/>
    <mergeCell ref="C172:D172"/>
    <mergeCell ref="C173:D173"/>
    <mergeCell ref="C174:D174"/>
    <mergeCell ref="C175:D175"/>
    <mergeCell ref="C176:D176"/>
    <mergeCell ref="C177:D177"/>
    <mergeCell ref="C178:D178"/>
    <mergeCell ref="C179:D179"/>
    <mergeCell ref="C180:D180"/>
    <mergeCell ref="C181:D181"/>
    <mergeCell ref="C182:D182"/>
    <mergeCell ref="C183:D183"/>
    <mergeCell ref="C184:D184"/>
    <mergeCell ref="C185:D185"/>
    <mergeCell ref="C186:D186"/>
    <mergeCell ref="C187:D187"/>
    <mergeCell ref="C188:D188"/>
    <mergeCell ref="A189:B189"/>
    <mergeCell ref="C189:D189"/>
    <mergeCell ref="A190:B190"/>
    <mergeCell ref="C190:D190"/>
    <mergeCell ref="A2:A3"/>
    <mergeCell ref="A171:B188"/>
    <mergeCell ref="A144:B161"/>
    <mergeCell ref="A117:B134"/>
  </mergeCells>
  <conditionalFormatting sqref="C5">
    <cfRule type="cellIs" dxfId="0" priority="7" operator="equal">
      <formula>0</formula>
    </cfRule>
    <cfRule type="cellIs" dxfId="1" priority="6" operator="greaterThan">
      <formula>0</formula>
    </cfRule>
  </conditionalFormatting>
  <conditionalFormatting sqref="C75">
    <cfRule type="cellIs" dxfId="0" priority="52" operator="equal">
      <formula>0</formula>
    </cfRule>
    <cfRule type="cellIs" dxfId="1" priority="51" operator="greaterThan">
      <formula>0</formula>
    </cfRule>
  </conditionalFormatting>
  <conditionalFormatting sqref="C77">
    <cfRule type="cellIs" dxfId="0" priority="50" operator="equal">
      <formula>0</formula>
    </cfRule>
    <cfRule type="cellIs" dxfId="1" priority="49" operator="greaterThan">
      <formula>0</formula>
    </cfRule>
  </conditionalFormatting>
  <conditionalFormatting sqref="C108">
    <cfRule type="cellIs" dxfId="0" priority="5" operator="greaterThanOrEqual">
      <formula>0</formula>
    </cfRule>
    <cfRule type="cellIs" dxfId="1" priority="4" operator="lessThan">
      <formula>0</formula>
    </cfRule>
  </conditionalFormatting>
  <conditionalFormatting sqref="C109">
    <cfRule type="cellIs" dxfId="0" priority="3" operator="greaterThanOrEqual">
      <formula>0</formula>
    </cfRule>
    <cfRule type="cellIs" dxfId="1" priority="2" operator="lessThan">
      <formula>0</formula>
    </cfRule>
  </conditionalFormatting>
  <conditionalFormatting sqref="E116">
    <cfRule type="cellIs" dxfId="3" priority="13" operator="greaterThanOrEqual">
      <formula>0</formula>
    </cfRule>
    <cfRule type="cellIs" dxfId="4" priority="12" operator="lessThan">
      <formula>0</formula>
    </cfRule>
  </conditionalFormatting>
  <conditionalFormatting sqref="E136">
    <cfRule type="cellIs" dxfId="3" priority="44" operator="greaterThanOrEqual">
      <formula>0</formula>
    </cfRule>
    <cfRule type="cellIs" dxfId="4" priority="43" operator="lessThan">
      <formula>0</formula>
    </cfRule>
  </conditionalFormatting>
  <conditionalFormatting sqref="E143">
    <cfRule type="cellIs" dxfId="3" priority="31" operator="greaterThanOrEqual">
      <formula>0</formula>
    </cfRule>
    <cfRule type="cellIs" dxfId="4" priority="30" operator="lessThan">
      <formula>0</formula>
    </cfRule>
  </conditionalFormatting>
  <conditionalFormatting sqref="E163">
    <cfRule type="cellIs" dxfId="3" priority="33" operator="greaterThanOrEqual">
      <formula>0</formula>
    </cfRule>
    <cfRule type="cellIs" dxfId="4" priority="32" operator="lessThan">
      <formula>0</formula>
    </cfRule>
  </conditionalFormatting>
  <conditionalFormatting sqref="E170">
    <cfRule type="cellIs" dxfId="3" priority="25" operator="greaterThanOrEqual">
      <formula>0</formula>
    </cfRule>
    <cfRule type="cellIs" dxfId="4" priority="24" operator="lessThan">
      <formula>0</formula>
    </cfRule>
  </conditionalFormatting>
  <conditionalFormatting sqref="E190">
    <cfRule type="cellIs" dxfId="3" priority="27" operator="greaterThanOrEqual">
      <formula>0</formula>
    </cfRule>
    <cfRule type="cellIs" dxfId="4" priority="26" operator="lessThan">
      <formula>0</formula>
    </cfRule>
  </conditionalFormatting>
  <conditionalFormatting sqref="C57:C66">
    <cfRule type="cellIs" dxfId="0" priority="56" operator="equal">
      <formula>0</formula>
    </cfRule>
    <cfRule type="cellIs" dxfId="1" priority="55" operator="greaterThan">
      <formula>0</formula>
    </cfRule>
  </conditionalFormatting>
  <conditionalFormatting sqref="C68:C69">
    <cfRule type="cellIs" dxfId="0" priority="54" operator="equal">
      <formula>0</formula>
    </cfRule>
    <cfRule type="cellIs" dxfId="1" priority="53" operator="greaterThan">
      <formula>0</formula>
    </cfRule>
  </conditionalFormatting>
  <conditionalFormatting sqref="C70:C74">
    <cfRule type="cellIs" dxfId="0" priority="42" operator="equal">
      <formula>0</formula>
    </cfRule>
    <cfRule type="cellIs" dxfId="1" priority="41" operator="greaterThan">
      <formula>0</formula>
    </cfRule>
  </conditionalFormatting>
  <conditionalFormatting sqref="C78:C79">
    <cfRule type="cellIs" dxfId="0" priority="11" operator="equal">
      <formula>0</formula>
    </cfRule>
    <cfRule type="cellIs" dxfId="1" priority="10" operator="greaterThan">
      <formula>0</formula>
    </cfRule>
  </conditionalFormatting>
  <conditionalFormatting sqref="C80:C84">
    <cfRule type="cellIs" dxfId="0" priority="40" operator="equal">
      <formula>0</formula>
    </cfRule>
    <cfRule type="cellIs" dxfId="1" priority="39" operator="greaterThan">
      <formula>0</formula>
    </cfRule>
  </conditionalFormatting>
  <conditionalFormatting sqref="C87:C89">
    <cfRule type="cellIs" dxfId="0" priority="48" operator="equal">
      <formula>0</formula>
    </cfRule>
    <cfRule type="cellIs" dxfId="1" priority="47" operator="greaterThan">
      <formula>0</formula>
    </cfRule>
  </conditionalFormatting>
  <conditionalFormatting sqref="C90:C91">
    <cfRule type="cellIs" dxfId="0" priority="9" operator="equal">
      <formula>0</formula>
    </cfRule>
    <cfRule type="cellIs" dxfId="1" priority="8" operator="greaterThan">
      <formula>0</formula>
    </cfRule>
  </conditionalFormatting>
  <conditionalFormatting sqref="C92:C94">
    <cfRule type="cellIs" dxfId="0" priority="38" operator="equal">
      <formula>0</formula>
    </cfRule>
    <cfRule type="cellIs" dxfId="1" priority="37" operator="greaterThan">
      <formula>0</formula>
    </cfRule>
  </conditionalFormatting>
  <conditionalFormatting sqref="C98:C107">
    <cfRule type="cellIs" dxfId="1" priority="21" operator="lessThan">
      <formula>0</formula>
    </cfRule>
    <cfRule type="cellIs" dxfId="2" priority="20" operator="greaterThanOrEqual">
      <formula>0</formula>
    </cfRule>
  </conditionalFormatting>
  <conditionalFormatting sqref="E118:E127">
    <cfRule type="cellIs" dxfId="0" priority="19" operator="equal">
      <formula>0</formula>
    </cfRule>
    <cfRule type="cellIs" dxfId="1" priority="18" operator="greaterThan">
      <formula>0</formula>
    </cfRule>
  </conditionalFormatting>
  <conditionalFormatting sqref="E145:E154">
    <cfRule type="cellIs" dxfId="0" priority="17" operator="equal">
      <formula>0</formula>
    </cfRule>
    <cfRule type="cellIs" dxfId="1" priority="16" operator="greaterThan">
      <formula>0</formula>
    </cfRule>
  </conditionalFormatting>
  <conditionalFormatting sqref="E172:E181">
    <cfRule type="cellIs" dxfId="0" priority="15" operator="equal">
      <formula>0</formula>
    </cfRule>
    <cfRule type="cellIs" dxfId="1" priority="14" operator="greaterThan">
      <formula>0</formula>
    </cfRule>
  </conditionalFormatting>
  <conditionalFormatting sqref="C47:C55 C85 C95:C96">
    <cfRule type="cellIs" dxfId="0" priority="58" operator="equal">
      <formula>0</formula>
    </cfRule>
  </conditionalFormatting>
  <conditionalFormatting sqref="C47:C55 C85 C95:C96 E144 E155:E162">
    <cfRule type="cellIs" dxfId="1" priority="57" operator="greaterThan">
      <formula>0</formula>
    </cfRule>
  </conditionalFormatting>
  <conditionalFormatting sqref="E117 E128:E135">
    <cfRule type="cellIs" dxfId="0" priority="46" operator="equal">
      <formula>0</formula>
    </cfRule>
    <cfRule type="cellIs" dxfId="1" priority="45" operator="greaterThan">
      <formula>0</formula>
    </cfRule>
  </conditionalFormatting>
  <conditionalFormatting sqref="E144 E155:E162">
    <cfRule type="cellIs" dxfId="2" priority="34" operator="equal">
      <formula>0</formula>
    </cfRule>
  </conditionalFormatting>
  <conditionalFormatting sqref="E171 E182:E189">
    <cfRule type="cellIs" dxfId="2" priority="29" operator="equal">
      <formula>0</formula>
    </cfRule>
    <cfRule type="cellIs" dxfId="1" priority="28" operator="greaterThan">
      <formula>0</formula>
    </cfRule>
  </conditionalFormatting>
  <pageMargins left="0.7" right="0.7" top="0.75" bottom="0.75" header="0.3" footer="0.3"/>
  <headerFooter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allowEditUser xmlns="https://web.wps.cn/et/2018/main" xmlns:s="http://schemas.openxmlformats.org/spreadsheetml/2006/main" hasInvisiblePropRange="0">
  <rangeList sheetStid="18" master="" otherUserPermission="visible"/>
  <rangeList sheetStid="3" master="" otherUserPermission="visible">
    <arrUserId title="Settings" rangeCreator="" othersAccessPermission="edit"/>
    <arrUserId title="NameOfWorkSheet" rangeCreator="" othersAccessPermission="edit"/>
  </rangeList>
  <rangeList sheetStid="1" master="" otherUserPermission="visible">
    <arrUserId title="R1" rangeCreator="" othersAccessPermission="edit"/>
    <arrUserId title="R2" rangeCreator="" othersAccessPermission="edit"/>
    <arrUserId title="R3" rangeCreator="" othersAccessPermission="edit"/>
    <arrUserId title="A1" rangeCreator="" othersAccessPermission="edit"/>
    <arrUserId title="F1" rangeCreator="" othersAccessPermission="edit"/>
    <arrUserId title="F2" rangeCreator="" othersAccessPermission="edit"/>
    <arrUserId title="F3" rangeCreator="" othersAccessPermission="edit"/>
    <arrUserId title="F4" rangeCreator="" othersAccessPermission="edit"/>
    <arrUserId title="F5" rangeCreator="" othersAccessPermission="edit"/>
    <arrUserId title="E1" rangeCreator="" othersAccessPermission="edit"/>
    <arrUserId title="E2" rangeCreator="" othersAccessPermission="edit"/>
    <arrUserId title="E3" rangeCreator="" othersAccessPermission="edit"/>
    <arrUserId title="A2" rangeCreator="" othersAccessPermission="edit"/>
    <arrUserId title="D1" rangeCreator="" othersAccessPermission="edit"/>
  </rangeList>
  <rangeList sheetStid="2" master="" otherUserPermission="visible">
    <arrUserId title="R1" rangeCreator="" othersAccessPermission="edit"/>
    <arrUserId title="R2" rangeCreator="" othersAccessPermission="edit"/>
    <arrUserId title="R3" rangeCreator="" othersAccessPermission="edit"/>
    <arrUserId title="F1" rangeCreator="" othersAccessPermission="edit"/>
    <arrUserId title="F2" rangeCreator="" othersAccessPermission="edit"/>
    <arrUserId title="F3" rangeCreator="" othersAccessPermission="edit"/>
    <arrUserId title="F4" rangeCreator="" othersAccessPermission="edit"/>
    <arrUserId title="F5" rangeCreator="" othersAccessPermission="edit"/>
    <arrUserId title="E1" rangeCreator="" othersAccessPermission="edit"/>
    <arrUserId title="E2" rangeCreator="" othersAccessPermission="edit"/>
    <arrUserId title="E3" rangeCreator="" othersAccessPermission="edit"/>
    <arrUserId title="F2_1" rangeCreator="" othersAccessPermission="edit"/>
    <arrUserId title="F3_1" rangeCreator="" othersAccessPermission="edit"/>
    <arrUserId title="F4_1" rangeCreator="" othersAccessPermission="edit"/>
    <arrUserId title="F5_1" rangeCreator="" othersAccessPermission="edit"/>
  </rangeList>
  <rangeList sheetStid="4" master="" otherUserPermission="visible">
    <arrUserId title="R1" rangeCreator="" othersAccessPermission="edit"/>
    <arrUserId title="R2" rangeCreator="" othersAccessPermission="edit"/>
    <arrUserId title="R3" rangeCreator="" othersAccessPermission="edit"/>
    <arrUserId title="E1" rangeCreator="" othersAccessPermission="edit"/>
    <arrUserId title="E2" rangeCreator="" othersAccessPermission="edit"/>
    <arrUserId title="E3" rangeCreator="" othersAccessPermission="edit"/>
    <arrUserId title="F1" rangeCreator="" othersAccessPermission="edit"/>
    <arrUserId title="F2" rangeCreator="" othersAccessPermission="edit"/>
    <arrUserId title="F3" rangeCreator="" othersAccessPermission="edit"/>
    <arrUserId title="F4" rangeCreator="" othersAccessPermission="edit"/>
    <arrUserId title="F5" rangeCreator="" othersAccessPermission="edit"/>
    <arrUserId title="F2_1" rangeCreator="" othersAccessPermission="edit"/>
    <arrUserId title="F3_1" rangeCreator="" othersAccessPermission="edit"/>
    <arrUserId title="F4_1" rangeCreator="" othersAccessPermission="edit"/>
    <arrUserId title="F5_1" rangeCreator="" othersAccessPermission="edit"/>
  </rangeList>
  <rangeList sheetStid="5" master="" otherUserPermission="visible">
    <arrUserId title="R1" rangeCreator="" othersAccessPermission="edit"/>
    <arrUserId title="R2" rangeCreator="" othersAccessPermission="edit"/>
    <arrUserId title="R3" rangeCreator="" othersAccessPermission="edit"/>
    <arrUserId title="F1" rangeCreator="" othersAccessPermission="edit"/>
    <arrUserId title="F2" rangeCreator="" othersAccessPermission="edit"/>
    <arrUserId title="F3" rangeCreator="" othersAccessPermission="edit"/>
    <arrUserId title="F4" rangeCreator="" othersAccessPermission="edit"/>
    <arrUserId title="F5" rangeCreator="" othersAccessPermission="edit"/>
    <arrUserId title="E1" rangeCreator="" othersAccessPermission="edit"/>
    <arrUserId title="E2" rangeCreator="" othersAccessPermission="edit"/>
    <arrUserId title="E3" rangeCreator="" othersAccessPermission="edit"/>
    <arrUserId title="F2_1" rangeCreator="" othersAccessPermission="edit"/>
    <arrUserId title="F3_1" rangeCreator="" othersAccessPermission="edit"/>
    <arrUserId title="F4_1" rangeCreator="" othersAccessPermission="edit"/>
    <arrUserId title="F5_1" rangeCreator="" othersAccessPermission="edit"/>
  </rangeList>
  <rangeList sheetStid="6" master="" otherUserPermission="visible">
    <arrUserId title="R1" rangeCreator="" othersAccessPermission="edit"/>
    <arrUserId title="R2" rangeCreator="" othersAccessPermission="edit"/>
    <arrUserId title="R3" rangeCreator="" othersAccessPermission="edit"/>
    <arrUserId title="F1" rangeCreator="" othersAccessPermission="edit"/>
    <arrUserId title="F2" rangeCreator="" othersAccessPermission="edit"/>
    <arrUserId title="F3" rangeCreator="" othersAccessPermission="edit"/>
    <arrUserId title="F4" rangeCreator="" othersAccessPermission="edit"/>
    <arrUserId title="F5" rangeCreator="" othersAccessPermission="edit"/>
    <arrUserId title="E1" rangeCreator="" othersAccessPermission="edit"/>
    <arrUserId title="E2" rangeCreator="" othersAccessPermission="edit"/>
    <arrUserId title="E3" rangeCreator="" othersAccessPermission="edit"/>
    <arrUserId title="F2_1" rangeCreator="" othersAccessPermission="edit"/>
    <arrUserId title="F3_1" rangeCreator="" othersAccessPermission="edit"/>
    <arrUserId title="F4_1" rangeCreator="" othersAccessPermission="edit"/>
    <arrUserId title="F5_1" rangeCreator="" othersAccessPermission="edit"/>
  </rangeList>
  <rangeList sheetStid="7" master="" otherUserPermission="visible">
    <arrUserId title="R1" rangeCreator="" othersAccessPermission="edit"/>
    <arrUserId title="R2" rangeCreator="" othersAccessPermission="edit"/>
    <arrUserId title="R3" rangeCreator="" othersAccessPermission="edit"/>
    <arrUserId title="F1" rangeCreator="" othersAccessPermission="edit"/>
    <arrUserId title="F2" rangeCreator="" othersAccessPermission="edit"/>
    <arrUserId title="F3" rangeCreator="" othersAccessPermission="edit"/>
    <arrUserId title="F4" rangeCreator="" othersAccessPermission="edit"/>
    <arrUserId title="F5" rangeCreator="" othersAccessPermission="edit"/>
    <arrUserId title="E1" rangeCreator="" othersAccessPermission="edit"/>
    <arrUserId title="E2" rangeCreator="" othersAccessPermission="edit"/>
    <arrUserId title="E3" rangeCreator="" othersAccessPermission="edit"/>
    <arrUserId title="F2_1" rangeCreator="" othersAccessPermission="edit"/>
    <arrUserId title="F3_1" rangeCreator="" othersAccessPermission="edit"/>
    <arrUserId title="F4_1" rangeCreator="" othersAccessPermission="edit"/>
    <arrUserId title="F5_1" rangeCreator="" othersAccessPermission="edit"/>
  </rangeList>
  <rangeList sheetStid="8" master="" otherUserPermission="visible">
    <arrUserId title="R1" rangeCreator="" othersAccessPermission="edit"/>
    <arrUserId title="R2" rangeCreator="" othersAccessPermission="edit"/>
    <arrUserId title="R3" rangeCreator="" othersAccessPermission="edit"/>
    <arrUserId title="F1" rangeCreator="" othersAccessPermission="edit"/>
    <arrUserId title="F2" rangeCreator="" othersAccessPermission="edit"/>
    <arrUserId title="F3" rangeCreator="" othersAccessPermission="edit"/>
    <arrUserId title="F4" rangeCreator="" othersAccessPermission="edit"/>
    <arrUserId title="F5" rangeCreator="" othersAccessPermission="edit"/>
    <arrUserId title="E1" rangeCreator="" othersAccessPermission="edit"/>
    <arrUserId title="E2" rangeCreator="" othersAccessPermission="edit"/>
    <arrUserId title="E3" rangeCreator="" othersAccessPermission="edit"/>
    <arrUserId title="F2_1" rangeCreator="" othersAccessPermission="edit"/>
    <arrUserId title="F3_1" rangeCreator="" othersAccessPermission="edit"/>
    <arrUserId title="F4_1" rangeCreator="" othersAccessPermission="edit"/>
    <arrUserId title="F5_1" rangeCreator="" othersAccessPermission="edit"/>
  </rangeList>
  <rangeList sheetStid="9" master="" otherUserPermission="visible">
    <arrUserId title="R1" rangeCreator="" othersAccessPermission="edit"/>
    <arrUserId title="R2" rangeCreator="" othersAccessPermission="edit"/>
    <arrUserId title="R3" rangeCreator="" othersAccessPermission="edit"/>
    <arrUserId title="F1" rangeCreator="" othersAccessPermission="edit"/>
    <arrUserId title="F2" rangeCreator="" othersAccessPermission="edit"/>
    <arrUserId title="F3" rangeCreator="" othersAccessPermission="edit"/>
    <arrUserId title="F4" rangeCreator="" othersAccessPermission="edit"/>
    <arrUserId title="F5" rangeCreator="" othersAccessPermission="edit"/>
    <arrUserId title="E1" rangeCreator="" othersAccessPermission="edit"/>
    <arrUserId title="E2" rangeCreator="" othersAccessPermission="edit"/>
    <arrUserId title="E3" rangeCreator="" othersAccessPermission="edit"/>
    <arrUserId title="F2_1" rangeCreator="" othersAccessPermission="edit"/>
    <arrUserId title="F3_1" rangeCreator="" othersAccessPermission="edit"/>
    <arrUserId title="F4_1" rangeCreator="" othersAccessPermission="edit"/>
    <arrUserId title="F5_1" rangeCreator="" othersAccessPermission="edit"/>
  </rangeList>
  <rangeList sheetStid="10" master="" otherUserPermission="visible">
    <arrUserId title="R1" rangeCreator="" othersAccessPermission="edit"/>
    <arrUserId title="R2" rangeCreator="" othersAccessPermission="edit"/>
    <arrUserId title="R3" rangeCreator="" othersAccessPermission="edit"/>
    <arrUserId title="F1" rangeCreator="" othersAccessPermission="edit"/>
    <arrUserId title="F2" rangeCreator="" othersAccessPermission="edit"/>
    <arrUserId title="F3" rangeCreator="" othersAccessPermission="edit"/>
    <arrUserId title="F4" rangeCreator="" othersAccessPermission="edit"/>
    <arrUserId title="F5" rangeCreator="" othersAccessPermission="edit"/>
    <arrUserId title="E1" rangeCreator="" othersAccessPermission="edit"/>
    <arrUserId title="E2" rangeCreator="" othersAccessPermission="edit"/>
    <arrUserId title="E3" rangeCreator="" othersAccessPermission="edit"/>
    <arrUserId title="F2_1" rangeCreator="" othersAccessPermission="edit"/>
    <arrUserId title="F3_1" rangeCreator="" othersAccessPermission="edit"/>
    <arrUserId title="F4_1" rangeCreator="" othersAccessPermission="edit"/>
    <arrUserId title="F5_1" rangeCreator="" othersAccessPermission="edit"/>
  </rangeList>
  <rangeList sheetStid="11" master="" otherUserPermission="visible">
    <arrUserId title="R1" rangeCreator="" othersAccessPermission="edit"/>
    <arrUserId title="R2" rangeCreator="" othersAccessPermission="edit"/>
    <arrUserId title="R3" rangeCreator="" othersAccessPermission="edit"/>
    <arrUserId title="F1" rangeCreator="" othersAccessPermission="edit"/>
    <arrUserId title="F2" rangeCreator="" othersAccessPermission="edit"/>
    <arrUserId title="F3" rangeCreator="" othersAccessPermission="edit"/>
    <arrUserId title="F4" rangeCreator="" othersAccessPermission="edit"/>
    <arrUserId title="F5" rangeCreator="" othersAccessPermission="edit"/>
    <arrUserId title="E1" rangeCreator="" othersAccessPermission="edit"/>
    <arrUserId title="E2" rangeCreator="" othersAccessPermission="edit"/>
    <arrUserId title="E3" rangeCreator="" othersAccessPermission="edit"/>
    <arrUserId title="F2_1" rangeCreator="" othersAccessPermission="edit"/>
    <arrUserId title="F3_1" rangeCreator="" othersAccessPermission="edit"/>
    <arrUserId title="F4_1" rangeCreator="" othersAccessPermission="edit"/>
    <arrUserId title="F5_1" rangeCreator="" othersAccessPermission="edit"/>
  </rangeList>
  <rangeList sheetStid="12" master="" otherUserPermission="visible">
    <arrUserId title="R1" rangeCreator="" othersAccessPermission="edit"/>
    <arrUserId title="R2" rangeCreator="" othersAccessPermission="edit"/>
    <arrUserId title="R3" rangeCreator="" othersAccessPermission="edit"/>
    <arrUserId title="F1" rangeCreator="" othersAccessPermission="edit"/>
    <arrUserId title="F2" rangeCreator="" othersAccessPermission="edit"/>
    <arrUserId title="F3" rangeCreator="" othersAccessPermission="edit"/>
    <arrUserId title="F4" rangeCreator="" othersAccessPermission="edit"/>
    <arrUserId title="F5" rangeCreator="" othersAccessPermission="edit"/>
    <arrUserId title="E1" rangeCreator="" othersAccessPermission="edit"/>
    <arrUserId title="E2" rangeCreator="" othersAccessPermission="edit"/>
    <arrUserId title="E3" rangeCreator="" othersAccessPermission="edit"/>
    <arrUserId title="F2_1" rangeCreator="" othersAccessPermission="edit"/>
    <arrUserId title="F3_1" rangeCreator="" othersAccessPermission="edit"/>
    <arrUserId title="F4_1" rangeCreator="" othersAccessPermission="edit"/>
    <arrUserId title="F5_1" rangeCreator="" othersAccessPermission="edit"/>
  </rangeList>
  <rangeList sheetStid="13" master="" otherUserPermission="visible">
    <arrUserId title="R1" rangeCreator="" othersAccessPermission="edit"/>
    <arrUserId title="R2" rangeCreator="" othersAccessPermission="edit"/>
    <arrUserId title="R3" rangeCreator="" othersAccessPermission="edit"/>
    <arrUserId title="F1" rangeCreator="" othersAccessPermission="edit"/>
    <arrUserId title="F3" rangeCreator="" othersAccessPermission="edit"/>
    <arrUserId title="F4" rangeCreator="" othersAccessPermission="edit"/>
    <arrUserId title="F2" rangeCreator="" othersAccessPermission="edit"/>
    <arrUserId title="F5" rangeCreator="" othersAccessPermission="edit"/>
    <arrUserId title="E1" rangeCreator="" othersAccessPermission="edit"/>
    <arrUserId title="E2" rangeCreator="" othersAccessPermission="edit"/>
    <arrUserId title="E3" rangeCreator="" othersAccessPermission="edit"/>
    <arrUserId title="F2_1" rangeCreator="" othersAccessPermission="edit"/>
    <arrUserId title="F3_1" rangeCreator="" othersAccessPermission="edit"/>
    <arrUserId title="F4_1" rangeCreator="" othersAccessPermission="edit"/>
    <arrUserId title="F5_1" rangeCreator="" othersAccessPermission="edit"/>
  </rangeList>
  <rangeList sheetStid="14" master="" otherUserPermission="visible">
    <arrUserId title="R1" rangeCreator="" othersAccessPermission="edit"/>
    <arrUserId title="R2" rangeCreator="" othersAccessPermission="edit"/>
    <arrUserId title="R3" rangeCreator="" othersAccessPermission="edit"/>
    <arrUserId title="F1" rangeCreator="" othersAccessPermission="edit"/>
    <arrUserId title="F2" rangeCreator="" othersAccessPermission="edit"/>
    <arrUserId title="F3" rangeCreator="" othersAccessPermission="edit"/>
    <arrUserId title="F5" rangeCreator="" othersAccessPermission="edit"/>
    <arrUserId title="E1" rangeCreator="" othersAccessPermission="edit"/>
    <arrUserId title="E2" rangeCreator="" othersAccessPermission="edit"/>
    <arrUserId title="E3" rangeCreator="" othersAccessPermission="edit"/>
    <arrUserId title="F4" rangeCreator="" othersAccessPermission="edit"/>
    <arrUserId title="F2_1" rangeCreator="" othersAccessPermission="edit"/>
    <arrUserId title="F3_1" rangeCreator="" othersAccessPermission="edit"/>
    <arrUserId title="F4_1" rangeCreator="" othersAccessPermission="edit"/>
    <arrUserId title="F5_1" rangeCreator="" othersAccessPermission="edit"/>
  </rangeList>
  <rangeList sheetStid="15" master="" otherUserPermission="visible">
    <arrUserId title="R1" rangeCreator="" othersAccessPermission="edit"/>
    <arrUserId title="R2" rangeCreator="" othersAccessPermission="edit"/>
    <arrUserId title="R3" rangeCreator="" othersAccessPermission="edit"/>
    <arrUserId title="F1" rangeCreator="" othersAccessPermission="edit"/>
    <arrUserId title="F2" rangeCreator="" othersAccessPermission="edit"/>
    <arrUserId title="F3" rangeCreator="" othersAccessPermission="edit"/>
    <arrUserId title="F4" rangeCreator="" othersAccessPermission="edit"/>
    <arrUserId title="F5" rangeCreator="" othersAccessPermission="edit"/>
    <arrUserId title="E1" rangeCreator="" othersAccessPermission="edit"/>
    <arrUserId title="E2" rangeCreator="" othersAccessPermission="edit"/>
    <arrUserId title="E3" rangeCreator="" othersAccessPermission="edit"/>
    <arrUserId title="F2_1" rangeCreator="" othersAccessPermission="edit"/>
    <arrUserId title="F3_1" rangeCreator="" othersAccessPermission="edit"/>
    <arrUserId title="F4_1" rangeCreator="" othersAccessPermission="edit"/>
    <arrUserId title="F5_1" rangeCreator="" othersAccessPermission="edit"/>
  </rangeList>
  <rangeList sheetStid="16" master="" otherUserPermission="visible">
    <arrUserId title="R1" rangeCreator="" othersAccessPermission="edit"/>
    <arrUserId title="R2" rangeCreator="" othersAccessPermission="edit"/>
    <arrUserId title="R3" rangeCreator="" othersAccessPermission="edit"/>
    <arrUserId title="F1" rangeCreator="" othersAccessPermission="edit"/>
    <arrUserId title="F2" rangeCreator="" othersAccessPermission="edit"/>
    <arrUserId title="F3" rangeCreator="" othersAccessPermission="edit"/>
    <arrUserId title="F4" rangeCreator="" othersAccessPermission="edit"/>
    <arrUserId title="F5" rangeCreator="" othersAccessPermission="edit"/>
    <arrUserId title="E1" rangeCreator="" othersAccessPermission="edit"/>
    <arrUserId title="E2" rangeCreator="" othersAccessPermission="edit"/>
    <arrUserId title="E3" rangeCreator="" othersAccessPermission="edit"/>
    <arrUserId title="F2_1" rangeCreator="" othersAccessPermission="edit"/>
    <arrUserId title="F4_1" rangeCreator="" othersAccessPermission="edit"/>
    <arrUserId title="F2_2" rangeCreator="" othersAccessPermission="edit"/>
    <arrUserId title="F3_1" rangeCreator="" othersAccessPermission="edit"/>
    <arrUserId title="F4_2" rangeCreator="" othersAccessPermission="edit"/>
    <arrUserId title="F5_1" rangeCreator="" othersAccessPermission="edit"/>
  </rangeList>
  <rangeList sheetStid="17" master="" otherUserPermission="visible">
    <arrUserId title="R1" rangeCreator="" othersAccessPermission="edit"/>
    <arrUserId title="R2" rangeCreator="" othersAccessPermission="edit"/>
    <arrUserId title="R3" rangeCreator="" othersAccessPermission="edit"/>
    <arrUserId title="F1" rangeCreator="" othersAccessPermission="edit"/>
    <arrUserId title="F2" rangeCreator="" othersAccessPermission="edit"/>
    <arrUserId title="F3" rangeCreator="" othersAccessPermission="edit"/>
    <arrUserId title="F4" rangeCreator="" othersAccessPermission="edit"/>
    <arrUserId title="F5" rangeCreator="" othersAccessPermission="edit"/>
    <arrUserId title="E1" rangeCreator="" othersAccessPermission="edit"/>
    <arrUserId title="E2" rangeCreator="" othersAccessPermission="edit"/>
    <arrUserId title="E3" rangeCreator="" othersAccessPermission="edit"/>
  </rangeList>
</allowEditUser>
</file>

<file path=customXml/itemProps1.xml><?xml version="1.0" encoding="utf-8"?>
<ds:datastoreItem xmlns:ds="http://schemas.openxmlformats.org/officeDocument/2006/customXml" ds:itemID="{5A5607D9-04D2-4DE1-AC0E-A7772F01BC71}">
  <ds:schemaRefs>
    <ds:schemaRef ds:uri="https://web.wps.cn/et/2018/main"/>
    <ds:schemaRef ds:uri="http://schemas.openxmlformats.org/spreadsheetml/2006/ma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HeadingPairs>
    <vt:vector size="2" baseType="variant">
      <vt:variant>
        <vt:lpstr>工作表</vt:lpstr>
      </vt:variant>
      <vt:variant>
        <vt:i4>18</vt:i4>
      </vt:variant>
    </vt:vector>
  </HeadingPairs>
  <TitlesOfParts>
    <vt:vector size="18" baseType="lpstr">
      <vt:lpstr>Cover Page</vt:lpstr>
      <vt:lpstr>Main</vt:lpstr>
      <vt:lpstr>Forecast_1</vt:lpstr>
      <vt:lpstr>Forecast_2</vt:lpstr>
      <vt:lpstr>Forecast_3</vt:lpstr>
      <vt:lpstr>Forecast_4</vt:lpstr>
      <vt:lpstr>Forecast_5</vt:lpstr>
      <vt:lpstr>Forecast_6</vt:lpstr>
      <vt:lpstr>Forecast_7</vt:lpstr>
      <vt:lpstr>Forecast_8</vt:lpstr>
      <vt:lpstr>Forecast_9</vt:lpstr>
      <vt:lpstr>Forecast_10</vt:lpstr>
      <vt:lpstr>Forecast_11</vt:lpstr>
      <vt:lpstr>Forecast_12</vt:lpstr>
      <vt:lpstr>Forecast_13</vt:lpstr>
      <vt:lpstr>Forecast_14</vt:lpstr>
      <vt:lpstr>Forecast_15</vt:lpstr>
      <vt:lpstr>Forecast_16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Sing Lun Alan Tang</cp:lastModifiedBy>
  <dcterms:created xsi:type="dcterms:W3CDTF">2025-03-02T05:27:00Z</dcterms:created>
  <dcterms:modified xsi:type="dcterms:W3CDTF">2025-05-16T14:37:52Z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DBAFD8BFD032A37AC13AC567BB79F506_42</vt:lpwstr>
  </property>
  <property fmtid="{D5CDD505-2E9C-101B-9397-08002B2CF9AE}" pid="3" name="KSOProductBuildVer">
    <vt:lpwstr>1033-6.11.0.8608</vt:lpwstr>
  </property>
</Properties>
</file>